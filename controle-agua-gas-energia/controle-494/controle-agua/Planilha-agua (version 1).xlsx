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FACILITIES\Controle-agua-gas-energia\Controle-494\Controle-agua\"/>
    </mc:Choice>
  </mc:AlternateContent>
  <xr:revisionPtr revIDLastSave="0" documentId="13_ncr:1_{E1E86B18-CFB9-496A-A16B-F27ECF5451CE}" xr6:coauthVersionLast="47" xr6:coauthVersionMax="47" xr10:uidLastSave="{00000000-0000-0000-0000-000000000000}"/>
  <bookViews>
    <workbookView xWindow="-28920" yWindow="-120" windowWidth="29040" windowHeight="15840" activeTab="1" xr2:uid="{B376A3C2-E179-4C40-AE8D-075D49850F95}"/>
  </bookViews>
  <sheets>
    <sheet name="Caldeira " sheetId="6" r:id="rId1"/>
    <sheet name="SABESP_2024" sheetId="1" r:id="rId2"/>
    <sheet name="SABESP_2022" sheetId="9" r:id="rId3"/>
    <sheet name="SABESP_2023" sheetId="11" r:id="rId4"/>
    <sheet name="Planilha1" sheetId="10" state="hidden" r:id="rId5"/>
    <sheet name="Reservatório" sheetId="8" state="hidden" r:id="rId6"/>
    <sheet name="CAMINHÃO PIPA" sheetId="7" state="hidden" r:id="rId7"/>
  </sheets>
  <definedNames>
    <definedName name="_xlnm._FilterDatabase" localSheetId="1" hidden="1">SABESP_2024!$A$1:$Z$564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330" i="1" l="1"/>
  <c r="R1330" i="1"/>
  <c r="K1330" i="1"/>
  <c r="G1325" i="1"/>
  <c r="G1326" i="1"/>
  <c r="G1327" i="1"/>
  <c r="G1328" i="1"/>
  <c r="G1329" i="1"/>
  <c r="G1330" i="1"/>
  <c r="D1330" i="1"/>
  <c r="U1323" i="1" l="1"/>
  <c r="U1324" i="1"/>
  <c r="U1325" i="1"/>
  <c r="U1326" i="1"/>
  <c r="U1327" i="1"/>
  <c r="U1328" i="1"/>
  <c r="U1329" i="1"/>
  <c r="X1323" i="1"/>
  <c r="X1324" i="1"/>
  <c r="X1325" i="1"/>
  <c r="X1326" i="1"/>
  <c r="X1327" i="1"/>
  <c r="X1328" i="1"/>
  <c r="X1329" i="1"/>
  <c r="O1327" i="1"/>
  <c r="O1328" i="1"/>
  <c r="O1329" i="1"/>
  <c r="R1327" i="1"/>
  <c r="R1328" i="1"/>
  <c r="R1329" i="1"/>
  <c r="K1325" i="1"/>
  <c r="K1326" i="1"/>
  <c r="K1327" i="1"/>
  <c r="K1328" i="1"/>
  <c r="K1329" i="1"/>
  <c r="D1325" i="1"/>
  <c r="D1326" i="1"/>
  <c r="D1327" i="1"/>
  <c r="D1328" i="1"/>
  <c r="D1329" i="1"/>
  <c r="R1325" i="1" l="1"/>
  <c r="R1326" i="1"/>
  <c r="O1325" i="1"/>
  <c r="O1326" i="1"/>
  <c r="O1324" i="1" l="1"/>
  <c r="R1324" i="1"/>
  <c r="K1324" i="1"/>
  <c r="G1323" i="1"/>
  <c r="G1324" i="1"/>
  <c r="D1324" i="1"/>
  <c r="O1323" i="1" l="1"/>
  <c r="R1323" i="1"/>
  <c r="X1319" i="1"/>
  <c r="X1320" i="1"/>
  <c r="X1321" i="1"/>
  <c r="X1322" i="1"/>
  <c r="U1319" i="1"/>
  <c r="U1320" i="1"/>
  <c r="U1321" i="1"/>
  <c r="U1322" i="1"/>
  <c r="K1323" i="1"/>
  <c r="D1323" i="1"/>
  <c r="O1320" i="1" l="1"/>
  <c r="O1321" i="1"/>
  <c r="O1322" i="1"/>
  <c r="R1320" i="1"/>
  <c r="R1321" i="1"/>
  <c r="R1322" i="1"/>
  <c r="D1320" i="1"/>
  <c r="D1321" i="1"/>
  <c r="D1322" i="1"/>
  <c r="G1320" i="1"/>
  <c r="G1321" i="1"/>
  <c r="G1322" i="1"/>
  <c r="K1320" i="1"/>
  <c r="K1321" i="1"/>
  <c r="K1322" i="1"/>
  <c r="O1317" i="1" l="1"/>
  <c r="O1318" i="1"/>
  <c r="O1319" i="1"/>
  <c r="R1316" i="1"/>
  <c r="R1317" i="1"/>
  <c r="R1318" i="1"/>
  <c r="R1319" i="1"/>
  <c r="K1317" i="1"/>
  <c r="K1318" i="1"/>
  <c r="K1319" i="1"/>
  <c r="G1317" i="1"/>
  <c r="G1318" i="1"/>
  <c r="G1319" i="1"/>
  <c r="D1317" i="1"/>
  <c r="D1318" i="1"/>
  <c r="D1319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O1313" i="1" l="1"/>
  <c r="O1314" i="1"/>
  <c r="O1315" i="1"/>
  <c r="O1316" i="1"/>
  <c r="R1313" i="1"/>
  <c r="R1314" i="1"/>
  <c r="R1315" i="1"/>
  <c r="K1314" i="1" l="1"/>
  <c r="K1315" i="1"/>
  <c r="K1316" i="1"/>
  <c r="G1313" i="1"/>
  <c r="G1314" i="1"/>
  <c r="G1315" i="1"/>
  <c r="G1316" i="1"/>
  <c r="D1313" i="1"/>
  <c r="D1314" i="1"/>
  <c r="D1315" i="1"/>
  <c r="D1316" i="1"/>
  <c r="R1309" i="1" l="1"/>
  <c r="R1310" i="1"/>
  <c r="R1311" i="1"/>
  <c r="R1312" i="1"/>
  <c r="O1310" i="1"/>
  <c r="O1311" i="1"/>
  <c r="O1312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O1309" i="1" l="1"/>
  <c r="R1305" i="1" l="1"/>
  <c r="R1306" i="1"/>
  <c r="R1307" i="1"/>
  <c r="R1308" i="1"/>
  <c r="O1306" i="1"/>
  <c r="O1307" i="1"/>
  <c r="O1308" i="1"/>
  <c r="O1304" i="1" l="1"/>
  <c r="O1305" i="1"/>
  <c r="R1304" i="1"/>
  <c r="O1303" i="1" l="1"/>
  <c r="R1303" i="1"/>
  <c r="R1297" i="1" l="1"/>
  <c r="R1298" i="1"/>
  <c r="R1299" i="1"/>
  <c r="R1300" i="1"/>
  <c r="R1301" i="1"/>
  <c r="R1302" i="1"/>
  <c r="O1297" i="1"/>
  <c r="O1298" i="1"/>
  <c r="O1299" i="1"/>
  <c r="O1300" i="1"/>
  <c r="O1301" i="1"/>
  <c r="O1302" i="1"/>
  <c r="O1295" i="1" l="1"/>
  <c r="O1296" i="1"/>
  <c r="R1295" i="1"/>
  <c r="R1296" i="1"/>
  <c r="O1292" i="1" l="1"/>
  <c r="O1293" i="1"/>
  <c r="O1294" i="1"/>
  <c r="R1292" i="1" l="1"/>
  <c r="R1293" i="1"/>
  <c r="R1294" i="1"/>
  <c r="O1290" i="1"/>
  <c r="O1291" i="1"/>
  <c r="R1290" i="1"/>
  <c r="R1291" i="1"/>
  <c r="O1289" i="1" l="1"/>
  <c r="R1289" i="1"/>
  <c r="O1288" i="1" l="1"/>
  <c r="R1288" i="1"/>
  <c r="R1285" i="1" l="1"/>
  <c r="R1286" i="1"/>
  <c r="R1287" i="1"/>
  <c r="O1285" i="1"/>
  <c r="O1286" i="1"/>
  <c r="O1287" i="1"/>
  <c r="O1283" i="1" l="1"/>
  <c r="O1284" i="1"/>
  <c r="R1283" i="1"/>
  <c r="R1284" i="1"/>
  <c r="O1282" i="1" l="1"/>
  <c r="R1282" i="1"/>
  <c r="R1278" i="1" l="1"/>
  <c r="R1279" i="1"/>
  <c r="R1280" i="1"/>
  <c r="R1281" i="1"/>
  <c r="O1278" i="1"/>
  <c r="O1279" i="1"/>
  <c r="O1280" i="1"/>
  <c r="O1281" i="1"/>
  <c r="O1275" i="1" l="1"/>
  <c r="O1276" i="1"/>
  <c r="O1277" i="1"/>
  <c r="R1275" i="1"/>
  <c r="R1276" i="1"/>
  <c r="R1277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D1275" i="1"/>
  <c r="D1276" i="1"/>
  <c r="D1277" i="1"/>
  <c r="G1275" i="1"/>
  <c r="G1276" i="1"/>
  <c r="G1277" i="1"/>
  <c r="K1275" i="1"/>
  <c r="K1276" i="1"/>
  <c r="K1277" i="1"/>
  <c r="O1274" i="1" l="1"/>
  <c r="R1274" i="1"/>
  <c r="D1271" i="1"/>
  <c r="D1272" i="1"/>
  <c r="D1273" i="1"/>
  <c r="D1274" i="1"/>
  <c r="G1271" i="1"/>
  <c r="G1272" i="1"/>
  <c r="G1273" i="1"/>
  <c r="G1274" i="1"/>
  <c r="K1271" i="1"/>
  <c r="K1272" i="1"/>
  <c r="K1273" i="1"/>
  <c r="K1274" i="1"/>
  <c r="O1271" i="1" l="1"/>
  <c r="O1272" i="1"/>
  <c r="O1273" i="1"/>
  <c r="R1271" i="1"/>
  <c r="R1272" i="1"/>
  <c r="R1273" i="1"/>
  <c r="O1269" i="1" l="1"/>
  <c r="O1270" i="1"/>
  <c r="R1270" i="1"/>
  <c r="R1269" i="1"/>
  <c r="D1270" i="1"/>
  <c r="G1270" i="1"/>
  <c r="K1270" i="1"/>
  <c r="D1269" i="1"/>
  <c r="G1269" i="1"/>
  <c r="K1269" i="1"/>
  <c r="O1268" i="1" l="1"/>
  <c r="R1268" i="1"/>
  <c r="K1268" i="1"/>
  <c r="G1268" i="1"/>
  <c r="D1268" i="1"/>
  <c r="K1264" i="1" l="1"/>
  <c r="K1265" i="1"/>
  <c r="K1266" i="1"/>
  <c r="K1267" i="1"/>
  <c r="G1264" i="1"/>
  <c r="G1265" i="1"/>
  <c r="G1266" i="1"/>
  <c r="G1267" i="1"/>
  <c r="D1264" i="1"/>
  <c r="D1265" i="1"/>
  <c r="D1266" i="1"/>
  <c r="D1267" i="1"/>
  <c r="R1264" i="1"/>
  <c r="R1265" i="1"/>
  <c r="R1266" i="1"/>
  <c r="R1267" i="1"/>
  <c r="O1264" i="1"/>
  <c r="O1265" i="1"/>
  <c r="O1266" i="1"/>
  <c r="O1267" i="1"/>
  <c r="O1262" i="1" l="1"/>
  <c r="O1263" i="1"/>
  <c r="R1262" i="1"/>
  <c r="R1263" i="1"/>
  <c r="D1263" i="1"/>
  <c r="G1263" i="1"/>
  <c r="K1262" i="1"/>
  <c r="K1263" i="1"/>
  <c r="G1262" i="1"/>
  <c r="D1262" i="1"/>
  <c r="K1261" i="1" l="1"/>
  <c r="G1261" i="1"/>
  <c r="D1261" i="1"/>
  <c r="R1261" i="1"/>
  <c r="O1261" i="1"/>
  <c r="O1257" i="1" l="1"/>
  <c r="O1258" i="1"/>
  <c r="O1259" i="1"/>
  <c r="O1260" i="1"/>
  <c r="R1257" i="1"/>
  <c r="R1258" i="1"/>
  <c r="R1259" i="1"/>
  <c r="R1260" i="1"/>
  <c r="D1255" i="1" l="1"/>
  <c r="D1256" i="1"/>
  <c r="D1257" i="1"/>
  <c r="D1258" i="1"/>
  <c r="D1259" i="1"/>
  <c r="D1260" i="1"/>
  <c r="G1255" i="1"/>
  <c r="G1256" i="1"/>
  <c r="G1257" i="1"/>
  <c r="G1258" i="1"/>
  <c r="G1259" i="1"/>
  <c r="G1260" i="1"/>
  <c r="K1255" i="1"/>
  <c r="K1256" i="1"/>
  <c r="K1257" i="1"/>
  <c r="K1258" i="1"/>
  <c r="K1259" i="1"/>
  <c r="K1260" i="1"/>
  <c r="O1255" i="1" l="1"/>
  <c r="O1256" i="1"/>
  <c r="R1255" i="1"/>
  <c r="R1256" i="1"/>
  <c r="X1254" i="1"/>
  <c r="X1255" i="1"/>
  <c r="U1254" i="1"/>
  <c r="U1255" i="1"/>
  <c r="O1254" i="1" l="1"/>
  <c r="R1254" i="1"/>
  <c r="K1254" i="1"/>
  <c r="G1254" i="1"/>
  <c r="D1254" i="1"/>
  <c r="O1250" i="1" l="1"/>
  <c r="O1251" i="1"/>
  <c r="O1252" i="1"/>
  <c r="O1253" i="1"/>
  <c r="X1248" i="1" l="1"/>
  <c r="X1249" i="1"/>
  <c r="X1250" i="1"/>
  <c r="X1251" i="1"/>
  <c r="X1252" i="1"/>
  <c r="X1253" i="1"/>
  <c r="U1248" i="1"/>
  <c r="U1249" i="1"/>
  <c r="U1250" i="1"/>
  <c r="U1251" i="1"/>
  <c r="U1252" i="1"/>
  <c r="U1253" i="1"/>
  <c r="K1248" i="1"/>
  <c r="K1249" i="1"/>
  <c r="K1250" i="1"/>
  <c r="K1251" i="1"/>
  <c r="K1252" i="1"/>
  <c r="K1253" i="1"/>
  <c r="G1248" i="1"/>
  <c r="G1249" i="1"/>
  <c r="G1250" i="1"/>
  <c r="G1251" i="1"/>
  <c r="G1252" i="1"/>
  <c r="G1253" i="1"/>
  <c r="D1248" i="1"/>
  <c r="D1249" i="1"/>
  <c r="D1250" i="1"/>
  <c r="D1251" i="1"/>
  <c r="D1252" i="1"/>
  <c r="D1253" i="1"/>
  <c r="R1250" i="1"/>
  <c r="R1251" i="1"/>
  <c r="R1252" i="1"/>
  <c r="R1253" i="1"/>
  <c r="R1248" i="1" l="1"/>
  <c r="R1249" i="1"/>
  <c r="O1248" i="1"/>
  <c r="O1249" i="1"/>
  <c r="R1247" i="1" l="1"/>
  <c r="O1247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K1247" i="1"/>
  <c r="G1247" i="1"/>
  <c r="D1247" i="1"/>
  <c r="R1246" i="1" l="1"/>
  <c r="O1246" i="1"/>
  <c r="K1246" i="1"/>
  <c r="G1246" i="1"/>
  <c r="D1246" i="1"/>
  <c r="R1243" i="1" l="1"/>
  <c r="R1244" i="1"/>
  <c r="R1245" i="1"/>
  <c r="O1243" i="1"/>
  <c r="O1244" i="1"/>
  <c r="O1245" i="1"/>
  <c r="K1241" i="1"/>
  <c r="K1242" i="1"/>
  <c r="K1243" i="1"/>
  <c r="K1244" i="1"/>
  <c r="K1245" i="1"/>
  <c r="G1241" i="1"/>
  <c r="G1242" i="1"/>
  <c r="G1243" i="1"/>
  <c r="G1244" i="1"/>
  <c r="G1245" i="1"/>
  <c r="D1241" i="1"/>
  <c r="D1242" i="1"/>
  <c r="D1243" i="1"/>
  <c r="D1244" i="1"/>
  <c r="D1245" i="1"/>
  <c r="O1241" i="1" l="1"/>
  <c r="O1242" i="1"/>
  <c r="R1241" i="1"/>
  <c r="R1242" i="1"/>
  <c r="O1240" i="1" l="1"/>
  <c r="R1240" i="1"/>
  <c r="K1240" i="1"/>
  <c r="G1240" i="1"/>
  <c r="D1240" i="1"/>
  <c r="O1237" i="1" l="1"/>
  <c r="O1238" i="1"/>
  <c r="O1239" i="1"/>
  <c r="K1235" i="1" l="1"/>
  <c r="K1236" i="1"/>
  <c r="K1237" i="1"/>
  <c r="K1238" i="1"/>
  <c r="K1239" i="1"/>
  <c r="G1235" i="1"/>
  <c r="G1236" i="1"/>
  <c r="G1237" i="1"/>
  <c r="G1238" i="1"/>
  <c r="G1239" i="1"/>
  <c r="D1235" i="1"/>
  <c r="D1236" i="1"/>
  <c r="D1237" i="1"/>
  <c r="D1238" i="1"/>
  <c r="D1239" i="1"/>
  <c r="O1234" i="1" l="1"/>
  <c r="O1235" i="1"/>
  <c r="O1236" i="1"/>
  <c r="R1233" i="1"/>
  <c r="R1234" i="1"/>
  <c r="R1235" i="1"/>
  <c r="R1236" i="1"/>
  <c r="R1237" i="1"/>
  <c r="R1238" i="1"/>
  <c r="R1239" i="1"/>
  <c r="K1234" i="1"/>
  <c r="G1234" i="1"/>
  <c r="D1234" i="1"/>
  <c r="O1233" i="1" l="1"/>
  <c r="K1233" i="1"/>
  <c r="G1233" i="1"/>
  <c r="D1233" i="1"/>
  <c r="O1232" i="1" l="1"/>
  <c r="R1232" i="1"/>
  <c r="K1229" i="1"/>
  <c r="K1230" i="1"/>
  <c r="K1231" i="1"/>
  <c r="K1232" i="1"/>
  <c r="G1229" i="1"/>
  <c r="G1230" i="1"/>
  <c r="G1231" i="1"/>
  <c r="G1232" i="1"/>
  <c r="D1229" i="1"/>
  <c r="D1230" i="1"/>
  <c r="D1231" i="1"/>
  <c r="D1232" i="1"/>
  <c r="R1229" i="1" l="1"/>
  <c r="R1230" i="1"/>
  <c r="R1231" i="1"/>
  <c r="O1229" i="1"/>
  <c r="O1230" i="1"/>
  <c r="O1231" i="1"/>
  <c r="O1227" i="1" l="1"/>
  <c r="O1228" i="1"/>
  <c r="R1227" i="1"/>
  <c r="R1228" i="1"/>
  <c r="D1227" i="1"/>
  <c r="D1228" i="1"/>
  <c r="G1227" i="1"/>
  <c r="G1228" i="1"/>
  <c r="K1227" i="1"/>
  <c r="K1228" i="1"/>
  <c r="K1226" i="1" l="1"/>
  <c r="G1226" i="1"/>
  <c r="D1226" i="1"/>
  <c r="O1226" i="1"/>
  <c r="R1226" i="1"/>
  <c r="O1222" i="1" l="1"/>
  <c r="O1223" i="1"/>
  <c r="O1224" i="1"/>
  <c r="O1225" i="1"/>
  <c r="R1222" i="1"/>
  <c r="R1223" i="1"/>
  <c r="R1224" i="1"/>
  <c r="R1225" i="1"/>
  <c r="K1222" i="1"/>
  <c r="K1223" i="1"/>
  <c r="K1224" i="1"/>
  <c r="K1225" i="1"/>
  <c r="G1222" i="1"/>
  <c r="G1223" i="1"/>
  <c r="G1224" i="1"/>
  <c r="G1225" i="1"/>
  <c r="D1222" i="1"/>
  <c r="D1223" i="1"/>
  <c r="D1224" i="1"/>
  <c r="D1225" i="1"/>
  <c r="O1220" i="1" l="1"/>
  <c r="O1221" i="1"/>
  <c r="R1220" i="1"/>
  <c r="R1221" i="1"/>
  <c r="D1220" i="1"/>
  <c r="D1221" i="1"/>
  <c r="G1220" i="1"/>
  <c r="G1221" i="1"/>
  <c r="K1220" i="1"/>
  <c r="K1221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G1219" i="1" l="1"/>
  <c r="K1219" i="1"/>
  <c r="D1219" i="1"/>
  <c r="O1219" i="1"/>
  <c r="R1219" i="1"/>
  <c r="O1218" i="1" l="1"/>
  <c r="R1218" i="1"/>
  <c r="K1218" i="1"/>
  <c r="G1218" i="1"/>
  <c r="D1218" i="1"/>
  <c r="K1215" i="1" l="1"/>
  <c r="K1216" i="1"/>
  <c r="K1217" i="1"/>
  <c r="G1215" i="1"/>
  <c r="G1216" i="1"/>
  <c r="G1217" i="1"/>
  <c r="D1215" i="1"/>
  <c r="D1216" i="1"/>
  <c r="D1217" i="1"/>
  <c r="O1215" i="1" l="1"/>
  <c r="O1216" i="1"/>
  <c r="O1217" i="1"/>
  <c r="R1215" i="1"/>
  <c r="R1216" i="1"/>
  <c r="R1217" i="1"/>
  <c r="K1213" i="1" l="1"/>
  <c r="K1214" i="1"/>
  <c r="G1213" i="1"/>
  <c r="G1214" i="1"/>
  <c r="D1213" i="1"/>
  <c r="D1214" i="1"/>
  <c r="R1213" i="1"/>
  <c r="R1214" i="1"/>
  <c r="O1213" i="1"/>
  <c r="O1214" i="1"/>
  <c r="O1212" i="1" l="1"/>
  <c r="R1212" i="1"/>
  <c r="K1212" i="1" l="1"/>
  <c r="G1212" i="1"/>
  <c r="D1212" i="1"/>
  <c r="O1211" i="1" l="1"/>
  <c r="R1211" i="1"/>
  <c r="K1207" i="1"/>
  <c r="K1208" i="1"/>
  <c r="K1209" i="1"/>
  <c r="K1210" i="1"/>
  <c r="K1211" i="1"/>
  <c r="G1207" i="1"/>
  <c r="G1208" i="1"/>
  <c r="G1209" i="1"/>
  <c r="G1210" i="1"/>
  <c r="G1211" i="1"/>
  <c r="D1207" i="1"/>
  <c r="D1208" i="1"/>
  <c r="D1209" i="1"/>
  <c r="D1210" i="1"/>
  <c r="D1211" i="1"/>
  <c r="O1208" i="1" l="1"/>
  <c r="O1209" i="1"/>
  <c r="O1210" i="1"/>
  <c r="R1208" i="1"/>
  <c r="R1209" i="1"/>
  <c r="R1210" i="1"/>
  <c r="O1206" i="1" l="1"/>
  <c r="O1207" i="1"/>
  <c r="R1206" i="1"/>
  <c r="R1207" i="1"/>
  <c r="K1206" i="1"/>
  <c r="G1206" i="1"/>
  <c r="D1206" i="1"/>
  <c r="U1168" i="1" l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166" i="1"/>
  <c r="U1167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K1205" i="1" l="1"/>
  <c r="G1205" i="1"/>
  <c r="D1205" i="1"/>
  <c r="R1205" i="1"/>
  <c r="O1205" i="1"/>
  <c r="G1197" i="1" l="1"/>
  <c r="G1198" i="1"/>
  <c r="G1199" i="1"/>
  <c r="G1200" i="1"/>
  <c r="G1201" i="1"/>
  <c r="G1202" i="1"/>
  <c r="G1203" i="1"/>
  <c r="G1204" i="1"/>
  <c r="K1198" i="1"/>
  <c r="K1199" i="1"/>
  <c r="K1200" i="1"/>
  <c r="K1201" i="1"/>
  <c r="K1202" i="1"/>
  <c r="K1203" i="1"/>
  <c r="K1204" i="1"/>
  <c r="D1198" i="1"/>
  <c r="D1199" i="1"/>
  <c r="D1200" i="1"/>
  <c r="D1201" i="1"/>
  <c r="D1202" i="1"/>
  <c r="D1203" i="1"/>
  <c r="D1204" i="1"/>
  <c r="O1198" i="1"/>
  <c r="O1199" i="1"/>
  <c r="O1200" i="1"/>
  <c r="O1201" i="1"/>
  <c r="O1202" i="1"/>
  <c r="O1203" i="1"/>
  <c r="O1204" i="1"/>
  <c r="R1198" i="1"/>
  <c r="R1199" i="1"/>
  <c r="R1200" i="1"/>
  <c r="R1201" i="1"/>
  <c r="R1202" i="1"/>
  <c r="R1203" i="1"/>
  <c r="R1204" i="1"/>
  <c r="R1194" i="1" l="1"/>
  <c r="R1195" i="1"/>
  <c r="R1196" i="1"/>
  <c r="R1197" i="1"/>
  <c r="O1194" i="1"/>
  <c r="O1195" i="1"/>
  <c r="O1196" i="1"/>
  <c r="O1197" i="1"/>
  <c r="K1197" i="1"/>
  <c r="D1197" i="1"/>
  <c r="K1194" i="1"/>
  <c r="K1195" i="1"/>
  <c r="K1196" i="1"/>
  <c r="G1194" i="1"/>
  <c r="G1195" i="1"/>
  <c r="G1196" i="1"/>
  <c r="D1194" i="1"/>
  <c r="D1195" i="1"/>
  <c r="D1196" i="1"/>
  <c r="R1187" i="1"/>
  <c r="R1188" i="1"/>
  <c r="R1189" i="1"/>
  <c r="R1190" i="1"/>
  <c r="R1191" i="1"/>
  <c r="R1192" i="1"/>
  <c r="R1193" i="1"/>
  <c r="O1187" i="1"/>
  <c r="O1188" i="1"/>
  <c r="O1189" i="1"/>
  <c r="O1190" i="1"/>
  <c r="O1191" i="1"/>
  <c r="O1192" i="1"/>
  <c r="O1193" i="1"/>
  <c r="K1184" i="1"/>
  <c r="K1185" i="1"/>
  <c r="K1186" i="1"/>
  <c r="K1187" i="1"/>
  <c r="K1188" i="1"/>
  <c r="K1189" i="1"/>
  <c r="K1190" i="1"/>
  <c r="K1191" i="1"/>
  <c r="K1192" i="1"/>
  <c r="K1193" i="1"/>
  <c r="G1184" i="1"/>
  <c r="G1185" i="1"/>
  <c r="G1186" i="1"/>
  <c r="G1187" i="1"/>
  <c r="G1188" i="1"/>
  <c r="G1189" i="1"/>
  <c r="G1190" i="1"/>
  <c r="G1191" i="1"/>
  <c r="G1192" i="1"/>
  <c r="G1193" i="1"/>
  <c r="D1184" i="1"/>
  <c r="D1185" i="1"/>
  <c r="D1186" i="1"/>
  <c r="D1187" i="1"/>
  <c r="D1188" i="1"/>
  <c r="D1189" i="1"/>
  <c r="D1190" i="1"/>
  <c r="D1191" i="1"/>
  <c r="D1192" i="1"/>
  <c r="D1193" i="1"/>
  <c r="O1185" i="1"/>
  <c r="O1186" i="1"/>
  <c r="R1185" i="1"/>
  <c r="R1186" i="1"/>
  <c r="O1184" i="1" l="1"/>
  <c r="R1184" i="1"/>
  <c r="O1183" i="1" l="1"/>
  <c r="R1183" i="1"/>
  <c r="K1180" i="1"/>
  <c r="K1181" i="1"/>
  <c r="K1182" i="1"/>
  <c r="K1183" i="1"/>
  <c r="G1178" i="1"/>
  <c r="G1179" i="1"/>
  <c r="G1180" i="1"/>
  <c r="G1181" i="1"/>
  <c r="G1182" i="1"/>
  <c r="G1183" i="1"/>
  <c r="D1180" i="1"/>
  <c r="D1181" i="1"/>
  <c r="D1182" i="1"/>
  <c r="D1183" i="1"/>
  <c r="O1180" i="1" l="1"/>
  <c r="O1181" i="1"/>
  <c r="O1182" i="1"/>
  <c r="R1180" i="1"/>
  <c r="R1181" i="1"/>
  <c r="R1182" i="1"/>
  <c r="O1178" i="1" l="1"/>
  <c r="O1179" i="1"/>
  <c r="R1178" i="1"/>
  <c r="R1179" i="1"/>
  <c r="K1178" i="1"/>
  <c r="K1179" i="1"/>
  <c r="D1178" i="1"/>
  <c r="D1179" i="1"/>
  <c r="O1177" i="1" l="1"/>
  <c r="R1177" i="1"/>
  <c r="K1177" i="1"/>
  <c r="G1177" i="1"/>
  <c r="D1177" i="1"/>
  <c r="R1176" i="1" l="1"/>
  <c r="O1176" i="1"/>
  <c r="K1176" i="1"/>
  <c r="G1176" i="1"/>
  <c r="D1176" i="1"/>
  <c r="O1173" i="1" l="1"/>
  <c r="O1174" i="1"/>
  <c r="O1175" i="1"/>
  <c r="R1173" i="1"/>
  <c r="R1174" i="1"/>
  <c r="R1175" i="1"/>
  <c r="K1172" i="1"/>
  <c r="K1173" i="1"/>
  <c r="K1174" i="1"/>
  <c r="K1175" i="1"/>
  <c r="G1172" i="1"/>
  <c r="G1173" i="1"/>
  <c r="G1174" i="1"/>
  <c r="G1175" i="1"/>
  <c r="D1172" i="1"/>
  <c r="D1173" i="1"/>
  <c r="D1174" i="1"/>
  <c r="D1175" i="1"/>
  <c r="O1171" i="1" l="1"/>
  <c r="O1172" i="1"/>
  <c r="R1171" i="1"/>
  <c r="R1172" i="1"/>
  <c r="K1171" i="1"/>
  <c r="G1171" i="1"/>
  <c r="D1171" i="1"/>
  <c r="R1170" i="1" l="1"/>
  <c r="O1170" i="1"/>
  <c r="K1170" i="1"/>
  <c r="G1170" i="1"/>
  <c r="D1170" i="1"/>
  <c r="R1169" i="1" l="1"/>
  <c r="O1169" i="1"/>
  <c r="K1169" i="1"/>
  <c r="G1169" i="1"/>
  <c r="D1169" i="1"/>
  <c r="O1166" i="1"/>
  <c r="O1167" i="1"/>
  <c r="O1168" i="1"/>
  <c r="R1166" i="1"/>
  <c r="R1167" i="1"/>
  <c r="R1168" i="1"/>
  <c r="K1166" i="1"/>
  <c r="K1167" i="1"/>
  <c r="K1168" i="1"/>
  <c r="D1166" i="1"/>
  <c r="D1167" i="1"/>
  <c r="D1168" i="1"/>
  <c r="G1166" i="1"/>
  <c r="G1167" i="1"/>
  <c r="G1168" i="1"/>
  <c r="K1164" i="1" l="1"/>
  <c r="K1165" i="1"/>
  <c r="G1164" i="1"/>
  <c r="G1165" i="1"/>
  <c r="D1164" i="1"/>
  <c r="D1165" i="1"/>
  <c r="O1164" i="1" l="1"/>
  <c r="O1165" i="1"/>
  <c r="R1165" i="1"/>
  <c r="R1164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O1163" i="1" l="1"/>
  <c r="R1163" i="1"/>
  <c r="K1163" i="1"/>
  <c r="G1163" i="1"/>
  <c r="D1163" i="1"/>
  <c r="R1162" i="1" l="1"/>
  <c r="O1162" i="1"/>
  <c r="K1159" i="1"/>
  <c r="K1160" i="1"/>
  <c r="K1161" i="1"/>
  <c r="K1162" i="1"/>
  <c r="G1162" i="1"/>
  <c r="D1162" i="1"/>
  <c r="G1159" i="1" l="1"/>
  <c r="G1160" i="1"/>
  <c r="G1161" i="1"/>
  <c r="D1159" i="1"/>
  <c r="D1160" i="1"/>
  <c r="D1161" i="1"/>
  <c r="O1160" i="1"/>
  <c r="O1161" i="1"/>
  <c r="O1159" i="1"/>
  <c r="R1159" i="1"/>
  <c r="R1160" i="1"/>
  <c r="R1161" i="1"/>
  <c r="O1157" i="1" l="1"/>
  <c r="O1158" i="1"/>
  <c r="R1157" i="1"/>
  <c r="R1158" i="1"/>
  <c r="D1156" i="1"/>
  <c r="D1157" i="1"/>
  <c r="D1158" i="1"/>
  <c r="G1156" i="1"/>
  <c r="G1157" i="1"/>
  <c r="G1158" i="1"/>
  <c r="K1156" i="1"/>
  <c r="K1157" i="1"/>
  <c r="K1158" i="1"/>
  <c r="O1156" i="1" l="1"/>
  <c r="R1156" i="1"/>
  <c r="R1155" i="1" l="1"/>
  <c r="O1155" i="1"/>
  <c r="K1152" i="1"/>
  <c r="K1153" i="1"/>
  <c r="K1154" i="1"/>
  <c r="K1155" i="1"/>
  <c r="G1152" i="1"/>
  <c r="G1153" i="1"/>
  <c r="G1154" i="1"/>
  <c r="G1155" i="1"/>
  <c r="D1152" i="1"/>
  <c r="D1153" i="1"/>
  <c r="D1154" i="1"/>
  <c r="D1155" i="1"/>
  <c r="O1152" i="1" l="1"/>
  <c r="O1153" i="1"/>
  <c r="O1154" i="1"/>
  <c r="R1152" i="1"/>
  <c r="R1153" i="1"/>
  <c r="R1154" i="1"/>
  <c r="K1151" i="1" l="1"/>
  <c r="G1151" i="1"/>
  <c r="D1151" i="1"/>
  <c r="O1151" i="1" l="1"/>
  <c r="O1150" i="1"/>
  <c r="K1150" i="1"/>
  <c r="G1150" i="1"/>
  <c r="D1150" i="1"/>
  <c r="R1150" i="1"/>
  <c r="R1151" i="1"/>
  <c r="O1149" i="1" l="1"/>
  <c r="R1149" i="1"/>
  <c r="K1149" i="1"/>
  <c r="G1149" i="1"/>
  <c r="D1149" i="1"/>
  <c r="O1148" i="1" l="1"/>
  <c r="O1146" i="1"/>
  <c r="O1147" i="1"/>
  <c r="R1148" i="1"/>
  <c r="K1145" i="1" l="1"/>
  <c r="K1146" i="1"/>
  <c r="K1147" i="1"/>
  <c r="K1148" i="1"/>
  <c r="G1145" i="1"/>
  <c r="G1146" i="1"/>
  <c r="G1147" i="1"/>
  <c r="G1148" i="1"/>
  <c r="D1145" i="1"/>
  <c r="D1146" i="1"/>
  <c r="D1147" i="1"/>
  <c r="D1148" i="1"/>
  <c r="R1145" i="1"/>
  <c r="R1146" i="1"/>
  <c r="R1147" i="1"/>
  <c r="O1145" i="1"/>
  <c r="O1143" i="1" l="1"/>
  <c r="O1144" i="1"/>
  <c r="R1143" i="1" l="1"/>
  <c r="R1144" i="1"/>
  <c r="K1143" i="1" l="1"/>
  <c r="K1144" i="1"/>
  <c r="G1143" i="1"/>
  <c r="G1144" i="1"/>
  <c r="D1143" i="1"/>
  <c r="D1144" i="1"/>
  <c r="O1142" i="1" l="1"/>
  <c r="K1142" i="1"/>
  <c r="G1142" i="1"/>
  <c r="H1142" i="1" s="1"/>
  <c r="D1142" i="1"/>
  <c r="R1142" i="1" l="1"/>
  <c r="O1141" i="1" l="1"/>
  <c r="R1141" i="1"/>
  <c r="K1141" i="1"/>
  <c r="G1141" i="1"/>
  <c r="H1141" i="1" s="1"/>
  <c r="D1141" i="1"/>
  <c r="K1137" i="1" l="1"/>
  <c r="K1138" i="1"/>
  <c r="K1139" i="1"/>
  <c r="K1140" i="1"/>
  <c r="G1137" i="1"/>
  <c r="G1138" i="1"/>
  <c r="G1139" i="1"/>
  <c r="G1140" i="1"/>
  <c r="H1140" i="1" s="1"/>
  <c r="D1137" i="1"/>
  <c r="D1138" i="1"/>
  <c r="D1139" i="1"/>
  <c r="D1140" i="1"/>
  <c r="H1139" i="1" l="1"/>
  <c r="H1138" i="1"/>
  <c r="H1137" i="1"/>
  <c r="O1139" i="1"/>
  <c r="O1140" i="1"/>
  <c r="O1138" i="1"/>
  <c r="R1138" i="1"/>
  <c r="R1139" i="1"/>
  <c r="R1140" i="1"/>
  <c r="O1136" i="1" l="1"/>
  <c r="O1137" i="1"/>
  <c r="R1137" i="1" l="1"/>
  <c r="R1136" i="1"/>
  <c r="K1136" i="1"/>
  <c r="H1136" i="1"/>
  <c r="G1136" i="1"/>
  <c r="D1136" i="1"/>
  <c r="O1135" i="1" l="1"/>
  <c r="R1135" i="1" l="1"/>
  <c r="D1135" i="1" l="1"/>
  <c r="G1135" i="1"/>
  <c r="H1135" i="1" s="1"/>
  <c r="K1135" i="1"/>
  <c r="U1130" i="1"/>
  <c r="U1131" i="1"/>
  <c r="U1132" i="1"/>
  <c r="U1133" i="1"/>
  <c r="U1134" i="1"/>
  <c r="U1135" i="1"/>
  <c r="X1130" i="1"/>
  <c r="X1131" i="1"/>
  <c r="X1132" i="1"/>
  <c r="X1133" i="1"/>
  <c r="X1134" i="1"/>
  <c r="X1135" i="1"/>
  <c r="O1134" i="1"/>
  <c r="R1131" i="1" l="1"/>
  <c r="R1132" i="1"/>
  <c r="R1133" i="1"/>
  <c r="R1134" i="1"/>
  <c r="K1134" i="1" l="1"/>
  <c r="G1134" i="1"/>
  <c r="D1134" i="1"/>
  <c r="O1132" i="1"/>
  <c r="O1133" i="1"/>
  <c r="H1134" i="1" l="1"/>
  <c r="O1124" i="1"/>
  <c r="O1125" i="1"/>
  <c r="O1126" i="1"/>
  <c r="O1127" i="1"/>
  <c r="O1128" i="1"/>
  <c r="O1129" i="1"/>
  <c r="O1130" i="1"/>
  <c r="O1131" i="1"/>
  <c r="R1123" i="1"/>
  <c r="R1124" i="1"/>
  <c r="R1125" i="1"/>
  <c r="R1126" i="1"/>
  <c r="R1127" i="1"/>
  <c r="R1128" i="1"/>
  <c r="R1129" i="1"/>
  <c r="R1130" i="1"/>
  <c r="K1117" i="1" l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G1117" i="1"/>
  <c r="G1118" i="1"/>
  <c r="G1119" i="1"/>
  <c r="H1119" i="1" s="1"/>
  <c r="G1120" i="1"/>
  <c r="G1121" i="1"/>
  <c r="G1122" i="1"/>
  <c r="G1123" i="1"/>
  <c r="H1123" i="1" s="1"/>
  <c r="G1124" i="1"/>
  <c r="G1125" i="1"/>
  <c r="G1126" i="1"/>
  <c r="G1127" i="1"/>
  <c r="H1127" i="1" s="1"/>
  <c r="G1128" i="1"/>
  <c r="G1129" i="1"/>
  <c r="G1130" i="1"/>
  <c r="G1131" i="1"/>
  <c r="H1131" i="1" s="1"/>
  <c r="G1132" i="1"/>
  <c r="G1133" i="1"/>
  <c r="H1133" i="1" s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H1130" i="1" l="1"/>
  <c r="H1126" i="1"/>
  <c r="H1122" i="1"/>
  <c r="H1118" i="1"/>
  <c r="H1129" i="1"/>
  <c r="H1125" i="1"/>
  <c r="H1121" i="1"/>
  <c r="H1117" i="1"/>
  <c r="H1132" i="1"/>
  <c r="H1128" i="1"/>
  <c r="H1124" i="1"/>
  <c r="H1120" i="1"/>
  <c r="O1123" i="1"/>
  <c r="O1121" i="1" l="1"/>
  <c r="O1122" i="1"/>
  <c r="O1117" i="1" l="1"/>
  <c r="O1118" i="1"/>
  <c r="O1119" i="1"/>
  <c r="O1120" i="1"/>
  <c r="R1117" i="1" l="1"/>
  <c r="R1118" i="1"/>
  <c r="R1119" i="1"/>
  <c r="R1120" i="1"/>
  <c r="R1121" i="1"/>
  <c r="R1122" i="1"/>
  <c r="O1116" i="1"/>
  <c r="R1115" i="1" l="1"/>
  <c r="R1116" i="1"/>
  <c r="O1115" i="1"/>
  <c r="D1115" i="1"/>
  <c r="D1116" i="1"/>
  <c r="G1115" i="1"/>
  <c r="G1116" i="1"/>
  <c r="H1116" i="1" s="1"/>
  <c r="K1115" i="1"/>
  <c r="K1116" i="1"/>
  <c r="H1115" i="1" l="1"/>
  <c r="O1114" i="1"/>
  <c r="R1114" i="1" l="1"/>
  <c r="K1114" i="1"/>
  <c r="G1114" i="1"/>
  <c r="D1114" i="1"/>
  <c r="H1114" i="1" l="1"/>
  <c r="O1113" i="1"/>
  <c r="R1113" i="1"/>
  <c r="K1110" i="1" l="1"/>
  <c r="K1111" i="1"/>
  <c r="K1112" i="1"/>
  <c r="K1113" i="1"/>
  <c r="G1110" i="1"/>
  <c r="G1111" i="1"/>
  <c r="G1112" i="1"/>
  <c r="G1113" i="1"/>
  <c r="H1113" i="1" s="1"/>
  <c r="D1110" i="1"/>
  <c r="D1111" i="1"/>
  <c r="D1112" i="1"/>
  <c r="D1113" i="1"/>
  <c r="H1112" i="1" l="1"/>
  <c r="H1111" i="1"/>
  <c r="H1110" i="1"/>
  <c r="O1111" i="1"/>
  <c r="O1112" i="1"/>
  <c r="O1110" i="1"/>
  <c r="R1110" i="1" l="1"/>
  <c r="R1111" i="1"/>
  <c r="R1112" i="1"/>
  <c r="O1109" i="1"/>
  <c r="R1109" i="1"/>
  <c r="K1109" i="1"/>
  <c r="D1109" i="1" l="1"/>
  <c r="G1109" i="1"/>
  <c r="H1109" i="1" s="1"/>
  <c r="R1108" i="1" l="1"/>
  <c r="O1108" i="1"/>
  <c r="K1108" i="1"/>
  <c r="G1108" i="1"/>
  <c r="H1108" i="1" s="1"/>
  <c r="D1108" i="1"/>
  <c r="K1107" i="1"/>
  <c r="D1107" i="1"/>
  <c r="G1107" i="1"/>
  <c r="H1107" i="1" s="1"/>
  <c r="O1107" i="1"/>
  <c r="R11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O1106" i="1" l="1"/>
  <c r="R1106" i="1" l="1"/>
  <c r="K1106" i="1"/>
  <c r="G1103" i="1"/>
  <c r="G1104" i="1"/>
  <c r="G1105" i="1"/>
  <c r="G1106" i="1"/>
  <c r="D1106" i="1" l="1"/>
  <c r="H1106" i="1" s="1"/>
  <c r="O1103" i="1" l="1"/>
  <c r="O1104" i="1"/>
  <c r="O1105" i="1"/>
  <c r="K1103" i="1"/>
  <c r="K1104" i="1"/>
  <c r="K1105" i="1"/>
  <c r="D1103" i="1"/>
  <c r="H1103" i="1" s="1"/>
  <c r="D1104" i="1"/>
  <c r="H1104" i="1" s="1"/>
  <c r="D1105" i="1"/>
  <c r="H1105" i="1" s="1"/>
  <c r="R1103" i="1"/>
  <c r="R1104" i="1"/>
  <c r="R1105" i="1"/>
  <c r="O1102" i="1"/>
  <c r="K1101" i="1"/>
  <c r="K1102" i="1"/>
  <c r="G1102" i="1"/>
  <c r="H1102" i="1" s="1"/>
  <c r="D1101" i="1"/>
  <c r="D1102" i="1"/>
  <c r="R1099" i="1"/>
  <c r="R1100" i="1"/>
  <c r="R1101" i="1"/>
  <c r="R1102" i="1"/>
  <c r="O1099" i="1"/>
  <c r="O1100" i="1"/>
  <c r="O1101" i="1"/>
  <c r="G1101" i="1"/>
  <c r="K1099" i="1"/>
  <c r="K1100" i="1"/>
  <c r="G1100" i="1"/>
  <c r="H1100" i="1" s="1"/>
  <c r="D1100" i="1"/>
  <c r="G1099" i="1"/>
  <c r="H1099" i="1" s="1"/>
  <c r="D1099" i="1"/>
  <c r="O1096" i="1"/>
  <c r="O1097" i="1"/>
  <c r="O1098" i="1"/>
  <c r="R1094" i="1"/>
  <c r="R1095" i="1"/>
  <c r="R1096" i="1"/>
  <c r="R1097" i="1"/>
  <c r="R1098" i="1"/>
  <c r="G1096" i="1"/>
  <c r="H1096" i="1" s="1"/>
  <c r="G1097" i="1"/>
  <c r="H1097" i="1" s="1"/>
  <c r="G1098" i="1"/>
  <c r="K1096" i="1"/>
  <c r="K1097" i="1"/>
  <c r="K1098" i="1"/>
  <c r="D1096" i="1"/>
  <c r="D1097" i="1"/>
  <c r="D1098" i="1"/>
  <c r="K1095" i="1"/>
  <c r="G1095" i="1"/>
  <c r="D1094" i="1"/>
  <c r="D1095" i="1"/>
  <c r="K1094" i="1"/>
  <c r="G1094" i="1"/>
  <c r="O1095" i="1"/>
  <c r="O1094" i="1"/>
  <c r="K1093" i="1"/>
  <c r="G1093" i="1"/>
  <c r="D1093" i="1"/>
  <c r="D1090" i="1"/>
  <c r="D1091" i="1"/>
  <c r="D1092" i="1"/>
  <c r="K1090" i="1"/>
  <c r="K1091" i="1"/>
  <c r="K1092" i="1"/>
  <c r="G1092" i="1"/>
  <c r="H1092" i="1" s="1"/>
  <c r="G1090" i="1"/>
  <c r="H1090" i="1" s="1"/>
  <c r="G1091" i="1"/>
  <c r="K1089" i="1"/>
  <c r="D1089" i="1"/>
  <c r="G1089" i="1"/>
  <c r="H1089" i="1" s="1"/>
  <c r="O1089" i="1"/>
  <c r="O1090" i="1"/>
  <c r="O1091" i="1"/>
  <c r="O1092" i="1"/>
  <c r="O1093" i="1"/>
  <c r="R1092" i="1"/>
  <c r="R1093" i="1"/>
  <c r="R1089" i="1"/>
  <c r="R1090" i="1"/>
  <c r="R1091" i="1"/>
  <c r="R1087" i="1"/>
  <c r="R1088" i="1"/>
  <c r="O1081" i="1"/>
  <c r="O1082" i="1"/>
  <c r="O1083" i="1"/>
  <c r="O1084" i="1"/>
  <c r="O1085" i="1"/>
  <c r="O1086" i="1"/>
  <c r="O1087" i="1"/>
  <c r="O1088" i="1"/>
  <c r="K1088" i="1"/>
  <c r="D1087" i="1"/>
  <c r="D1088" i="1"/>
  <c r="G1087" i="1"/>
  <c r="G1088" i="1"/>
  <c r="H1088" i="1" s="1"/>
  <c r="H1091" i="1" l="1"/>
  <c r="H1094" i="1"/>
  <c r="H1093" i="1"/>
  <c r="H1095" i="1"/>
  <c r="H1098" i="1"/>
  <c r="H1101" i="1"/>
  <c r="K1086" i="1"/>
  <c r="K1087" i="1"/>
  <c r="H1087" i="1"/>
  <c r="G1086" i="1"/>
  <c r="D1086" i="1"/>
  <c r="R1081" i="1"/>
  <c r="R1082" i="1"/>
  <c r="R1083" i="1"/>
  <c r="R1084" i="1"/>
  <c r="R1085" i="1"/>
  <c r="R1086" i="1"/>
  <c r="K1081" i="1"/>
  <c r="K1082" i="1"/>
  <c r="K1083" i="1"/>
  <c r="K1084" i="1"/>
  <c r="K1085" i="1"/>
  <c r="G1081" i="1"/>
  <c r="H1081" i="1" s="1"/>
  <c r="G1082" i="1"/>
  <c r="G1083" i="1"/>
  <c r="G1084" i="1"/>
  <c r="G1085" i="1"/>
  <c r="H1085" i="1" s="1"/>
  <c r="D1081" i="1"/>
  <c r="D1082" i="1"/>
  <c r="D1083" i="1"/>
  <c r="D1084" i="1"/>
  <c r="D1085" i="1"/>
  <c r="K1080" i="1"/>
  <c r="G1080" i="1"/>
  <c r="D1080" i="1"/>
  <c r="R1080" i="1"/>
  <c r="O1080" i="1"/>
  <c r="R1075" i="1"/>
  <c r="R1076" i="1"/>
  <c r="R1077" i="1"/>
  <c r="R1078" i="1"/>
  <c r="R1079" i="1"/>
  <c r="O1074" i="1"/>
  <c r="O1075" i="1"/>
  <c r="O1076" i="1"/>
  <c r="O1077" i="1"/>
  <c r="O1078" i="1"/>
  <c r="O1079" i="1"/>
  <c r="K1079" i="1"/>
  <c r="G1078" i="1"/>
  <c r="H1078" i="1" s="1"/>
  <c r="G1079" i="1"/>
  <c r="H1079" i="1" s="1"/>
  <c r="D1078" i="1"/>
  <c r="D1079" i="1"/>
  <c r="K1078" i="1"/>
  <c r="K1077" i="1"/>
  <c r="K1075" i="1"/>
  <c r="K1076" i="1"/>
  <c r="G1076" i="1"/>
  <c r="G1077" i="1"/>
  <c r="H1077" i="1" s="1"/>
  <c r="D1075" i="1"/>
  <c r="H1075" i="1" s="1"/>
  <c r="D1076" i="1"/>
  <c r="D1077" i="1"/>
  <c r="O1072" i="1"/>
  <c r="O1073" i="1"/>
  <c r="R1073" i="1"/>
  <c r="R1074" i="1"/>
  <c r="H1076" i="1" l="1"/>
  <c r="H1080" i="1"/>
  <c r="H1084" i="1"/>
  <c r="H1086" i="1"/>
  <c r="H1083" i="1"/>
  <c r="H1082" i="1"/>
  <c r="K1074" i="1"/>
  <c r="L1074" i="1" s="1"/>
  <c r="G1074" i="1"/>
  <c r="H1074" i="1" s="1"/>
  <c r="D1074" i="1"/>
  <c r="K1073" i="1" l="1"/>
  <c r="L1073" i="1" s="1"/>
  <c r="G1073" i="1"/>
  <c r="D1072" i="1"/>
  <c r="D1073" i="1"/>
  <c r="O1071" i="1"/>
  <c r="R1072" i="1"/>
  <c r="K1072" i="1"/>
  <c r="L1072" i="1" s="1"/>
  <c r="G1072" i="1"/>
  <c r="K1071" i="1"/>
  <c r="L1071" i="1" s="1"/>
  <c r="G1071" i="1"/>
  <c r="D1071" i="1"/>
  <c r="R1071" i="1"/>
  <c r="R1068" i="1"/>
  <c r="R1069" i="1"/>
  <c r="R1070" i="1"/>
  <c r="O1068" i="1"/>
  <c r="O1069" i="1"/>
  <c r="O1070" i="1"/>
  <c r="G1068" i="1"/>
  <c r="H1068" i="1" s="1"/>
  <c r="G1069" i="1"/>
  <c r="G1070" i="1"/>
  <c r="D1068" i="1"/>
  <c r="D1069" i="1"/>
  <c r="D1070" i="1"/>
  <c r="K1068" i="1"/>
  <c r="L1068" i="1" s="1"/>
  <c r="K1069" i="1"/>
  <c r="L1069" i="1" s="1"/>
  <c r="K1070" i="1"/>
  <c r="L1070" i="1" s="1"/>
  <c r="H1071" i="1" l="1"/>
  <c r="H1072" i="1"/>
  <c r="H1069" i="1"/>
  <c r="H1073" i="1"/>
  <c r="H1070" i="1"/>
  <c r="O1065" i="1"/>
  <c r="O1066" i="1"/>
  <c r="O1067" i="1"/>
  <c r="K1067" i="1"/>
  <c r="L1067" i="1" s="1"/>
  <c r="G1067" i="1"/>
  <c r="D1067" i="1"/>
  <c r="R1065" i="1"/>
  <c r="R1066" i="1"/>
  <c r="R1067" i="1"/>
  <c r="K1065" i="1"/>
  <c r="L1065" i="1" s="1"/>
  <c r="K1066" i="1"/>
  <c r="L1066" i="1" s="1"/>
  <c r="G1065" i="1"/>
  <c r="G1066" i="1"/>
  <c r="D1065" i="1"/>
  <c r="D1066" i="1"/>
  <c r="L1064" i="1"/>
  <c r="O1064" i="1"/>
  <c r="R1064" i="1"/>
  <c r="K1064" i="1"/>
  <c r="G1060" i="1"/>
  <c r="G1061" i="1"/>
  <c r="G1062" i="1"/>
  <c r="G1063" i="1"/>
  <c r="G1064" i="1"/>
  <c r="H1064" i="1" s="1"/>
  <c r="D1064" i="1"/>
  <c r="H1067" i="1" l="1"/>
  <c r="H1065" i="1"/>
  <c r="H1066" i="1"/>
  <c r="R1061" i="1"/>
  <c r="R1062" i="1"/>
  <c r="R1063" i="1"/>
  <c r="O1061" i="1"/>
  <c r="O1062" i="1"/>
  <c r="O1063" i="1"/>
  <c r="K1060" i="1"/>
  <c r="L1060" i="1" s="1"/>
  <c r="K1061" i="1"/>
  <c r="L1061" i="1" s="1"/>
  <c r="K1062" i="1"/>
  <c r="L1062" i="1" s="1"/>
  <c r="K1063" i="1"/>
  <c r="L1063" i="1" s="1"/>
  <c r="D1060" i="1"/>
  <c r="H1060" i="1" s="1"/>
  <c r="D1061" i="1"/>
  <c r="H1061" i="1" s="1"/>
  <c r="D1062" i="1"/>
  <c r="H1062" i="1" s="1"/>
  <c r="D1063" i="1"/>
  <c r="H1063" i="1" s="1"/>
  <c r="R1060" i="1"/>
  <c r="R1059" i="1"/>
  <c r="O1060" i="1"/>
  <c r="O1059" i="1"/>
  <c r="K1059" i="1"/>
  <c r="L1059" i="1" s="1"/>
  <c r="G1059" i="1"/>
  <c r="D1059" i="1"/>
  <c r="R1058" i="1"/>
  <c r="O1058" i="1"/>
  <c r="K1058" i="1"/>
  <c r="L1058" i="1" s="1"/>
  <c r="G1058" i="1"/>
  <c r="D1058" i="1"/>
  <c r="K1053" i="1"/>
  <c r="L1053" i="1" s="1"/>
  <c r="K1054" i="1"/>
  <c r="L1054" i="1" s="1"/>
  <c r="K1055" i="1"/>
  <c r="L1055" i="1" s="1"/>
  <c r="K1056" i="1"/>
  <c r="L1056" i="1" s="1"/>
  <c r="K1057" i="1"/>
  <c r="L1057" i="1" s="1"/>
  <c r="G1053" i="1"/>
  <c r="G1054" i="1"/>
  <c r="G1055" i="1"/>
  <c r="G1056" i="1"/>
  <c r="G1057" i="1"/>
  <c r="D1053" i="1"/>
  <c r="D1054" i="1"/>
  <c r="D1055" i="1"/>
  <c r="D1056" i="1"/>
  <c r="D1057" i="1"/>
  <c r="K1052" i="1"/>
  <c r="L1052" i="1" s="1"/>
  <c r="G1052" i="1"/>
  <c r="R1057" i="1"/>
  <c r="R1054" i="1"/>
  <c r="R1055" i="1"/>
  <c r="R1056" i="1"/>
  <c r="R1053" i="1"/>
  <c r="R1052" i="1"/>
  <c r="O1057" i="1"/>
  <c r="O1055" i="1"/>
  <c r="O1056" i="1"/>
  <c r="O1054" i="1"/>
  <c r="O1053" i="1"/>
  <c r="O1052" i="1"/>
  <c r="H1057" i="1" l="1"/>
  <c r="H1053" i="1"/>
  <c r="H1059" i="1"/>
  <c r="H1055" i="1"/>
  <c r="H1054" i="1"/>
  <c r="H1058" i="1"/>
  <c r="H1056" i="1"/>
  <c r="O1051" i="1"/>
  <c r="R1051" i="1"/>
  <c r="G1051" i="1"/>
  <c r="K1051" i="1"/>
  <c r="L1051" i="1" s="1"/>
  <c r="K1050" i="1"/>
  <c r="L1050" i="1" s="1"/>
  <c r="G1050" i="1"/>
  <c r="O1050" i="1"/>
  <c r="R1050" i="1"/>
  <c r="R1047" i="1"/>
  <c r="R1048" i="1"/>
  <c r="R1049" i="1"/>
  <c r="O1047" i="1"/>
  <c r="O1048" i="1"/>
  <c r="O1049" i="1"/>
  <c r="G1047" i="1"/>
  <c r="G1048" i="1"/>
  <c r="G1049" i="1"/>
  <c r="K1048" i="1"/>
  <c r="L1048" i="1" s="1"/>
  <c r="K1049" i="1"/>
  <c r="L1049" i="1" s="1"/>
  <c r="K1047" i="1"/>
  <c r="L1047" i="1" s="1"/>
  <c r="R1046" i="1"/>
  <c r="O1046" i="1"/>
  <c r="K1046" i="1"/>
  <c r="L1046" i="1" s="1"/>
  <c r="G1046" i="1"/>
  <c r="R1045" i="1"/>
  <c r="O1045" i="1"/>
  <c r="G1045" i="1"/>
  <c r="K1045" i="1"/>
  <c r="L1045" i="1" s="1"/>
  <c r="O1044" i="1"/>
  <c r="R1044" i="1"/>
  <c r="G1044" i="1"/>
  <c r="K1044" i="1"/>
  <c r="L1044" i="1" s="1"/>
  <c r="R1043" i="1"/>
  <c r="O1043" i="1"/>
  <c r="K1043" i="1"/>
  <c r="L1043" i="1" s="1"/>
  <c r="G1043" i="1"/>
  <c r="R1040" i="1"/>
  <c r="R1041" i="1"/>
  <c r="R1042" i="1"/>
  <c r="O1040" i="1"/>
  <c r="O1041" i="1"/>
  <c r="O1042" i="1"/>
  <c r="K1040" i="1"/>
  <c r="L1040" i="1" s="1"/>
  <c r="K1041" i="1"/>
  <c r="L1041" i="1" s="1"/>
  <c r="K1042" i="1"/>
  <c r="L1042" i="1" s="1"/>
  <c r="G1040" i="1"/>
  <c r="G1041" i="1"/>
  <c r="G1042" i="1"/>
  <c r="O1039" i="1"/>
  <c r="R1039" i="1" l="1"/>
  <c r="O1038" i="1"/>
  <c r="K1039" i="1"/>
  <c r="L1039" i="1" s="1"/>
  <c r="G1039" i="1"/>
  <c r="G1038" i="1"/>
  <c r="K1038" i="1"/>
  <c r="L1038" i="1" s="1"/>
  <c r="R1037" i="1"/>
  <c r="R1038" i="1"/>
  <c r="O1037" i="1"/>
  <c r="G1037" i="1"/>
  <c r="K1036" i="1"/>
  <c r="L1036" i="1" s="1"/>
  <c r="K1037" i="1"/>
  <c r="L1037" i="1" s="1"/>
  <c r="O1036" i="1"/>
  <c r="R1036" i="1"/>
  <c r="G1036" i="1"/>
  <c r="R1033" i="1" l="1"/>
  <c r="R1034" i="1"/>
  <c r="R1035" i="1"/>
  <c r="O1033" i="1"/>
  <c r="O1034" i="1"/>
  <c r="O1035" i="1"/>
  <c r="G1033" i="1"/>
  <c r="G1034" i="1"/>
  <c r="G1035" i="1"/>
  <c r="K1033" i="1"/>
  <c r="L1033" i="1" s="1"/>
  <c r="K1034" i="1"/>
  <c r="L1034" i="1" s="1"/>
  <c r="K1035" i="1"/>
  <c r="L1035" i="1" s="1"/>
  <c r="K1032" i="1"/>
  <c r="L1032" i="1" s="1"/>
  <c r="G1032" i="1"/>
  <c r="O1032" i="1"/>
  <c r="R1032" i="1"/>
  <c r="R1031" i="1"/>
  <c r="O1031" i="1"/>
  <c r="G1031" i="1"/>
  <c r="K1031" i="1"/>
  <c r="L1031" i="1" s="1"/>
  <c r="R1030" i="1"/>
  <c r="O1030" i="1"/>
  <c r="K1030" i="1"/>
  <c r="L1030" i="1" s="1"/>
  <c r="G1030" i="1"/>
  <c r="R1026" i="1" l="1"/>
  <c r="R1027" i="1"/>
  <c r="R1028" i="1"/>
  <c r="R1029" i="1"/>
  <c r="O1026" i="1"/>
  <c r="O1027" i="1"/>
  <c r="O1028" i="1"/>
  <c r="O1029" i="1"/>
  <c r="K1027" i="1" l="1"/>
  <c r="L1027" i="1" s="1"/>
  <c r="K1028" i="1"/>
  <c r="L1028" i="1" s="1"/>
  <c r="K1029" i="1"/>
  <c r="L1029" i="1" s="1"/>
  <c r="G1027" i="1"/>
  <c r="G1028" i="1"/>
  <c r="G1029" i="1"/>
  <c r="G1026" i="1"/>
  <c r="K1026" i="1"/>
  <c r="L1026" i="1" s="1"/>
  <c r="R1025" i="1"/>
  <c r="O1025" i="1"/>
  <c r="K1025" i="1"/>
  <c r="L1025" i="1" s="1"/>
  <c r="G1025" i="1"/>
  <c r="O1024" i="1"/>
  <c r="K1024" i="1"/>
  <c r="L1024" i="1" s="1"/>
  <c r="G1024" i="1"/>
  <c r="R1024" i="1"/>
  <c r="K1023" i="1"/>
  <c r="L1023" i="1" s="1"/>
  <c r="R1023" i="1" l="1"/>
  <c r="O1023" i="1"/>
  <c r="G1023" i="1"/>
  <c r="O981" i="1"/>
  <c r="R1022" i="1"/>
  <c r="O1020" i="1"/>
  <c r="O1021" i="1"/>
  <c r="O1022" i="1"/>
  <c r="K1022" i="1"/>
  <c r="L1022" i="1" s="1"/>
  <c r="G1022" i="1"/>
  <c r="O1019" i="1"/>
  <c r="R1019" i="1"/>
  <c r="R1020" i="1"/>
  <c r="R1021" i="1"/>
  <c r="K1019" i="1"/>
  <c r="L1019" i="1" s="1"/>
  <c r="K1020" i="1"/>
  <c r="L1020" i="1" s="1"/>
  <c r="K1021" i="1"/>
  <c r="L1021" i="1" s="1"/>
  <c r="G1019" i="1"/>
  <c r="G1020" i="1"/>
  <c r="G1021" i="1"/>
  <c r="O1018" i="1"/>
  <c r="K1018" i="1" l="1"/>
  <c r="L1018" i="1" s="1"/>
  <c r="G1018" i="1"/>
  <c r="R1018" i="1"/>
  <c r="O1016" i="1"/>
  <c r="O1017" i="1"/>
  <c r="R1017" i="1"/>
  <c r="K1017" i="1"/>
  <c r="L1017" i="1" s="1"/>
  <c r="G1017" i="1"/>
  <c r="G1016" i="1"/>
  <c r="K1016" i="1"/>
  <c r="L1016" i="1" s="1"/>
  <c r="R1016" i="1"/>
  <c r="O1015" i="1"/>
  <c r="R1015" i="1"/>
  <c r="G1015" i="1"/>
  <c r="K1015" i="1"/>
  <c r="L1015" i="1" s="1"/>
  <c r="R1011" i="1"/>
  <c r="R1012" i="1"/>
  <c r="R1013" i="1"/>
  <c r="R1014" i="1"/>
  <c r="O1012" i="1"/>
  <c r="O1013" i="1"/>
  <c r="O1014" i="1"/>
  <c r="K1011" i="1"/>
  <c r="L1011" i="1" s="1"/>
  <c r="K1012" i="1"/>
  <c r="L1012" i="1" s="1"/>
  <c r="K1013" i="1"/>
  <c r="L1013" i="1" s="1"/>
  <c r="K1014" i="1"/>
  <c r="L1014" i="1" s="1"/>
  <c r="G1011" i="1"/>
  <c r="G1012" i="1"/>
  <c r="G1013" i="1"/>
  <c r="G1014" i="1"/>
  <c r="O1011" i="1"/>
  <c r="O1009" i="1"/>
  <c r="O1010" i="1"/>
  <c r="R1009" i="1"/>
  <c r="R1010" i="1"/>
  <c r="G1009" i="1" l="1"/>
  <c r="G1010" i="1"/>
  <c r="K1009" i="1"/>
  <c r="L1009" i="1" s="1"/>
  <c r="K1010" i="1"/>
  <c r="L1010" i="1" s="1"/>
  <c r="U1008" i="1"/>
  <c r="G1008" i="1"/>
  <c r="O1008" i="1"/>
  <c r="R1008" i="1"/>
  <c r="R1004" i="1"/>
  <c r="R1005" i="1"/>
  <c r="R1006" i="1"/>
  <c r="R1007" i="1"/>
  <c r="O1003" i="1"/>
  <c r="O1004" i="1"/>
  <c r="O1005" i="1"/>
  <c r="O1006" i="1"/>
  <c r="O1007" i="1"/>
  <c r="U1004" i="1"/>
  <c r="U1005" i="1"/>
  <c r="U1006" i="1"/>
  <c r="U1007" i="1"/>
  <c r="X1004" i="1"/>
  <c r="X1005" i="1"/>
  <c r="X1006" i="1"/>
  <c r="X1007" i="1"/>
  <c r="G1003" i="1"/>
  <c r="G1004" i="1"/>
  <c r="G1005" i="1"/>
  <c r="G1006" i="1"/>
  <c r="G1007" i="1"/>
  <c r="K1003" i="1"/>
  <c r="L1003" i="1" s="1"/>
  <c r="K1004" i="1"/>
  <c r="L1004" i="1" s="1"/>
  <c r="K1005" i="1"/>
  <c r="L1005" i="1" s="1"/>
  <c r="K1006" i="1"/>
  <c r="L1006" i="1" s="1"/>
  <c r="K1007" i="1"/>
  <c r="L1007" i="1" s="1"/>
  <c r="K1008" i="1"/>
  <c r="L1008" i="1" s="1"/>
  <c r="O1000" i="1" l="1"/>
  <c r="O1001" i="1"/>
  <c r="O1002" i="1"/>
  <c r="R1000" i="1"/>
  <c r="R1001" i="1"/>
  <c r="R1002" i="1"/>
  <c r="R1003" i="1"/>
  <c r="U1000" i="1"/>
  <c r="U1001" i="1"/>
  <c r="U1002" i="1"/>
  <c r="U1003" i="1"/>
  <c r="X1000" i="1"/>
  <c r="X1001" i="1"/>
  <c r="X1002" i="1"/>
  <c r="X1003" i="1"/>
  <c r="G998" i="1"/>
  <c r="G999" i="1"/>
  <c r="G1000" i="1"/>
  <c r="G1001" i="1"/>
  <c r="G1002" i="1"/>
  <c r="K998" i="1"/>
  <c r="L998" i="1" s="1"/>
  <c r="K999" i="1"/>
  <c r="L999" i="1" s="1"/>
  <c r="K1000" i="1"/>
  <c r="L1000" i="1" s="1"/>
  <c r="K1001" i="1"/>
  <c r="L1001" i="1" s="1"/>
  <c r="K1002" i="1"/>
  <c r="L1002" i="1" s="1"/>
  <c r="U998" i="1" l="1"/>
  <c r="U999" i="1"/>
  <c r="X998" i="1"/>
  <c r="X999" i="1"/>
  <c r="O998" i="1"/>
  <c r="O999" i="1"/>
  <c r="R998" i="1"/>
  <c r="R999" i="1"/>
  <c r="R991" i="1"/>
  <c r="R992" i="1"/>
  <c r="R993" i="1"/>
  <c r="R994" i="1"/>
  <c r="R995" i="1"/>
  <c r="R996" i="1"/>
  <c r="R997" i="1"/>
  <c r="O995" i="1"/>
  <c r="O996" i="1"/>
  <c r="O997" i="1"/>
  <c r="K995" i="1"/>
  <c r="L995" i="1" s="1"/>
  <c r="K996" i="1"/>
  <c r="L996" i="1" s="1"/>
  <c r="K997" i="1"/>
  <c r="L997" i="1" s="1"/>
  <c r="G995" i="1"/>
  <c r="G996" i="1"/>
  <c r="G997" i="1"/>
  <c r="U996" i="1"/>
  <c r="U997" i="1"/>
  <c r="X995" i="1"/>
  <c r="X996" i="1"/>
  <c r="X997" i="1"/>
  <c r="U995" i="1"/>
  <c r="O994" i="1"/>
  <c r="X994" i="1"/>
  <c r="U994" i="1"/>
  <c r="K994" i="1"/>
  <c r="L994" i="1" s="1"/>
  <c r="G994" i="1"/>
  <c r="O989" i="1"/>
  <c r="O990" i="1"/>
  <c r="O991" i="1"/>
  <c r="O992" i="1"/>
  <c r="O993" i="1"/>
  <c r="X991" i="1"/>
  <c r="X992" i="1"/>
  <c r="X993" i="1"/>
  <c r="U991" i="1"/>
  <c r="U992" i="1"/>
  <c r="U993" i="1"/>
  <c r="K991" i="1"/>
  <c r="L991" i="1" s="1"/>
  <c r="K992" i="1"/>
  <c r="L992" i="1" s="1"/>
  <c r="K993" i="1"/>
  <c r="L993" i="1" s="1"/>
  <c r="G991" i="1"/>
  <c r="G992" i="1"/>
  <c r="G993" i="1"/>
  <c r="R989" i="1"/>
  <c r="R990" i="1"/>
  <c r="X989" i="1"/>
  <c r="X990" i="1"/>
  <c r="U989" i="1"/>
  <c r="U990" i="1"/>
  <c r="K989" i="1"/>
  <c r="L989" i="1" s="1"/>
  <c r="K990" i="1"/>
  <c r="L990" i="1" s="1"/>
  <c r="G989" i="1"/>
  <c r="G990" i="1"/>
  <c r="O984" i="1"/>
  <c r="O985" i="1"/>
  <c r="O986" i="1"/>
  <c r="O987" i="1"/>
  <c r="O988" i="1"/>
  <c r="R988" i="1" l="1"/>
  <c r="R987" i="1"/>
  <c r="X988" i="1"/>
  <c r="U988" i="1"/>
  <c r="K988" i="1"/>
  <c r="L988" i="1" s="1"/>
  <c r="G988" i="1"/>
  <c r="X984" i="1"/>
  <c r="X985" i="1"/>
  <c r="X986" i="1"/>
  <c r="X987" i="1"/>
  <c r="U984" i="1"/>
  <c r="U985" i="1"/>
  <c r="U986" i="1"/>
  <c r="U987" i="1"/>
  <c r="K987" i="1"/>
  <c r="L987" i="1" s="1"/>
  <c r="G987" i="1"/>
  <c r="R984" i="1"/>
  <c r="R985" i="1"/>
  <c r="R986" i="1"/>
  <c r="K984" i="1" l="1"/>
  <c r="L984" i="1" s="1"/>
  <c r="K985" i="1"/>
  <c r="L985" i="1" s="1"/>
  <c r="K986" i="1"/>
  <c r="L986" i="1" s="1"/>
  <c r="G984" i="1"/>
  <c r="G985" i="1"/>
  <c r="G986" i="1"/>
  <c r="R983" i="1"/>
  <c r="O983" i="1"/>
  <c r="U983" i="1"/>
  <c r="U982" i="1"/>
  <c r="X983" i="1"/>
  <c r="L983" i="1"/>
  <c r="K983" i="1"/>
  <c r="G983" i="1"/>
  <c r="R981" i="1"/>
  <c r="R982" i="1"/>
  <c r="O982" i="1"/>
  <c r="U981" i="1"/>
  <c r="X981" i="1"/>
  <c r="X982" i="1"/>
  <c r="K981" i="1"/>
  <c r="L981" i="1" s="1"/>
  <c r="K982" i="1"/>
  <c r="L982" i="1" s="1"/>
  <c r="G982" i="1"/>
  <c r="G981" i="1"/>
  <c r="O980" i="1"/>
  <c r="X980" i="1"/>
  <c r="U980" i="1"/>
  <c r="K980" i="1"/>
  <c r="L980" i="1" s="1"/>
  <c r="G980" i="1"/>
  <c r="X976" i="1"/>
  <c r="X977" i="1"/>
  <c r="X978" i="1"/>
  <c r="X979" i="1"/>
  <c r="U976" i="1"/>
  <c r="U977" i="1"/>
  <c r="U978" i="1"/>
  <c r="U979" i="1"/>
  <c r="R977" i="1"/>
  <c r="R978" i="1"/>
  <c r="R979" i="1"/>
  <c r="O977" i="1"/>
  <c r="O978" i="1"/>
  <c r="O979" i="1"/>
  <c r="K979" i="1"/>
  <c r="L979" i="1" s="1"/>
  <c r="G977" i="1"/>
  <c r="G978" i="1"/>
  <c r="G979" i="1"/>
  <c r="K977" i="1"/>
  <c r="L977" i="1" s="1"/>
  <c r="K978" i="1"/>
  <c r="L978" i="1" s="1"/>
  <c r="O976" i="1"/>
  <c r="R976" i="1" l="1"/>
  <c r="K976" i="1"/>
  <c r="L976" i="1" s="1"/>
  <c r="G976" i="1"/>
  <c r="O974" i="1"/>
  <c r="O975" i="1"/>
  <c r="R975" i="1"/>
  <c r="U975" i="1"/>
  <c r="X975" i="1"/>
  <c r="K974" i="1"/>
  <c r="L974" i="1" s="1"/>
  <c r="K975" i="1"/>
  <c r="L975" i="1" s="1"/>
  <c r="G974" i="1"/>
  <c r="G975" i="1"/>
  <c r="O973" i="1"/>
  <c r="R970" i="1"/>
  <c r="R971" i="1"/>
  <c r="R972" i="1"/>
  <c r="R973" i="1"/>
  <c r="R974" i="1"/>
  <c r="K973" i="1"/>
  <c r="L973" i="1" s="1"/>
  <c r="G973" i="1"/>
  <c r="X974" i="1"/>
  <c r="U974" i="1"/>
  <c r="U969" i="1"/>
  <c r="U970" i="1"/>
  <c r="U971" i="1"/>
  <c r="U972" i="1"/>
  <c r="U973" i="1"/>
  <c r="X973" i="1"/>
  <c r="D39" i="6"/>
  <c r="X969" i="1"/>
  <c r="X970" i="1"/>
  <c r="X971" i="1"/>
  <c r="X972" i="1"/>
  <c r="O970" i="1"/>
  <c r="O971" i="1"/>
  <c r="O972" i="1"/>
  <c r="K970" i="1"/>
  <c r="L970" i="1" s="1"/>
  <c r="K971" i="1"/>
  <c r="L971" i="1" s="1"/>
  <c r="K972" i="1"/>
  <c r="L972" i="1" s="1"/>
  <c r="G970" i="1"/>
  <c r="G971" i="1"/>
  <c r="G972" i="1"/>
  <c r="R969" i="1" l="1"/>
  <c r="O969" i="1"/>
  <c r="K969" i="1"/>
  <c r="L969" i="1" s="1"/>
  <c r="G969" i="1"/>
  <c r="X968" i="1" l="1"/>
  <c r="U968" i="1"/>
  <c r="K968" i="1"/>
  <c r="L968" i="1" s="1"/>
  <c r="G968" i="1"/>
  <c r="R968" i="1"/>
  <c r="O968" i="1"/>
  <c r="O967" i="1" l="1"/>
  <c r="O966" i="1"/>
  <c r="R967" i="1"/>
  <c r="X967" i="1"/>
  <c r="U967" i="1"/>
  <c r="K967" i="1"/>
  <c r="L967" i="1" s="1"/>
  <c r="G967" i="1"/>
  <c r="X966" i="1"/>
  <c r="U966" i="1" l="1"/>
  <c r="R966" i="1"/>
  <c r="G966" i="1" l="1"/>
  <c r="K966" i="1"/>
  <c r="L966" i="1" s="1"/>
  <c r="O962" i="1"/>
  <c r="O963" i="1"/>
  <c r="O964" i="1"/>
  <c r="O965" i="1"/>
  <c r="R963" i="1"/>
  <c r="R964" i="1"/>
  <c r="R965" i="1"/>
  <c r="U962" i="1"/>
  <c r="U963" i="1"/>
  <c r="U964" i="1"/>
  <c r="U965" i="1"/>
  <c r="X962" i="1"/>
  <c r="X963" i="1"/>
  <c r="X964" i="1"/>
  <c r="X965" i="1"/>
  <c r="K963" i="1"/>
  <c r="L963" i="1" s="1"/>
  <c r="K964" i="1"/>
  <c r="L964" i="1" s="1"/>
  <c r="K965" i="1"/>
  <c r="L965" i="1" s="1"/>
  <c r="G963" i="1"/>
  <c r="G964" i="1"/>
  <c r="G965" i="1"/>
  <c r="D963" i="1"/>
  <c r="D964" i="1"/>
  <c r="D965" i="1"/>
  <c r="H963" i="1" l="1"/>
  <c r="H965" i="1"/>
  <c r="H964" i="1"/>
  <c r="R962" i="1"/>
  <c r="G962" i="1"/>
  <c r="K962" i="1"/>
  <c r="L962" i="1" s="1"/>
  <c r="O961" i="1"/>
  <c r="X961" i="1"/>
  <c r="U961" i="1"/>
  <c r="R960" i="1" l="1"/>
  <c r="R961" i="1"/>
  <c r="R959" i="1"/>
  <c r="O960" i="1"/>
  <c r="K961" i="1"/>
  <c r="L961" i="1" s="1"/>
  <c r="G961" i="1"/>
  <c r="X960" i="1"/>
  <c r="U960" i="1"/>
  <c r="K960" i="1"/>
  <c r="L960" i="1" s="1"/>
  <c r="G960" i="1"/>
  <c r="O956" i="1" l="1"/>
  <c r="O957" i="1"/>
  <c r="O958" i="1"/>
  <c r="O959" i="1"/>
  <c r="U956" i="1"/>
  <c r="U957" i="1"/>
  <c r="U958" i="1"/>
  <c r="U959" i="1"/>
  <c r="X956" i="1"/>
  <c r="X957" i="1"/>
  <c r="X958" i="1"/>
  <c r="X959" i="1"/>
  <c r="K959" i="1"/>
  <c r="L959" i="1" s="1"/>
  <c r="G959" i="1"/>
  <c r="D962" i="1"/>
  <c r="H962" i="1" s="1"/>
  <c r="D966" i="1"/>
  <c r="H966" i="1" s="1"/>
  <c r="D967" i="1"/>
  <c r="H967" i="1" s="1"/>
  <c r="D968" i="1"/>
  <c r="H968" i="1" s="1"/>
  <c r="D969" i="1"/>
  <c r="H969" i="1" s="1"/>
  <c r="D970" i="1"/>
  <c r="H970" i="1" s="1"/>
  <c r="D971" i="1"/>
  <c r="H971" i="1" s="1"/>
  <c r="D972" i="1"/>
  <c r="H972" i="1" s="1"/>
  <c r="D973" i="1"/>
  <c r="H973" i="1" s="1"/>
  <c r="D974" i="1"/>
  <c r="H974" i="1" s="1"/>
  <c r="D975" i="1"/>
  <c r="H975" i="1" s="1"/>
  <c r="D976" i="1"/>
  <c r="H976" i="1" s="1"/>
  <c r="D977" i="1"/>
  <c r="H977" i="1" s="1"/>
  <c r="D978" i="1"/>
  <c r="H978" i="1" s="1"/>
  <c r="D979" i="1"/>
  <c r="H979" i="1" s="1"/>
  <c r="D980" i="1"/>
  <c r="H980" i="1" s="1"/>
  <c r="D981" i="1"/>
  <c r="H981" i="1" s="1"/>
  <c r="D982" i="1"/>
  <c r="H982" i="1" s="1"/>
  <c r="D983" i="1"/>
  <c r="H983" i="1" s="1"/>
  <c r="D984" i="1"/>
  <c r="H984" i="1" s="1"/>
  <c r="D985" i="1"/>
  <c r="H985" i="1" s="1"/>
  <c r="D986" i="1"/>
  <c r="H986" i="1" s="1"/>
  <c r="D987" i="1"/>
  <c r="H987" i="1" s="1"/>
  <c r="D988" i="1"/>
  <c r="H988" i="1" s="1"/>
  <c r="D989" i="1"/>
  <c r="H989" i="1" s="1"/>
  <c r="D990" i="1"/>
  <c r="H990" i="1" s="1"/>
  <c r="D991" i="1"/>
  <c r="H991" i="1" s="1"/>
  <c r="D992" i="1"/>
  <c r="H992" i="1" s="1"/>
  <c r="D993" i="1"/>
  <c r="H993" i="1" s="1"/>
  <c r="D994" i="1"/>
  <c r="H994" i="1" s="1"/>
  <c r="D995" i="1"/>
  <c r="H995" i="1" s="1"/>
  <c r="D996" i="1"/>
  <c r="H996" i="1" s="1"/>
  <c r="D997" i="1"/>
  <c r="H997" i="1" s="1"/>
  <c r="D998" i="1"/>
  <c r="H998" i="1" s="1"/>
  <c r="D999" i="1"/>
  <c r="H999" i="1" s="1"/>
  <c r="D1000" i="1"/>
  <c r="H1000" i="1" s="1"/>
  <c r="D1001" i="1"/>
  <c r="H1001" i="1" s="1"/>
  <c r="D1002" i="1"/>
  <c r="H1002" i="1" s="1"/>
  <c r="D1003" i="1"/>
  <c r="H1003" i="1" s="1"/>
  <c r="D1004" i="1"/>
  <c r="H1004" i="1" s="1"/>
  <c r="D1005" i="1"/>
  <c r="H1005" i="1" s="1"/>
  <c r="D1006" i="1"/>
  <c r="H1006" i="1" s="1"/>
  <c r="D1007" i="1"/>
  <c r="H1007" i="1" s="1"/>
  <c r="D1008" i="1"/>
  <c r="H1008" i="1" s="1"/>
  <c r="D1009" i="1"/>
  <c r="H1009" i="1" s="1"/>
  <c r="D1010" i="1"/>
  <c r="H1010" i="1" s="1"/>
  <c r="D1011" i="1"/>
  <c r="H1011" i="1" s="1"/>
  <c r="D1012" i="1"/>
  <c r="H1012" i="1" s="1"/>
  <c r="D1013" i="1"/>
  <c r="H1013" i="1" s="1"/>
  <c r="D1014" i="1"/>
  <c r="H1014" i="1" s="1"/>
  <c r="D1015" i="1"/>
  <c r="H1015" i="1" s="1"/>
  <c r="D1016" i="1"/>
  <c r="H1016" i="1" s="1"/>
  <c r="D1017" i="1"/>
  <c r="H1017" i="1" s="1"/>
  <c r="D1018" i="1"/>
  <c r="H1018" i="1" s="1"/>
  <c r="D1019" i="1"/>
  <c r="H1019" i="1" s="1"/>
  <c r="D1020" i="1"/>
  <c r="H1020" i="1" s="1"/>
  <c r="D1021" i="1"/>
  <c r="H1021" i="1" s="1"/>
  <c r="D1022" i="1"/>
  <c r="H1022" i="1" s="1"/>
  <c r="D1023" i="1"/>
  <c r="H1023" i="1" s="1"/>
  <c r="D1024" i="1"/>
  <c r="H1024" i="1" s="1"/>
  <c r="D1025" i="1"/>
  <c r="H1025" i="1" s="1"/>
  <c r="D1026" i="1"/>
  <c r="H1026" i="1" s="1"/>
  <c r="D1027" i="1"/>
  <c r="H1027" i="1" s="1"/>
  <c r="D1028" i="1"/>
  <c r="H1028" i="1" s="1"/>
  <c r="D1029" i="1"/>
  <c r="H1029" i="1" s="1"/>
  <c r="D1030" i="1"/>
  <c r="H1030" i="1" s="1"/>
  <c r="D1031" i="1"/>
  <c r="H1031" i="1" s="1"/>
  <c r="D1032" i="1"/>
  <c r="H1032" i="1" s="1"/>
  <c r="D1033" i="1"/>
  <c r="H1033" i="1" s="1"/>
  <c r="D1034" i="1"/>
  <c r="H1034" i="1" s="1"/>
  <c r="D1035" i="1"/>
  <c r="H1035" i="1" s="1"/>
  <c r="D1036" i="1"/>
  <c r="H1036" i="1" s="1"/>
  <c r="D1037" i="1"/>
  <c r="H1037" i="1" s="1"/>
  <c r="D1038" i="1"/>
  <c r="H1038" i="1" s="1"/>
  <c r="D1039" i="1"/>
  <c r="H1039" i="1" s="1"/>
  <c r="D1040" i="1"/>
  <c r="H1040" i="1" s="1"/>
  <c r="D1041" i="1"/>
  <c r="H1041" i="1" s="1"/>
  <c r="D1042" i="1"/>
  <c r="H1042" i="1" s="1"/>
  <c r="D1043" i="1"/>
  <c r="H1043" i="1" s="1"/>
  <c r="D1044" i="1"/>
  <c r="H1044" i="1" s="1"/>
  <c r="D1045" i="1"/>
  <c r="H1045" i="1" s="1"/>
  <c r="D1046" i="1"/>
  <c r="H1046" i="1" s="1"/>
  <c r="D1047" i="1"/>
  <c r="H1047" i="1" s="1"/>
  <c r="D1048" i="1"/>
  <c r="H1048" i="1" s="1"/>
  <c r="D1049" i="1"/>
  <c r="H1049" i="1" s="1"/>
  <c r="D1050" i="1"/>
  <c r="H1050" i="1" s="1"/>
  <c r="D1051" i="1"/>
  <c r="H1051" i="1" s="1"/>
  <c r="D1052" i="1"/>
  <c r="H1052" i="1" s="1"/>
  <c r="O954" i="1"/>
  <c r="O955" i="1"/>
  <c r="R955" i="1"/>
  <c r="R956" i="1"/>
  <c r="R957" i="1"/>
  <c r="R958" i="1"/>
  <c r="K956" i="1"/>
  <c r="L956" i="1" s="1"/>
  <c r="K957" i="1"/>
  <c r="L957" i="1" s="1"/>
  <c r="K958" i="1"/>
  <c r="L958" i="1" s="1"/>
  <c r="G956" i="1"/>
  <c r="G957" i="1"/>
  <c r="G958" i="1"/>
  <c r="U955" i="1"/>
  <c r="X955" i="1"/>
  <c r="K955" i="1"/>
  <c r="L955" i="1" s="1"/>
  <c r="G955" i="1"/>
  <c r="R954" i="1"/>
  <c r="X948" i="1"/>
  <c r="X949" i="1"/>
  <c r="X950" i="1"/>
  <c r="X951" i="1"/>
  <c r="X952" i="1"/>
  <c r="X953" i="1"/>
  <c r="X954" i="1"/>
  <c r="U954" i="1"/>
  <c r="K954" i="1"/>
  <c r="L954" i="1" s="1"/>
  <c r="G954" i="1"/>
  <c r="R949" i="1"/>
  <c r="R950" i="1"/>
  <c r="R951" i="1"/>
  <c r="R952" i="1"/>
  <c r="R953" i="1"/>
  <c r="O949" i="1"/>
  <c r="O950" i="1"/>
  <c r="O951" i="1"/>
  <c r="O952" i="1"/>
  <c r="O953" i="1"/>
  <c r="U948" i="1"/>
  <c r="U949" i="1"/>
  <c r="U950" i="1"/>
  <c r="U951" i="1"/>
  <c r="U952" i="1"/>
  <c r="U953" i="1"/>
  <c r="K949" i="1"/>
  <c r="L949" i="1" s="1"/>
  <c r="K950" i="1"/>
  <c r="L950" i="1" s="1"/>
  <c r="K951" i="1"/>
  <c r="L951" i="1" s="1"/>
  <c r="K952" i="1"/>
  <c r="L952" i="1" s="1"/>
  <c r="K953" i="1"/>
  <c r="L953" i="1" s="1"/>
  <c r="G953" i="1"/>
  <c r="G949" i="1"/>
  <c r="G950" i="1"/>
  <c r="G951" i="1"/>
  <c r="G952" i="1"/>
  <c r="G947" i="1" l="1"/>
  <c r="G948" i="1"/>
  <c r="K948" i="1"/>
  <c r="L948" i="1" s="1"/>
  <c r="K947" i="1"/>
  <c r="L947" i="1" s="1"/>
  <c r="U947" i="1"/>
  <c r="R948" i="1"/>
  <c r="O948" i="1"/>
  <c r="R946" i="1"/>
  <c r="R947" i="1"/>
  <c r="O947" i="1"/>
  <c r="O946" i="1"/>
  <c r="X946" i="1"/>
  <c r="X947" i="1"/>
  <c r="U946" i="1"/>
  <c r="K946" i="1"/>
  <c r="L946" i="1" s="1"/>
  <c r="G946" i="1"/>
  <c r="O945" i="1"/>
  <c r="O943" i="1"/>
  <c r="O944" i="1"/>
  <c r="R945" i="1"/>
  <c r="U942" i="1" l="1"/>
  <c r="U943" i="1"/>
  <c r="U944" i="1"/>
  <c r="U945" i="1"/>
  <c r="X942" i="1"/>
  <c r="X943" i="1"/>
  <c r="X944" i="1"/>
  <c r="X945" i="1"/>
  <c r="K945" i="1"/>
  <c r="L945" i="1" s="1"/>
  <c r="G945" i="1"/>
  <c r="K942" i="1"/>
  <c r="L942" i="1" s="1"/>
  <c r="K943" i="1"/>
  <c r="L943" i="1" s="1"/>
  <c r="K944" i="1"/>
  <c r="L944" i="1" s="1"/>
  <c r="G942" i="1"/>
  <c r="G943" i="1"/>
  <c r="G944" i="1"/>
  <c r="R932" i="1" l="1"/>
  <c r="R933" i="1"/>
  <c r="R934" i="1"/>
  <c r="R935" i="1"/>
  <c r="R936" i="1"/>
  <c r="R937" i="1"/>
  <c r="R938" i="1"/>
  <c r="R939" i="1"/>
  <c r="R940" i="1"/>
  <c r="R941" i="1"/>
  <c r="R942" i="1"/>
  <c r="R943" i="1"/>
  <c r="R944" i="1"/>
  <c r="O933" i="1"/>
  <c r="O934" i="1"/>
  <c r="O935" i="1"/>
  <c r="O936" i="1"/>
  <c r="O937" i="1"/>
  <c r="O938" i="1"/>
  <c r="O939" i="1"/>
  <c r="O940" i="1"/>
  <c r="O941" i="1"/>
  <c r="O942" i="1"/>
  <c r="K941" i="1"/>
  <c r="L941" i="1" s="1"/>
  <c r="G941" i="1"/>
  <c r="K940" i="1"/>
  <c r="L940" i="1" s="1"/>
  <c r="G940" i="1"/>
  <c r="G939" i="1"/>
  <c r="U941" i="1"/>
  <c r="X941" i="1"/>
  <c r="X940" i="1"/>
  <c r="U940" i="1"/>
  <c r="X939" i="1"/>
  <c r="U938" i="1"/>
  <c r="U939" i="1"/>
  <c r="K939" i="1"/>
  <c r="L939" i="1" s="1"/>
  <c r="X938" i="1"/>
  <c r="K938" i="1"/>
  <c r="L938" i="1" s="1"/>
  <c r="G938" i="1"/>
  <c r="X934" i="1"/>
  <c r="X935" i="1"/>
  <c r="X936" i="1"/>
  <c r="X937" i="1"/>
  <c r="U934" i="1"/>
  <c r="U935" i="1"/>
  <c r="U936" i="1"/>
  <c r="U937" i="1"/>
  <c r="G935" i="1"/>
  <c r="G936" i="1"/>
  <c r="G937" i="1"/>
  <c r="K935" i="1"/>
  <c r="L935" i="1" s="1"/>
  <c r="K936" i="1"/>
  <c r="L936" i="1" s="1"/>
  <c r="K937" i="1"/>
  <c r="L937" i="1" s="1"/>
  <c r="K934" i="1"/>
  <c r="L934" i="1" s="1"/>
  <c r="G934" i="1"/>
  <c r="O931" i="1" l="1"/>
  <c r="O932" i="1"/>
  <c r="U932" i="1"/>
  <c r="U933" i="1"/>
  <c r="X932" i="1"/>
  <c r="X933" i="1"/>
  <c r="K933" i="1"/>
  <c r="L933" i="1" s="1"/>
  <c r="G933" i="1"/>
  <c r="K932" i="1"/>
  <c r="L932" i="1" s="1"/>
  <c r="G932" i="1"/>
  <c r="X931" i="1"/>
  <c r="U931" i="1"/>
  <c r="K931" i="1"/>
  <c r="L931" i="1" s="1"/>
  <c r="G931" i="1"/>
  <c r="O925" i="1"/>
  <c r="O926" i="1"/>
  <c r="O927" i="1"/>
  <c r="O928" i="1"/>
  <c r="O929" i="1"/>
  <c r="O930" i="1"/>
  <c r="R931" i="1"/>
  <c r="R925" i="1"/>
  <c r="R926" i="1"/>
  <c r="R927" i="1"/>
  <c r="R928" i="1"/>
  <c r="R929" i="1"/>
  <c r="R930" i="1"/>
  <c r="U925" i="1"/>
  <c r="U926" i="1"/>
  <c r="U927" i="1"/>
  <c r="U928" i="1"/>
  <c r="U929" i="1"/>
  <c r="U930" i="1"/>
  <c r="X925" i="1"/>
  <c r="X926" i="1"/>
  <c r="X927" i="1"/>
  <c r="X928" i="1"/>
  <c r="X929" i="1"/>
  <c r="X930" i="1"/>
  <c r="K928" i="1"/>
  <c r="L928" i="1" s="1"/>
  <c r="K929" i="1"/>
  <c r="L929" i="1" s="1"/>
  <c r="K930" i="1"/>
  <c r="L930" i="1" s="1"/>
  <c r="G928" i="1"/>
  <c r="G929" i="1"/>
  <c r="G930" i="1"/>
  <c r="G927" i="1"/>
  <c r="K927" i="1"/>
  <c r="L927" i="1" s="1"/>
  <c r="K926" i="1"/>
  <c r="L926" i="1" s="1"/>
  <c r="G926" i="1"/>
  <c r="G925" i="1"/>
  <c r="K925" i="1"/>
  <c r="L925" i="1" s="1"/>
  <c r="O920" i="1"/>
  <c r="O921" i="1"/>
  <c r="O922" i="1"/>
  <c r="O923" i="1"/>
  <c r="O924" i="1"/>
  <c r="R920" i="1"/>
  <c r="R921" i="1"/>
  <c r="R922" i="1"/>
  <c r="R923" i="1"/>
  <c r="R924" i="1"/>
  <c r="U920" i="1"/>
  <c r="U921" i="1"/>
  <c r="U922" i="1"/>
  <c r="U923" i="1"/>
  <c r="U924" i="1"/>
  <c r="X921" i="1"/>
  <c r="X922" i="1"/>
  <c r="X923" i="1"/>
  <c r="X924" i="1"/>
  <c r="X920" i="1"/>
  <c r="G924" i="1"/>
  <c r="K920" i="1"/>
  <c r="L920" i="1" s="1"/>
  <c r="K921" i="1"/>
  <c r="L921" i="1" s="1"/>
  <c r="K922" i="1"/>
  <c r="L922" i="1" s="1"/>
  <c r="K923" i="1"/>
  <c r="L923" i="1" s="1"/>
  <c r="K924" i="1"/>
  <c r="L924" i="1" s="1"/>
  <c r="G920" i="1"/>
  <c r="G921" i="1"/>
  <c r="G922" i="1"/>
  <c r="G923" i="1"/>
  <c r="O919" i="1"/>
  <c r="X919" i="1" l="1"/>
  <c r="U919" i="1"/>
  <c r="R919" i="1"/>
  <c r="K919" i="1"/>
  <c r="L919" i="1" s="1"/>
  <c r="G919" i="1"/>
  <c r="O918" i="1"/>
  <c r="R918" i="1" l="1"/>
  <c r="U918" i="1"/>
  <c r="X918" i="1"/>
  <c r="K918" i="1"/>
  <c r="L918" i="1" s="1"/>
  <c r="G918" i="1"/>
  <c r="O917" i="1"/>
  <c r="U917" i="1" l="1"/>
  <c r="X917" i="1"/>
  <c r="R917" i="1"/>
  <c r="K917" i="1"/>
  <c r="L917" i="1" s="1"/>
  <c r="G917" i="1"/>
  <c r="R912" i="1"/>
  <c r="R913" i="1"/>
  <c r="R914" i="1"/>
  <c r="R915" i="1"/>
  <c r="R916" i="1"/>
  <c r="O912" i="1"/>
  <c r="O913" i="1"/>
  <c r="O914" i="1"/>
  <c r="O915" i="1"/>
  <c r="O916" i="1"/>
  <c r="R911" i="1"/>
  <c r="U912" i="1"/>
  <c r="U913" i="1"/>
  <c r="U914" i="1"/>
  <c r="U915" i="1"/>
  <c r="U916" i="1"/>
  <c r="X913" i="1"/>
  <c r="X914" i="1"/>
  <c r="X915" i="1"/>
  <c r="X916" i="1"/>
  <c r="K912" i="1"/>
  <c r="L912" i="1" s="1"/>
  <c r="K913" i="1"/>
  <c r="L913" i="1" s="1"/>
  <c r="K914" i="1"/>
  <c r="L914" i="1" s="1"/>
  <c r="K915" i="1"/>
  <c r="L915" i="1" s="1"/>
  <c r="K916" i="1"/>
  <c r="L916" i="1" s="1"/>
  <c r="G912" i="1"/>
  <c r="G913" i="1"/>
  <c r="G914" i="1"/>
  <c r="G915" i="1"/>
  <c r="G916" i="1"/>
  <c r="X912" i="1"/>
  <c r="O911" i="1"/>
  <c r="O910" i="1"/>
  <c r="X911" i="1"/>
  <c r="U911" i="1"/>
  <c r="G911" i="1"/>
  <c r="K911" i="1"/>
  <c r="L911" i="1" s="1"/>
  <c r="R910" i="1"/>
  <c r="X910" i="1"/>
  <c r="U910" i="1"/>
  <c r="G910" i="1"/>
  <c r="K910" i="1"/>
  <c r="L910" i="1" s="1"/>
  <c r="O907" i="1"/>
  <c r="O908" i="1"/>
  <c r="O909" i="1"/>
  <c r="K906" i="1"/>
  <c r="L906" i="1" s="1"/>
  <c r="K907" i="1"/>
  <c r="L907" i="1" s="1"/>
  <c r="K908" i="1"/>
  <c r="L908" i="1" s="1"/>
  <c r="K909" i="1"/>
  <c r="L909" i="1" s="1"/>
  <c r="G906" i="1"/>
  <c r="G907" i="1"/>
  <c r="G908" i="1"/>
  <c r="G909" i="1"/>
  <c r="R907" i="1"/>
  <c r="R908" i="1"/>
  <c r="R909" i="1"/>
  <c r="X907" i="1"/>
  <c r="X908" i="1"/>
  <c r="X909" i="1"/>
  <c r="U907" i="1"/>
  <c r="U908" i="1"/>
  <c r="U909" i="1"/>
  <c r="X906" i="1" l="1"/>
  <c r="U906" i="1"/>
  <c r="R906" i="1"/>
  <c r="O906" i="1"/>
  <c r="O903" i="1"/>
  <c r="O904" i="1"/>
  <c r="O905" i="1"/>
  <c r="R903" i="1"/>
  <c r="R904" i="1"/>
  <c r="R905" i="1"/>
  <c r="X905" i="1"/>
  <c r="X904" i="1"/>
  <c r="U904" i="1"/>
  <c r="U905" i="1"/>
  <c r="U903" i="1"/>
  <c r="X903" i="1"/>
  <c r="K903" i="1"/>
  <c r="L903" i="1" s="1"/>
  <c r="K904" i="1"/>
  <c r="L904" i="1" s="1"/>
  <c r="K905" i="1"/>
  <c r="L905" i="1" s="1"/>
  <c r="G903" i="1"/>
  <c r="G904" i="1"/>
  <c r="G905" i="1"/>
  <c r="O899" i="1" l="1"/>
  <c r="O900" i="1"/>
  <c r="O901" i="1"/>
  <c r="O902" i="1"/>
  <c r="R900" i="1"/>
  <c r="R901" i="1"/>
  <c r="R902" i="1"/>
  <c r="X900" i="1"/>
  <c r="X901" i="1"/>
  <c r="X902" i="1"/>
  <c r="U900" i="1"/>
  <c r="U901" i="1"/>
  <c r="U902" i="1"/>
  <c r="K900" i="1"/>
  <c r="L900" i="1" s="1"/>
  <c r="K901" i="1"/>
  <c r="L901" i="1" s="1"/>
  <c r="K902" i="1"/>
  <c r="L902" i="1" s="1"/>
  <c r="G900" i="1"/>
  <c r="G901" i="1"/>
  <c r="G902" i="1"/>
  <c r="R899" i="1"/>
  <c r="X899" i="1"/>
  <c r="U899" i="1"/>
  <c r="K899" i="1"/>
  <c r="L899" i="1" s="1"/>
  <c r="G899" i="1"/>
  <c r="O898" i="1"/>
  <c r="D897" i="1" l="1"/>
  <c r="R898" i="1"/>
  <c r="U898" i="1"/>
  <c r="X898" i="1"/>
  <c r="K898" i="1"/>
  <c r="L898" i="1" s="1"/>
  <c r="G898" i="1"/>
  <c r="O897" i="1" l="1"/>
  <c r="K897" i="1"/>
  <c r="L897" i="1" s="1"/>
  <c r="G896" i="1"/>
  <c r="G897" i="1"/>
  <c r="H897" i="1" s="1"/>
  <c r="X896" i="1"/>
  <c r="X897" i="1"/>
  <c r="U896" i="1"/>
  <c r="U897" i="1"/>
  <c r="R896" i="1" l="1"/>
  <c r="R897" i="1"/>
  <c r="O896" i="1"/>
  <c r="K896" i="1" l="1"/>
  <c r="L896" i="1" s="1"/>
  <c r="O894" i="1"/>
  <c r="O895" i="1"/>
  <c r="X893" i="1"/>
  <c r="X894" i="1"/>
  <c r="X895" i="1"/>
  <c r="U893" i="1"/>
  <c r="U894" i="1"/>
  <c r="U895" i="1"/>
  <c r="R893" i="1"/>
  <c r="R894" i="1"/>
  <c r="R895" i="1"/>
  <c r="O893" i="1"/>
  <c r="O892" i="1"/>
  <c r="K893" i="1"/>
  <c r="L893" i="1" s="1"/>
  <c r="K894" i="1"/>
  <c r="L894" i="1" s="1"/>
  <c r="K895" i="1"/>
  <c r="L895" i="1" s="1"/>
  <c r="G893" i="1"/>
  <c r="G894" i="1"/>
  <c r="G895" i="1"/>
  <c r="R892" i="1"/>
  <c r="X892" i="1"/>
  <c r="U892" i="1"/>
  <c r="K892" i="1"/>
  <c r="L892" i="1" s="1"/>
  <c r="G892" i="1"/>
  <c r="O891" i="1"/>
  <c r="R891" i="1"/>
  <c r="X891" i="1"/>
  <c r="U891" i="1"/>
  <c r="K891" i="1"/>
  <c r="L891" i="1" s="1"/>
  <c r="G891" i="1"/>
  <c r="R890" i="1"/>
  <c r="O890" i="1"/>
  <c r="X890" i="1"/>
  <c r="U890" i="1"/>
  <c r="K890" i="1"/>
  <c r="L890" i="1" s="1"/>
  <c r="G890" i="1"/>
  <c r="O889" i="1"/>
  <c r="R889" i="1"/>
  <c r="U889" i="1"/>
  <c r="X889" i="1"/>
  <c r="K889" i="1"/>
  <c r="L889" i="1" s="1"/>
  <c r="G889" i="1"/>
  <c r="O886" i="1"/>
  <c r="O887" i="1"/>
  <c r="O888" i="1"/>
  <c r="R886" i="1"/>
  <c r="R887" i="1"/>
  <c r="R888" i="1"/>
  <c r="U883" i="1"/>
  <c r="U884" i="1"/>
  <c r="U885" i="1"/>
  <c r="U886" i="1"/>
  <c r="U887" i="1"/>
  <c r="U888" i="1"/>
  <c r="X883" i="1"/>
  <c r="X884" i="1"/>
  <c r="X885" i="1"/>
  <c r="X886" i="1"/>
  <c r="X887" i="1"/>
  <c r="X888" i="1"/>
  <c r="G887" i="1"/>
  <c r="G888" i="1"/>
  <c r="K886" i="1"/>
  <c r="L886" i="1" s="1"/>
  <c r="K887" i="1"/>
  <c r="L887" i="1" s="1"/>
  <c r="K888" i="1"/>
  <c r="L888" i="1" s="1"/>
  <c r="G886" i="1"/>
  <c r="O885" i="1"/>
  <c r="R885" i="1"/>
  <c r="K885" i="1"/>
  <c r="L885" i="1" s="1"/>
  <c r="D889" i="1"/>
  <c r="H889" i="1" s="1"/>
  <c r="G885" i="1"/>
  <c r="O883" i="1"/>
  <c r="O884" i="1"/>
  <c r="R883" i="1"/>
  <c r="R884" i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G882" i="1"/>
  <c r="G883" i="1"/>
  <c r="G884" i="1"/>
  <c r="X882" i="1" l="1"/>
  <c r="U882" i="1"/>
  <c r="R882" i="1"/>
  <c r="O882" i="1"/>
  <c r="R879" i="1"/>
  <c r="R880" i="1"/>
  <c r="R881" i="1"/>
  <c r="O879" i="1"/>
  <c r="O880" i="1"/>
  <c r="O881" i="1"/>
  <c r="G879" i="1"/>
  <c r="G880" i="1"/>
  <c r="G881" i="1"/>
  <c r="U879" i="1"/>
  <c r="U880" i="1"/>
  <c r="U881" i="1"/>
  <c r="X879" i="1"/>
  <c r="X880" i="1"/>
  <c r="X881" i="1"/>
  <c r="R878" i="1"/>
  <c r="O878" i="1"/>
  <c r="X878" i="1"/>
  <c r="U878" i="1"/>
  <c r="K878" i="1"/>
  <c r="L878" i="1" s="1"/>
  <c r="G878" i="1"/>
  <c r="X876" i="1"/>
  <c r="X877" i="1"/>
  <c r="U876" i="1"/>
  <c r="U877" i="1"/>
  <c r="O876" i="1"/>
  <c r="O877" i="1"/>
  <c r="R876" i="1"/>
  <c r="R877" i="1"/>
  <c r="K876" i="1"/>
  <c r="L876" i="1" s="1"/>
  <c r="K877" i="1"/>
  <c r="L877" i="1" s="1"/>
  <c r="G877" i="1"/>
  <c r="G876" i="1"/>
  <c r="K875" i="1"/>
  <c r="L875" i="1" s="1"/>
  <c r="G875" i="1"/>
  <c r="G872" i="1"/>
  <c r="G873" i="1"/>
  <c r="G874" i="1"/>
  <c r="K872" i="1"/>
  <c r="L872" i="1" s="1"/>
  <c r="K873" i="1"/>
  <c r="L873" i="1" s="1"/>
  <c r="K874" i="1"/>
  <c r="L874" i="1" s="1"/>
  <c r="X872" i="1"/>
  <c r="X873" i="1"/>
  <c r="X874" i="1"/>
  <c r="X875" i="1"/>
  <c r="U872" i="1"/>
  <c r="U873" i="1"/>
  <c r="U874" i="1"/>
  <c r="U875" i="1"/>
  <c r="R875" i="1"/>
  <c r="R872" i="1"/>
  <c r="R873" i="1"/>
  <c r="R874" i="1"/>
  <c r="R871" i="1"/>
  <c r="O875" i="1"/>
  <c r="O873" i="1"/>
  <c r="O874" i="1"/>
  <c r="O871" i="1"/>
  <c r="O872" i="1"/>
  <c r="O870" i="1"/>
  <c r="O869" i="1"/>
  <c r="K871" i="1"/>
  <c r="L871" i="1" s="1"/>
  <c r="G871" i="1"/>
  <c r="X871" i="1"/>
  <c r="U871" i="1"/>
  <c r="R870" i="1"/>
  <c r="R869" i="1"/>
  <c r="U870" i="1"/>
  <c r="X870" i="1"/>
  <c r="U869" i="1"/>
  <c r="X869" i="1"/>
  <c r="G869" i="1"/>
  <c r="G870" i="1"/>
  <c r="K870" i="1"/>
  <c r="L870" i="1" s="1"/>
  <c r="K869" i="1"/>
  <c r="L869" i="1" s="1"/>
  <c r="O868" i="1"/>
  <c r="R868" i="1"/>
  <c r="X864" i="1"/>
  <c r="X865" i="1"/>
  <c r="X866" i="1"/>
  <c r="X867" i="1"/>
  <c r="X868" i="1"/>
  <c r="U864" i="1"/>
  <c r="U865" i="1"/>
  <c r="U866" i="1"/>
  <c r="U867" i="1"/>
  <c r="U868" i="1"/>
  <c r="R865" i="1" l="1"/>
  <c r="R866" i="1"/>
  <c r="R867" i="1"/>
  <c r="O864" i="1"/>
  <c r="O865" i="1"/>
  <c r="O866" i="1"/>
  <c r="O867" i="1"/>
  <c r="K865" i="1"/>
  <c r="L865" i="1" s="1"/>
  <c r="K866" i="1"/>
  <c r="L866" i="1" s="1"/>
  <c r="K867" i="1"/>
  <c r="L867" i="1" s="1"/>
  <c r="K868" i="1"/>
  <c r="L868" i="1" s="1"/>
  <c r="G866" i="1"/>
  <c r="G867" i="1"/>
  <c r="G868" i="1"/>
  <c r="R864" i="1"/>
  <c r="G865" i="1"/>
  <c r="X862" i="1"/>
  <c r="K864" i="1"/>
  <c r="L864" i="1" s="1"/>
  <c r="G864" i="1"/>
  <c r="X863" i="1" l="1"/>
  <c r="O863" i="1"/>
  <c r="U863" i="1"/>
  <c r="R863" i="1"/>
  <c r="K863" i="1"/>
  <c r="L863" i="1" s="1"/>
  <c r="G863" i="1"/>
  <c r="O862" i="1"/>
  <c r="R862" i="1"/>
  <c r="U862" i="1"/>
  <c r="K862" i="1"/>
  <c r="L862" i="1" s="1"/>
  <c r="D862" i="1"/>
  <c r="G862" i="1"/>
  <c r="R861" i="1"/>
  <c r="R858" i="1"/>
  <c r="R859" i="1"/>
  <c r="R860" i="1"/>
  <c r="R857" i="1"/>
  <c r="O861" i="1"/>
  <c r="O858" i="1"/>
  <c r="O859" i="1"/>
  <c r="O860" i="1"/>
  <c r="O857" i="1"/>
  <c r="H862" i="1" l="1"/>
  <c r="K861" i="1"/>
  <c r="L861" i="1" s="1"/>
  <c r="G861" i="1"/>
  <c r="K858" i="1"/>
  <c r="L858" i="1" s="1"/>
  <c r="K859" i="1"/>
  <c r="L859" i="1" s="1"/>
  <c r="K860" i="1"/>
  <c r="L860" i="1" s="1"/>
  <c r="G858" i="1"/>
  <c r="G859" i="1"/>
  <c r="G860" i="1"/>
  <c r="U861" i="1"/>
  <c r="X861" i="1"/>
  <c r="U858" i="1"/>
  <c r="U859" i="1"/>
  <c r="U860" i="1"/>
  <c r="X858" i="1"/>
  <c r="X859" i="1"/>
  <c r="X860" i="1"/>
  <c r="X857" i="1" l="1"/>
  <c r="U857" i="1"/>
  <c r="K857" i="1"/>
  <c r="L857" i="1" s="1"/>
  <c r="G857" i="1"/>
  <c r="O856" i="1"/>
  <c r="R856" i="1"/>
  <c r="X856" i="1"/>
  <c r="U856" i="1"/>
  <c r="K856" i="1"/>
  <c r="L856" i="1" s="1"/>
  <c r="G856" i="1"/>
  <c r="O855" i="1"/>
  <c r="R855" i="1"/>
  <c r="U855" i="1"/>
  <c r="X855" i="1"/>
  <c r="K855" i="1"/>
  <c r="L855" i="1" s="1"/>
  <c r="G855" i="1"/>
  <c r="R854" i="1"/>
  <c r="O854" i="1"/>
  <c r="U854" i="1"/>
  <c r="X854" i="1"/>
  <c r="K854" i="1"/>
  <c r="L854" i="1" s="1"/>
  <c r="G854" i="1"/>
  <c r="O850" i="1"/>
  <c r="O851" i="1"/>
  <c r="O852" i="1"/>
  <c r="O853" i="1"/>
  <c r="X850" i="1"/>
  <c r="X851" i="1"/>
  <c r="X852" i="1"/>
  <c r="X853" i="1"/>
  <c r="U850" i="1"/>
  <c r="U851" i="1"/>
  <c r="U852" i="1"/>
  <c r="U853" i="1"/>
  <c r="K850" i="1"/>
  <c r="L850" i="1" s="1"/>
  <c r="K851" i="1"/>
  <c r="L851" i="1" s="1"/>
  <c r="K852" i="1"/>
  <c r="L852" i="1" s="1"/>
  <c r="K853" i="1"/>
  <c r="L853" i="1" s="1"/>
  <c r="G853" i="1"/>
  <c r="G850" i="1" l="1"/>
  <c r="G851" i="1"/>
  <c r="G852" i="1"/>
  <c r="R850" i="1" l="1"/>
  <c r="R851" i="1"/>
  <c r="R852" i="1"/>
  <c r="R853" i="1"/>
  <c r="K849" i="1"/>
  <c r="L849" i="1" s="1"/>
  <c r="G849" i="1"/>
  <c r="X849" i="1"/>
  <c r="U849" i="1"/>
  <c r="R848" i="1"/>
  <c r="R849" i="1"/>
  <c r="O849" i="1"/>
  <c r="O848" i="1"/>
  <c r="X848" i="1"/>
  <c r="U848" i="1"/>
  <c r="G848" i="1"/>
  <c r="O847" i="1"/>
  <c r="R847" i="1"/>
  <c r="X847" i="1"/>
  <c r="U847" i="1"/>
  <c r="K847" i="1"/>
  <c r="L847" i="1" s="1"/>
  <c r="K848" i="1"/>
  <c r="L848" i="1" s="1"/>
  <c r="G847" i="1"/>
  <c r="R843" i="1"/>
  <c r="R844" i="1"/>
  <c r="R845" i="1"/>
  <c r="R846" i="1"/>
  <c r="O846" i="1"/>
  <c r="O845" i="1"/>
  <c r="O844" i="1"/>
  <c r="O843" i="1"/>
  <c r="O842" i="1"/>
  <c r="X844" i="1"/>
  <c r="X845" i="1"/>
  <c r="X846" i="1"/>
  <c r="U844" i="1"/>
  <c r="U845" i="1"/>
  <c r="U846" i="1"/>
  <c r="K844" i="1"/>
  <c r="L844" i="1" s="1"/>
  <c r="K845" i="1"/>
  <c r="L845" i="1" s="1"/>
  <c r="K846" i="1"/>
  <c r="L846" i="1" s="1"/>
  <c r="G844" i="1"/>
  <c r="G845" i="1"/>
  <c r="G846" i="1"/>
  <c r="U843" i="1"/>
  <c r="X843" i="1"/>
  <c r="K843" i="1"/>
  <c r="L843" i="1" s="1"/>
  <c r="G843" i="1"/>
  <c r="R842" i="1"/>
  <c r="X842" i="1"/>
  <c r="U842" i="1"/>
  <c r="K842" i="1"/>
  <c r="L842" i="1" s="1"/>
  <c r="G841" i="1"/>
  <c r="G842" i="1"/>
  <c r="U841" i="1"/>
  <c r="X841" i="1"/>
  <c r="K841" i="1"/>
  <c r="L841" i="1" s="1"/>
  <c r="O841" i="1"/>
  <c r="R841" i="1"/>
  <c r="D803" i="1" l="1"/>
  <c r="R840" i="1"/>
  <c r="O840" i="1"/>
  <c r="U840" i="1"/>
  <c r="X840" i="1"/>
  <c r="G840" i="1"/>
  <c r="K840" i="1"/>
  <c r="L840" i="1" s="1"/>
  <c r="R837" i="1"/>
  <c r="R838" i="1"/>
  <c r="R839" i="1"/>
  <c r="K838" i="1"/>
  <c r="L838" i="1" s="1"/>
  <c r="K839" i="1"/>
  <c r="L839" i="1" s="1"/>
  <c r="O838" i="1"/>
  <c r="O839" i="1"/>
  <c r="X837" i="1"/>
  <c r="X838" i="1"/>
  <c r="X839" i="1"/>
  <c r="U838" i="1"/>
  <c r="U839" i="1"/>
  <c r="G838" i="1"/>
  <c r="G839" i="1"/>
  <c r="O837" i="1"/>
  <c r="U837" i="1"/>
  <c r="K837" i="1"/>
  <c r="L837" i="1" s="1"/>
  <c r="G837" i="1"/>
  <c r="R836" i="1"/>
  <c r="O836" i="1"/>
  <c r="K836" i="1"/>
  <c r="L836" i="1" s="1"/>
  <c r="G836" i="1"/>
  <c r="X835" i="1" l="1"/>
  <c r="X836" i="1"/>
  <c r="U835" i="1"/>
  <c r="U836" i="1"/>
  <c r="R835" i="1"/>
  <c r="O835" i="1"/>
  <c r="K835" i="1"/>
  <c r="L835" i="1" s="1"/>
  <c r="G835" i="1"/>
  <c r="O833" i="1"/>
  <c r="O834" i="1"/>
  <c r="O830" i="1"/>
  <c r="O831" i="1"/>
  <c r="O832" i="1"/>
  <c r="R833" i="1"/>
  <c r="R834" i="1"/>
  <c r="R830" i="1"/>
  <c r="R831" i="1"/>
  <c r="R832" i="1"/>
  <c r="X833" i="1"/>
  <c r="X834" i="1"/>
  <c r="U833" i="1"/>
  <c r="U834" i="1"/>
  <c r="K833" i="1"/>
  <c r="L833" i="1" s="1"/>
  <c r="K834" i="1"/>
  <c r="L834" i="1" s="1"/>
  <c r="G833" i="1"/>
  <c r="G834" i="1"/>
  <c r="R829" i="1"/>
  <c r="X830" i="1"/>
  <c r="X831" i="1"/>
  <c r="X832" i="1"/>
  <c r="U830" i="1"/>
  <c r="U831" i="1"/>
  <c r="U832" i="1"/>
  <c r="K830" i="1"/>
  <c r="L830" i="1" s="1"/>
  <c r="K831" i="1"/>
  <c r="L831" i="1" s="1"/>
  <c r="K832" i="1"/>
  <c r="L832" i="1" s="1"/>
  <c r="G830" i="1"/>
  <c r="G831" i="1"/>
  <c r="G832" i="1"/>
  <c r="O829" i="1"/>
  <c r="X829" i="1"/>
  <c r="U829" i="1"/>
  <c r="K829" i="1"/>
  <c r="L829" i="1" s="1"/>
  <c r="G829" i="1"/>
  <c r="R828" i="1"/>
  <c r="O827" i="1"/>
  <c r="O828" i="1"/>
  <c r="U828" i="1"/>
  <c r="X828" i="1"/>
  <c r="K828" i="1"/>
  <c r="L828" i="1" s="1"/>
  <c r="G828" i="1"/>
  <c r="R827" i="1"/>
  <c r="X826" i="1"/>
  <c r="X827" i="1"/>
  <c r="U827" i="1"/>
  <c r="K827" i="1"/>
  <c r="L827" i="1" s="1"/>
  <c r="G827" i="1"/>
  <c r="O826" i="1"/>
  <c r="R826" i="1"/>
  <c r="U826" i="1"/>
  <c r="K826" i="1" l="1"/>
  <c r="L826" i="1" s="1"/>
  <c r="G826" i="1"/>
  <c r="X823" i="1"/>
  <c r="X824" i="1"/>
  <c r="X825" i="1"/>
  <c r="U823" i="1"/>
  <c r="U824" i="1"/>
  <c r="U825" i="1"/>
  <c r="K823" i="1"/>
  <c r="L823" i="1" s="1"/>
  <c r="K824" i="1"/>
  <c r="L824" i="1" s="1"/>
  <c r="K825" i="1"/>
  <c r="L825" i="1" s="1"/>
  <c r="G825" i="1"/>
  <c r="G823" i="1"/>
  <c r="G824" i="1"/>
  <c r="R823" i="1"/>
  <c r="R824" i="1"/>
  <c r="R825" i="1"/>
  <c r="O824" i="1" l="1"/>
  <c r="O825" i="1"/>
  <c r="O823" i="1"/>
  <c r="O822" i="1"/>
  <c r="X822" i="1"/>
  <c r="U822" i="1"/>
  <c r="O821" i="1" l="1"/>
  <c r="R822" i="1"/>
  <c r="K822" i="1"/>
  <c r="L822" i="1" s="1"/>
  <c r="G822" i="1"/>
  <c r="X821" i="1"/>
  <c r="U821" i="1"/>
  <c r="R821" i="1"/>
  <c r="K821" i="1"/>
  <c r="L821" i="1" s="1"/>
  <c r="R820" i="1"/>
  <c r="O820" i="1"/>
  <c r="X820" i="1"/>
  <c r="U820" i="1"/>
  <c r="K820" i="1"/>
  <c r="L820" i="1" s="1"/>
  <c r="G820" i="1"/>
  <c r="G821" i="1"/>
  <c r="X819" i="1" l="1"/>
  <c r="U819" i="1"/>
  <c r="X815" i="1"/>
  <c r="X816" i="1"/>
  <c r="X817" i="1"/>
  <c r="X818" i="1"/>
  <c r="U815" i="1"/>
  <c r="U816" i="1"/>
  <c r="U817" i="1"/>
  <c r="U818" i="1"/>
  <c r="R819" i="1"/>
  <c r="O819" i="1"/>
  <c r="K819" i="1"/>
  <c r="L819" i="1" s="1"/>
  <c r="G819" i="1"/>
  <c r="R816" i="1"/>
  <c r="R817" i="1"/>
  <c r="R818" i="1"/>
  <c r="R815" i="1"/>
  <c r="O817" i="1"/>
  <c r="O818" i="1"/>
  <c r="O816" i="1"/>
  <c r="O815" i="1"/>
  <c r="K816" i="1"/>
  <c r="L816" i="1" s="1"/>
  <c r="K817" i="1"/>
  <c r="L817" i="1" s="1"/>
  <c r="K818" i="1"/>
  <c r="L818" i="1" s="1"/>
  <c r="G816" i="1"/>
  <c r="G817" i="1"/>
  <c r="G818" i="1"/>
  <c r="K815" i="1"/>
  <c r="L815" i="1" s="1"/>
  <c r="G815" i="1"/>
  <c r="U814" i="1" l="1"/>
  <c r="X813" i="1"/>
  <c r="X814" i="1"/>
  <c r="U813" i="1"/>
  <c r="K814" i="1"/>
  <c r="L814" i="1" s="1"/>
  <c r="G814" i="1"/>
  <c r="K813" i="1"/>
  <c r="L813" i="1" s="1"/>
  <c r="G813" i="1"/>
  <c r="R813" i="1"/>
  <c r="R814" i="1"/>
  <c r="O814" i="1"/>
  <c r="O813" i="1"/>
  <c r="O812" i="1"/>
  <c r="R812" i="1"/>
  <c r="X812" i="1"/>
  <c r="U812" i="1"/>
  <c r="K812" i="1"/>
  <c r="L812" i="1" s="1"/>
  <c r="G812" i="1"/>
  <c r="R809" i="1"/>
  <c r="R810" i="1"/>
  <c r="R811" i="1"/>
  <c r="O811" i="1"/>
  <c r="O809" i="1"/>
  <c r="O810" i="1"/>
  <c r="X809" i="1"/>
  <c r="X810" i="1"/>
  <c r="X811" i="1"/>
  <c r="U809" i="1"/>
  <c r="U810" i="1"/>
  <c r="U811" i="1"/>
  <c r="K809" i="1"/>
  <c r="L809" i="1" s="1"/>
  <c r="K810" i="1"/>
  <c r="L810" i="1" s="1"/>
  <c r="K811" i="1"/>
  <c r="L811" i="1" s="1"/>
  <c r="G809" i="1"/>
  <c r="G810" i="1"/>
  <c r="G811" i="1"/>
  <c r="U808" i="1"/>
  <c r="X808" i="1"/>
  <c r="R808" i="1"/>
  <c r="O808" i="1"/>
  <c r="X807" i="1"/>
  <c r="U807" i="1"/>
  <c r="K808" i="1"/>
  <c r="L808" i="1" s="1"/>
  <c r="G808" i="1"/>
  <c r="X806" i="1"/>
  <c r="U806" i="1"/>
  <c r="R807" i="1"/>
  <c r="R802" i="1"/>
  <c r="R803" i="1"/>
  <c r="R804" i="1"/>
  <c r="R805" i="1"/>
  <c r="R806" i="1"/>
  <c r="O807" i="1"/>
  <c r="O803" i="1"/>
  <c r="O804" i="1"/>
  <c r="O805" i="1"/>
  <c r="O806" i="1"/>
  <c r="O802" i="1"/>
  <c r="O801" i="1"/>
  <c r="X802" i="1"/>
  <c r="X803" i="1"/>
  <c r="X804" i="1"/>
  <c r="X805" i="1"/>
  <c r="U802" i="1"/>
  <c r="U803" i="1"/>
  <c r="U804" i="1"/>
  <c r="U805" i="1"/>
  <c r="K807" i="1"/>
  <c r="L807" i="1" s="1"/>
  <c r="G807" i="1"/>
  <c r="K802" i="1"/>
  <c r="L802" i="1" s="1"/>
  <c r="K803" i="1"/>
  <c r="L803" i="1" s="1"/>
  <c r="K804" i="1"/>
  <c r="L804" i="1" s="1"/>
  <c r="K805" i="1"/>
  <c r="L805" i="1" s="1"/>
  <c r="K806" i="1"/>
  <c r="L806" i="1" s="1"/>
  <c r="G802" i="1"/>
  <c r="G803" i="1"/>
  <c r="G804" i="1"/>
  <c r="G805" i="1"/>
  <c r="G806" i="1"/>
  <c r="X801" i="1"/>
  <c r="U801" i="1"/>
  <c r="K801" i="1"/>
  <c r="L801" i="1" s="1"/>
  <c r="G801" i="1"/>
  <c r="R801" i="1"/>
  <c r="R800" i="1"/>
  <c r="O800" i="1"/>
  <c r="U800" i="1"/>
  <c r="X800" i="1"/>
  <c r="K800" i="1"/>
  <c r="L800" i="1" s="1"/>
  <c r="G800" i="1"/>
  <c r="O798" i="1"/>
  <c r="O799" i="1"/>
  <c r="R799" i="1"/>
  <c r="U799" i="1"/>
  <c r="X799" i="1"/>
  <c r="K799" i="1"/>
  <c r="L799" i="1" s="1"/>
  <c r="G799" i="1"/>
  <c r="R798" i="1"/>
  <c r="U798" i="1"/>
  <c r="X798" i="1"/>
  <c r="K798" i="1"/>
  <c r="L798" i="1" s="1"/>
  <c r="G798" i="1"/>
  <c r="R795" i="1"/>
  <c r="R796" i="1"/>
  <c r="R797" i="1"/>
  <c r="O795" i="1"/>
  <c r="O796" i="1"/>
  <c r="O797" i="1"/>
  <c r="U795" i="1"/>
  <c r="U796" i="1"/>
  <c r="U797" i="1"/>
  <c r="X795" i="1"/>
  <c r="X796" i="1"/>
  <c r="X797" i="1"/>
  <c r="K795" i="1"/>
  <c r="L795" i="1" s="1"/>
  <c r="K796" i="1"/>
  <c r="L796" i="1" s="1"/>
  <c r="K797" i="1"/>
  <c r="L797" i="1" s="1"/>
  <c r="G795" i="1"/>
  <c r="G796" i="1"/>
  <c r="G797" i="1"/>
  <c r="O794" i="1" l="1"/>
  <c r="U794" i="1"/>
  <c r="X794" i="1"/>
  <c r="G794" i="1"/>
  <c r="K794" i="1"/>
  <c r="L794" i="1" s="1"/>
  <c r="R794" i="1"/>
  <c r="O793" i="1" l="1"/>
  <c r="R793" i="1"/>
  <c r="X793" i="1"/>
  <c r="U793" i="1"/>
  <c r="K793" i="1"/>
  <c r="L793" i="1" s="1"/>
  <c r="G793" i="1"/>
  <c r="O792" i="1"/>
  <c r="R792" i="1"/>
  <c r="X792" i="1" l="1"/>
  <c r="U792" i="1"/>
  <c r="K792" i="1"/>
  <c r="L792" i="1" s="1"/>
  <c r="G792" i="1"/>
  <c r="O791" i="1"/>
  <c r="X791" i="1"/>
  <c r="U791" i="1"/>
  <c r="K791" i="1"/>
  <c r="L791" i="1" s="1"/>
  <c r="G791" i="1"/>
  <c r="R791" i="1"/>
  <c r="O790" i="1"/>
  <c r="X788" i="1"/>
  <c r="X789" i="1"/>
  <c r="X790" i="1"/>
  <c r="U788" i="1"/>
  <c r="U789" i="1"/>
  <c r="U790" i="1"/>
  <c r="R787" i="1"/>
  <c r="R788" i="1"/>
  <c r="R789" i="1"/>
  <c r="R790" i="1"/>
  <c r="O788" i="1"/>
  <c r="O789" i="1"/>
  <c r="K788" i="1"/>
  <c r="L788" i="1" s="1"/>
  <c r="K789" i="1"/>
  <c r="L789" i="1" s="1"/>
  <c r="K790" i="1"/>
  <c r="L790" i="1" s="1"/>
  <c r="G790" i="1"/>
  <c r="G788" i="1"/>
  <c r="G789" i="1"/>
  <c r="R786" i="1"/>
  <c r="X786" i="1"/>
  <c r="X787" i="1"/>
  <c r="U786" i="1"/>
  <c r="U787" i="1"/>
  <c r="O786" i="1"/>
  <c r="O787" i="1"/>
  <c r="K786" i="1"/>
  <c r="L786" i="1" s="1"/>
  <c r="K787" i="1"/>
  <c r="L787" i="1" s="1"/>
  <c r="G786" i="1"/>
  <c r="G787" i="1"/>
  <c r="O784" i="1"/>
  <c r="O785" i="1"/>
  <c r="U785" i="1"/>
  <c r="R785" i="1"/>
  <c r="X785" i="1"/>
  <c r="K785" i="1"/>
  <c r="L785" i="1" s="1"/>
  <c r="G785" i="1"/>
  <c r="R784" i="1" l="1"/>
  <c r="U784" i="1"/>
  <c r="X784" i="1"/>
  <c r="K784" i="1"/>
  <c r="L784" i="1" s="1"/>
  <c r="G784" i="1"/>
  <c r="X780" i="1"/>
  <c r="X781" i="1"/>
  <c r="X782" i="1"/>
  <c r="X783" i="1"/>
  <c r="U780" i="1"/>
  <c r="U781" i="1"/>
  <c r="U782" i="1"/>
  <c r="U783" i="1"/>
  <c r="R781" i="1"/>
  <c r="R782" i="1"/>
  <c r="R783" i="1"/>
  <c r="O781" i="1" l="1"/>
  <c r="O782" i="1"/>
  <c r="O783" i="1"/>
  <c r="K781" i="1"/>
  <c r="L781" i="1" s="1"/>
  <c r="K782" i="1"/>
  <c r="L782" i="1" s="1"/>
  <c r="K783" i="1"/>
  <c r="L783" i="1" s="1"/>
  <c r="G781" i="1"/>
  <c r="G782" i="1"/>
  <c r="G783" i="1"/>
  <c r="O780" i="1"/>
  <c r="O779" i="1"/>
  <c r="R780" i="1"/>
  <c r="K780" i="1"/>
  <c r="L780" i="1" s="1"/>
  <c r="G780" i="1"/>
  <c r="O778" i="1"/>
  <c r="X778" i="1"/>
  <c r="X779" i="1"/>
  <c r="U778" i="1"/>
  <c r="U779" i="1"/>
  <c r="R779" i="1"/>
  <c r="K779" i="1"/>
  <c r="L779" i="1" s="1"/>
  <c r="G779" i="1"/>
  <c r="N11" i="11"/>
  <c r="N10" i="11"/>
  <c r="M11" i="11"/>
  <c r="N9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N39" i="11"/>
  <c r="N38" i="11"/>
  <c r="R778" i="1"/>
  <c r="K778" i="1"/>
  <c r="L778" i="1" s="1"/>
  <c r="G778" i="1"/>
  <c r="O777" i="1"/>
  <c r="D36" i="6"/>
  <c r="R777" i="1"/>
  <c r="X777" i="1"/>
  <c r="U777" i="1"/>
  <c r="K777" i="1"/>
  <c r="L777" i="1" s="1"/>
  <c r="G777" i="1"/>
  <c r="N36" i="11"/>
  <c r="N34" i="11"/>
  <c r="N33" i="11"/>
  <c r="N32" i="11"/>
  <c r="B11" i="11"/>
  <c r="AD20" i="11"/>
  <c r="AC20" i="11"/>
  <c r="AB20" i="11"/>
  <c r="AA16" i="11"/>
  <c r="L11" i="11"/>
  <c r="K11" i="11"/>
  <c r="J11" i="11"/>
  <c r="I11" i="11"/>
  <c r="H11" i="11"/>
  <c r="G11" i="11"/>
  <c r="F11" i="11"/>
  <c r="E11" i="11"/>
  <c r="D11" i="11"/>
  <c r="C11" i="11"/>
  <c r="N8" i="11"/>
  <c r="N7" i="11"/>
  <c r="N6" i="11"/>
  <c r="N5" i="11"/>
  <c r="N4" i="11"/>
  <c r="N3" i="11"/>
  <c r="K775" i="1"/>
  <c r="L775" i="1" s="1"/>
  <c r="K776" i="1"/>
  <c r="L776" i="1" s="1"/>
  <c r="K774" i="1"/>
  <c r="L774" i="1" s="1"/>
  <c r="G774" i="1"/>
  <c r="G775" i="1"/>
  <c r="G776" i="1"/>
  <c r="U774" i="1"/>
  <c r="U775" i="1"/>
  <c r="U776" i="1"/>
  <c r="X774" i="1"/>
  <c r="X775" i="1"/>
  <c r="X776" i="1"/>
  <c r="R774" i="1"/>
  <c r="R775" i="1"/>
  <c r="R776" i="1"/>
  <c r="O775" i="1"/>
  <c r="O776" i="1"/>
  <c r="O774" i="1"/>
  <c r="O773" i="1" l="1"/>
  <c r="X773" i="1"/>
  <c r="U773" i="1"/>
  <c r="G773" i="1"/>
  <c r="K773" i="1"/>
  <c r="L773" i="1" s="1"/>
  <c r="R773" i="1"/>
  <c r="O772" i="1"/>
  <c r="R772" i="1"/>
  <c r="X772" i="1"/>
  <c r="U772" i="1"/>
  <c r="K772" i="1"/>
  <c r="L772" i="1" s="1"/>
  <c r="G772" i="1"/>
  <c r="X771" i="1"/>
  <c r="U771" i="1"/>
  <c r="R771" i="1"/>
  <c r="O771" i="1"/>
  <c r="G771" i="1"/>
  <c r="O770" i="1" l="1"/>
  <c r="U770" i="1"/>
  <c r="X770" i="1"/>
  <c r="K770" i="1"/>
  <c r="L770" i="1" s="1"/>
  <c r="K771" i="1"/>
  <c r="L771" i="1" s="1"/>
  <c r="G770" i="1"/>
  <c r="O767" i="1"/>
  <c r="O768" i="1"/>
  <c r="O769" i="1"/>
  <c r="U767" i="1"/>
  <c r="U768" i="1"/>
  <c r="U769" i="1"/>
  <c r="X767" i="1"/>
  <c r="X768" i="1"/>
  <c r="X769" i="1"/>
  <c r="G769" i="1"/>
  <c r="R768" i="1" l="1"/>
  <c r="R769" i="1"/>
  <c r="R770" i="1"/>
  <c r="K767" i="1"/>
  <c r="L767" i="1" s="1"/>
  <c r="K768" i="1"/>
  <c r="L768" i="1" s="1"/>
  <c r="K769" i="1"/>
  <c r="L769" i="1" s="1"/>
  <c r="G767" i="1"/>
  <c r="G768" i="1"/>
  <c r="O766" i="1"/>
  <c r="X766" i="1"/>
  <c r="U766" i="1"/>
  <c r="R767" i="1" l="1"/>
  <c r="G766" i="1" l="1"/>
  <c r="K766" i="1"/>
  <c r="L766" i="1" s="1"/>
  <c r="O765" i="1"/>
  <c r="X765" i="1" l="1"/>
  <c r="U765" i="1"/>
  <c r="R764" i="1"/>
  <c r="R765" i="1"/>
  <c r="K765" i="1"/>
  <c r="L765" i="1" s="1"/>
  <c r="G765" i="1"/>
  <c r="O764" i="1"/>
  <c r="X764" i="1"/>
  <c r="G764" i="1"/>
  <c r="K764" i="1"/>
  <c r="L764" i="1" s="1"/>
  <c r="X759" i="1"/>
  <c r="X760" i="1"/>
  <c r="X761" i="1"/>
  <c r="X762" i="1"/>
  <c r="X763" i="1"/>
  <c r="U759" i="1"/>
  <c r="U760" i="1"/>
  <c r="U761" i="1"/>
  <c r="U762" i="1"/>
  <c r="U763" i="1"/>
  <c r="R759" i="1"/>
  <c r="R760" i="1"/>
  <c r="R761" i="1"/>
  <c r="R762" i="1"/>
  <c r="R763" i="1"/>
  <c r="O759" i="1"/>
  <c r="O760" i="1"/>
  <c r="O761" i="1"/>
  <c r="O762" i="1"/>
  <c r="O763" i="1"/>
  <c r="K763" i="1" l="1"/>
  <c r="L763" i="1" s="1"/>
  <c r="K762" i="1"/>
  <c r="L762" i="1" s="1"/>
  <c r="K761" i="1"/>
  <c r="L761" i="1" s="1"/>
  <c r="K760" i="1"/>
  <c r="L760" i="1" s="1"/>
  <c r="K759" i="1"/>
  <c r="L759" i="1" s="1"/>
  <c r="G763" i="1"/>
  <c r="G762" i="1"/>
  <c r="G761" i="1"/>
  <c r="G760" i="1"/>
  <c r="G759" i="1"/>
  <c r="R758" i="1" l="1"/>
  <c r="R757" i="1"/>
  <c r="R746" i="1"/>
  <c r="R747" i="1"/>
  <c r="R748" i="1"/>
  <c r="R749" i="1"/>
  <c r="R750" i="1"/>
  <c r="R751" i="1"/>
  <c r="R752" i="1"/>
  <c r="R753" i="1"/>
  <c r="R754" i="1"/>
  <c r="R755" i="1"/>
  <c r="R756" i="1"/>
  <c r="R745" i="1"/>
  <c r="O758" i="1"/>
  <c r="O757" i="1"/>
  <c r="X758" i="1"/>
  <c r="U758" i="1"/>
  <c r="U757" i="1"/>
  <c r="X757" i="1"/>
  <c r="K758" i="1"/>
  <c r="L758" i="1" s="1"/>
  <c r="G758" i="1"/>
  <c r="G757" i="1" l="1"/>
  <c r="K757" i="1"/>
  <c r="L757" i="1" s="1"/>
  <c r="O747" i="1" l="1"/>
  <c r="O748" i="1"/>
  <c r="O749" i="1"/>
  <c r="O750" i="1"/>
  <c r="O751" i="1"/>
  <c r="O752" i="1"/>
  <c r="O753" i="1"/>
  <c r="O754" i="1"/>
  <c r="O755" i="1"/>
  <c r="O756" i="1"/>
  <c r="O745" i="1"/>
  <c r="O746" i="1"/>
  <c r="X753" i="1"/>
  <c r="X754" i="1"/>
  <c r="X755" i="1"/>
  <c r="X756" i="1"/>
  <c r="U753" i="1"/>
  <c r="U754" i="1"/>
  <c r="U755" i="1"/>
  <c r="U756" i="1"/>
  <c r="K753" i="1"/>
  <c r="L753" i="1" s="1"/>
  <c r="K754" i="1"/>
  <c r="L754" i="1" s="1"/>
  <c r="K755" i="1"/>
  <c r="L755" i="1" s="1"/>
  <c r="K756" i="1"/>
  <c r="L756" i="1" s="1"/>
  <c r="G753" i="1"/>
  <c r="G754" i="1"/>
  <c r="G755" i="1"/>
  <c r="G756" i="1"/>
  <c r="X751" i="1"/>
  <c r="X752" i="1"/>
  <c r="U751" i="1"/>
  <c r="U752" i="1"/>
  <c r="K752" i="1"/>
  <c r="L752" i="1" s="1"/>
  <c r="G752" i="1"/>
  <c r="K751" i="1"/>
  <c r="L751" i="1" s="1"/>
  <c r="U749" i="1"/>
  <c r="U750" i="1"/>
  <c r="X749" i="1"/>
  <c r="X750" i="1"/>
  <c r="G750" i="1"/>
  <c r="G751" i="1"/>
  <c r="K749" i="1"/>
  <c r="L749" i="1" s="1"/>
  <c r="K750" i="1"/>
  <c r="L750" i="1" s="1"/>
  <c r="G749" i="1"/>
  <c r="K745" i="1"/>
  <c r="L745" i="1" s="1"/>
  <c r="K746" i="1"/>
  <c r="L746" i="1" s="1"/>
  <c r="K747" i="1"/>
  <c r="L747" i="1" s="1"/>
  <c r="K748" i="1"/>
  <c r="L748" i="1" s="1"/>
  <c r="G744" i="1"/>
  <c r="G745" i="1"/>
  <c r="G746" i="1"/>
  <c r="G747" i="1"/>
  <c r="G748" i="1"/>
  <c r="X748" i="1"/>
  <c r="U748" i="1"/>
  <c r="U747" i="1"/>
  <c r="X747" i="1"/>
  <c r="X746" i="1"/>
  <c r="U746" i="1"/>
  <c r="X745" i="1"/>
  <c r="U745" i="1"/>
  <c r="U744" i="1"/>
  <c r="X744" i="1"/>
  <c r="O744" i="1"/>
  <c r="R744" i="1"/>
  <c r="U742" i="1"/>
  <c r="U743" i="1"/>
  <c r="X742" i="1"/>
  <c r="X743" i="1"/>
  <c r="K744" i="1"/>
  <c r="L744" i="1" s="1"/>
  <c r="O743" i="1"/>
  <c r="K743" i="1" l="1"/>
  <c r="L743" i="1" s="1"/>
  <c r="G743" i="1"/>
  <c r="O742" i="1" l="1"/>
  <c r="O740" i="1"/>
  <c r="O741" i="1"/>
  <c r="O739" i="1"/>
  <c r="O737" i="1"/>
  <c r="O738" i="1"/>
  <c r="G742" i="1"/>
  <c r="K742" i="1"/>
  <c r="L742" i="1" s="1"/>
  <c r="R743" i="1"/>
  <c r="R742" i="1"/>
  <c r="R739" i="1"/>
  <c r="R740" i="1"/>
  <c r="R741" i="1"/>
  <c r="R738" i="1"/>
  <c r="X739" i="1"/>
  <c r="X740" i="1"/>
  <c r="X741" i="1"/>
  <c r="U739" i="1"/>
  <c r="U740" i="1"/>
  <c r="U741" i="1"/>
  <c r="U738" i="1"/>
  <c r="X738" i="1"/>
  <c r="D740" i="1"/>
  <c r="D741" i="1"/>
  <c r="K739" i="1"/>
  <c r="L739" i="1" s="1"/>
  <c r="K740" i="1"/>
  <c r="L740" i="1" s="1"/>
  <c r="K741" i="1"/>
  <c r="L741" i="1" s="1"/>
  <c r="G739" i="1"/>
  <c r="G740" i="1"/>
  <c r="G741" i="1"/>
  <c r="G738" i="1"/>
  <c r="K738" i="1"/>
  <c r="L738" i="1" s="1"/>
  <c r="R737" i="1"/>
  <c r="U737" i="1"/>
  <c r="K737" i="1"/>
  <c r="L737" i="1" s="1"/>
  <c r="G737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U730" i="1"/>
  <c r="U723" i="1"/>
  <c r="U724" i="1"/>
  <c r="U725" i="1"/>
  <c r="U726" i="1"/>
  <c r="U727" i="1"/>
  <c r="U728" i="1"/>
  <c r="U729" i="1"/>
  <c r="U731" i="1"/>
  <c r="U732" i="1"/>
  <c r="U733" i="1"/>
  <c r="U734" i="1"/>
  <c r="U735" i="1"/>
  <c r="U736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R735" i="1"/>
  <c r="R736" i="1"/>
  <c r="O736" i="1"/>
  <c r="K736" i="1"/>
  <c r="L736" i="1" s="1"/>
  <c r="G736" i="1"/>
  <c r="O735" i="1"/>
  <c r="K735" i="1"/>
  <c r="L735" i="1" s="1"/>
  <c r="G735" i="1"/>
  <c r="R734" i="1"/>
  <c r="G734" i="1"/>
  <c r="R729" i="1"/>
  <c r="R730" i="1"/>
  <c r="R731" i="1"/>
  <c r="R732" i="1"/>
  <c r="R733" i="1"/>
  <c r="O729" i="1"/>
  <c r="O730" i="1"/>
  <c r="O731" i="1"/>
  <c r="O732" i="1"/>
  <c r="O733" i="1"/>
  <c r="O734" i="1"/>
  <c r="K732" i="1"/>
  <c r="L732" i="1" s="1"/>
  <c r="K733" i="1"/>
  <c r="L733" i="1" s="1"/>
  <c r="K734" i="1"/>
  <c r="L734" i="1" s="1"/>
  <c r="G732" i="1"/>
  <c r="G733" i="1"/>
  <c r="K731" i="1"/>
  <c r="L731" i="1" s="1"/>
  <c r="G731" i="1"/>
  <c r="K730" i="1"/>
  <c r="L730" i="1" s="1"/>
  <c r="G730" i="1"/>
  <c r="K729" i="1"/>
  <c r="L729" i="1" s="1"/>
  <c r="G729" i="1"/>
  <c r="G728" i="1"/>
  <c r="K728" i="1"/>
  <c r="L728" i="1" s="1"/>
  <c r="O728" i="1"/>
  <c r="O724" i="1" l="1"/>
  <c r="O725" i="1"/>
  <c r="O726" i="1"/>
  <c r="O727" i="1"/>
  <c r="R724" i="1"/>
  <c r="R725" i="1"/>
  <c r="R726" i="1"/>
  <c r="R727" i="1"/>
  <c r="R728" i="1"/>
  <c r="G726" i="1"/>
  <c r="G727" i="1"/>
  <c r="K726" i="1"/>
  <c r="L726" i="1" s="1"/>
  <c r="K727" i="1"/>
  <c r="L727" i="1" s="1"/>
  <c r="G724" i="1"/>
  <c r="G725" i="1"/>
  <c r="K724" i="1"/>
  <c r="L724" i="1" s="1"/>
  <c r="K725" i="1"/>
  <c r="L725" i="1" s="1"/>
  <c r="G723" i="1"/>
  <c r="O723" i="1"/>
  <c r="R723" i="1"/>
  <c r="K723" i="1"/>
  <c r="L723" i="1" s="1"/>
  <c r="R717" i="1"/>
  <c r="R718" i="1"/>
  <c r="R719" i="1"/>
  <c r="R720" i="1"/>
  <c r="R721" i="1"/>
  <c r="R722" i="1"/>
  <c r="O722" i="1"/>
  <c r="K718" i="1"/>
  <c r="L718" i="1" s="1"/>
  <c r="K719" i="1"/>
  <c r="L719" i="1" s="1"/>
  <c r="K720" i="1"/>
  <c r="L720" i="1" s="1"/>
  <c r="K721" i="1"/>
  <c r="L721" i="1" s="1"/>
  <c r="K722" i="1"/>
  <c r="L722" i="1" s="1"/>
  <c r="G720" i="1"/>
  <c r="G721" i="1"/>
  <c r="G722" i="1"/>
  <c r="O719" i="1"/>
  <c r="O720" i="1"/>
  <c r="O721" i="1"/>
  <c r="O718" i="1"/>
  <c r="O717" i="1"/>
  <c r="K717" i="1"/>
  <c r="L717" i="1" s="1"/>
  <c r="G717" i="1"/>
  <c r="G718" i="1"/>
  <c r="G719" i="1"/>
  <c r="R713" i="1"/>
  <c r="R714" i="1"/>
  <c r="R715" i="1"/>
  <c r="R716" i="1"/>
  <c r="O715" i="1"/>
  <c r="O716" i="1"/>
  <c r="K715" i="1"/>
  <c r="L715" i="1" s="1"/>
  <c r="K716" i="1"/>
  <c r="L716" i="1" s="1"/>
  <c r="G715" i="1"/>
  <c r="G716" i="1"/>
  <c r="O714" i="1"/>
  <c r="R711" i="1"/>
  <c r="R712" i="1"/>
  <c r="K714" i="1"/>
  <c r="L714" i="1" s="1"/>
  <c r="G714" i="1"/>
  <c r="D715" i="1"/>
  <c r="D716" i="1"/>
  <c r="O711" i="1"/>
  <c r="O712" i="1"/>
  <c r="O713" i="1"/>
  <c r="K711" i="1"/>
  <c r="L711" i="1" s="1"/>
  <c r="K712" i="1"/>
  <c r="L712" i="1" s="1"/>
  <c r="K713" i="1"/>
  <c r="L713" i="1" s="1"/>
  <c r="G711" i="1"/>
  <c r="G712" i="1"/>
  <c r="G713" i="1"/>
  <c r="R709" i="1"/>
  <c r="R710" i="1"/>
  <c r="O709" i="1"/>
  <c r="O710" i="1"/>
  <c r="H716" i="1" l="1"/>
  <c r="H715" i="1"/>
  <c r="K710" i="1"/>
  <c r="L710" i="1" s="1"/>
  <c r="G710" i="1"/>
  <c r="K709" i="1"/>
  <c r="L709" i="1" s="1"/>
  <c r="G709" i="1"/>
  <c r="R708" i="1"/>
  <c r="O708" i="1"/>
  <c r="K708" i="1"/>
  <c r="L708" i="1" s="1"/>
  <c r="G708" i="1"/>
  <c r="R707" i="1"/>
  <c r="O707" i="1"/>
  <c r="K707" i="1" l="1"/>
  <c r="L707" i="1" s="1"/>
  <c r="G707" i="1"/>
  <c r="O702" i="1"/>
  <c r="O703" i="1"/>
  <c r="O704" i="1"/>
  <c r="O705" i="1"/>
  <c r="O706" i="1"/>
  <c r="R704" i="1"/>
  <c r="R705" i="1"/>
  <c r="R706" i="1"/>
  <c r="R702" i="1"/>
  <c r="R703" i="1"/>
  <c r="K702" i="1"/>
  <c r="L702" i="1" s="1"/>
  <c r="K703" i="1"/>
  <c r="L703" i="1" s="1"/>
  <c r="K704" i="1"/>
  <c r="L704" i="1" s="1"/>
  <c r="K705" i="1"/>
  <c r="L705" i="1" s="1"/>
  <c r="K706" i="1"/>
  <c r="L706" i="1" s="1"/>
  <c r="G706" i="1"/>
  <c r="G705" i="1"/>
  <c r="G704" i="1"/>
  <c r="G703" i="1"/>
  <c r="G702" i="1"/>
  <c r="R701" i="1"/>
  <c r="O701" i="1"/>
  <c r="K701" i="1"/>
  <c r="L701" i="1" s="1"/>
  <c r="G701" i="1"/>
  <c r="R700" i="1"/>
  <c r="R696" i="1"/>
  <c r="R697" i="1"/>
  <c r="R698" i="1"/>
  <c r="R699" i="1"/>
  <c r="O696" i="1"/>
  <c r="O697" i="1"/>
  <c r="O698" i="1"/>
  <c r="O699" i="1"/>
  <c r="O700" i="1"/>
  <c r="K700" i="1"/>
  <c r="L700" i="1" s="1"/>
  <c r="G700" i="1"/>
  <c r="K697" i="1"/>
  <c r="L697" i="1" s="1"/>
  <c r="K698" i="1"/>
  <c r="L698" i="1" s="1"/>
  <c r="K699" i="1"/>
  <c r="L699" i="1" s="1"/>
  <c r="G699" i="1"/>
  <c r="G698" i="1"/>
  <c r="G697" i="1"/>
  <c r="K696" i="1"/>
  <c r="L696" i="1" s="1"/>
  <c r="G696" i="1"/>
  <c r="R695" i="1" l="1"/>
  <c r="O695" i="1"/>
  <c r="K695" i="1"/>
  <c r="L695" i="1" s="1"/>
  <c r="G695" i="1"/>
  <c r="D695" i="1"/>
  <c r="D696" i="1"/>
  <c r="H696" i="1" s="1"/>
  <c r="D697" i="1"/>
  <c r="H697" i="1" s="1"/>
  <c r="D698" i="1"/>
  <c r="H698" i="1" s="1"/>
  <c r="D699" i="1"/>
  <c r="H699" i="1" s="1"/>
  <c r="D700" i="1"/>
  <c r="H700" i="1" s="1"/>
  <c r="D701" i="1"/>
  <c r="H701" i="1" s="1"/>
  <c r="D702" i="1"/>
  <c r="H702" i="1" s="1"/>
  <c r="D703" i="1"/>
  <c r="H703" i="1" s="1"/>
  <c r="D704" i="1"/>
  <c r="H704" i="1" s="1"/>
  <c r="D705" i="1"/>
  <c r="H705" i="1" s="1"/>
  <c r="D706" i="1"/>
  <c r="H706" i="1" s="1"/>
  <c r="D707" i="1"/>
  <c r="H707" i="1" s="1"/>
  <c r="D708" i="1"/>
  <c r="H708" i="1" s="1"/>
  <c r="D709" i="1"/>
  <c r="H709" i="1" s="1"/>
  <c r="D710" i="1"/>
  <c r="H710" i="1" s="1"/>
  <c r="D711" i="1"/>
  <c r="H711" i="1" s="1"/>
  <c r="D712" i="1"/>
  <c r="H712" i="1" s="1"/>
  <c r="D713" i="1"/>
  <c r="H713" i="1" s="1"/>
  <c r="D714" i="1"/>
  <c r="H714" i="1" s="1"/>
  <c r="D717" i="1"/>
  <c r="H717" i="1" s="1"/>
  <c r="D718" i="1"/>
  <c r="H718" i="1" s="1"/>
  <c r="D719" i="1"/>
  <c r="H719" i="1" s="1"/>
  <c r="D720" i="1"/>
  <c r="H720" i="1" s="1"/>
  <c r="D721" i="1"/>
  <c r="H721" i="1" s="1"/>
  <c r="D722" i="1"/>
  <c r="H722" i="1" s="1"/>
  <c r="D723" i="1"/>
  <c r="H723" i="1" s="1"/>
  <c r="D724" i="1"/>
  <c r="H724" i="1" s="1"/>
  <c r="D725" i="1"/>
  <c r="H725" i="1" s="1"/>
  <c r="D726" i="1"/>
  <c r="H726" i="1" s="1"/>
  <c r="D727" i="1"/>
  <c r="H727" i="1" s="1"/>
  <c r="D728" i="1"/>
  <c r="H728" i="1" s="1"/>
  <c r="D729" i="1"/>
  <c r="H729" i="1" s="1"/>
  <c r="D730" i="1"/>
  <c r="H730" i="1" s="1"/>
  <c r="D731" i="1"/>
  <c r="H731" i="1" s="1"/>
  <c r="D732" i="1"/>
  <c r="H732" i="1" s="1"/>
  <c r="D733" i="1"/>
  <c r="H733" i="1" s="1"/>
  <c r="D734" i="1"/>
  <c r="H734" i="1" s="1"/>
  <c r="D735" i="1"/>
  <c r="H735" i="1" s="1"/>
  <c r="D736" i="1"/>
  <c r="H736" i="1" s="1"/>
  <c r="D737" i="1"/>
  <c r="H737" i="1" s="1"/>
  <c r="D738" i="1"/>
  <c r="H738" i="1" s="1"/>
  <c r="D739" i="1"/>
  <c r="H739" i="1" s="1"/>
  <c r="H740" i="1"/>
  <c r="H741" i="1"/>
  <c r="D742" i="1"/>
  <c r="H742" i="1" s="1"/>
  <c r="D743" i="1"/>
  <c r="H743" i="1" s="1"/>
  <c r="D744" i="1"/>
  <c r="H744" i="1" s="1"/>
  <c r="D745" i="1"/>
  <c r="H745" i="1" s="1"/>
  <c r="D746" i="1"/>
  <c r="H746" i="1" s="1"/>
  <c r="D747" i="1"/>
  <c r="H747" i="1" s="1"/>
  <c r="D748" i="1"/>
  <c r="H748" i="1" s="1"/>
  <c r="D749" i="1"/>
  <c r="H749" i="1" s="1"/>
  <c r="D750" i="1"/>
  <c r="H750" i="1" s="1"/>
  <c r="D751" i="1"/>
  <c r="H751" i="1" s="1"/>
  <c r="D752" i="1"/>
  <c r="H752" i="1" s="1"/>
  <c r="D753" i="1"/>
  <c r="H753" i="1" s="1"/>
  <c r="D754" i="1"/>
  <c r="H754" i="1" s="1"/>
  <c r="D755" i="1"/>
  <c r="H755" i="1" s="1"/>
  <c r="D756" i="1"/>
  <c r="H756" i="1" s="1"/>
  <c r="D757" i="1"/>
  <c r="H757" i="1" s="1"/>
  <c r="D758" i="1"/>
  <c r="H758" i="1" s="1"/>
  <c r="D759" i="1"/>
  <c r="H759" i="1" s="1"/>
  <c r="D760" i="1"/>
  <c r="H760" i="1" s="1"/>
  <c r="D761" i="1"/>
  <c r="H761" i="1" s="1"/>
  <c r="D762" i="1"/>
  <c r="H762" i="1" s="1"/>
  <c r="D763" i="1"/>
  <c r="H763" i="1" s="1"/>
  <c r="D764" i="1"/>
  <c r="H764" i="1" s="1"/>
  <c r="D765" i="1"/>
  <c r="H765" i="1" s="1"/>
  <c r="D766" i="1"/>
  <c r="H766" i="1" s="1"/>
  <c r="D767" i="1"/>
  <c r="H767" i="1" s="1"/>
  <c r="D768" i="1"/>
  <c r="H768" i="1" s="1"/>
  <c r="D769" i="1"/>
  <c r="H769" i="1" s="1"/>
  <c r="D770" i="1"/>
  <c r="H770" i="1" s="1"/>
  <c r="D771" i="1"/>
  <c r="H771" i="1" s="1"/>
  <c r="D772" i="1"/>
  <c r="H772" i="1" s="1"/>
  <c r="D773" i="1"/>
  <c r="H773" i="1" s="1"/>
  <c r="D774" i="1"/>
  <c r="H774" i="1" s="1"/>
  <c r="D775" i="1"/>
  <c r="H775" i="1" s="1"/>
  <c r="D776" i="1"/>
  <c r="H776" i="1" s="1"/>
  <c r="D777" i="1"/>
  <c r="H777" i="1" s="1"/>
  <c r="D778" i="1"/>
  <c r="H778" i="1" s="1"/>
  <c r="D779" i="1"/>
  <c r="H779" i="1" s="1"/>
  <c r="D780" i="1"/>
  <c r="H780" i="1" s="1"/>
  <c r="D781" i="1"/>
  <c r="H781" i="1" s="1"/>
  <c r="D782" i="1"/>
  <c r="H782" i="1" s="1"/>
  <c r="D783" i="1"/>
  <c r="H783" i="1" s="1"/>
  <c r="D784" i="1"/>
  <c r="H784" i="1" s="1"/>
  <c r="D785" i="1"/>
  <c r="H785" i="1" s="1"/>
  <c r="D786" i="1"/>
  <c r="H786" i="1" s="1"/>
  <c r="D787" i="1"/>
  <c r="H787" i="1" s="1"/>
  <c r="D788" i="1"/>
  <c r="H788" i="1" s="1"/>
  <c r="D789" i="1"/>
  <c r="H789" i="1" s="1"/>
  <c r="D790" i="1"/>
  <c r="H790" i="1" s="1"/>
  <c r="D791" i="1"/>
  <c r="H791" i="1" s="1"/>
  <c r="D792" i="1"/>
  <c r="H792" i="1" s="1"/>
  <c r="D793" i="1"/>
  <c r="H793" i="1" s="1"/>
  <c r="D794" i="1"/>
  <c r="H794" i="1" s="1"/>
  <c r="D795" i="1"/>
  <c r="H795" i="1" s="1"/>
  <c r="D796" i="1"/>
  <c r="H796" i="1" s="1"/>
  <c r="D797" i="1"/>
  <c r="H797" i="1" s="1"/>
  <c r="D798" i="1"/>
  <c r="H798" i="1" s="1"/>
  <c r="D799" i="1"/>
  <c r="H799" i="1" s="1"/>
  <c r="D800" i="1"/>
  <c r="H800" i="1" s="1"/>
  <c r="D801" i="1"/>
  <c r="H801" i="1" s="1"/>
  <c r="D802" i="1"/>
  <c r="H802" i="1" s="1"/>
  <c r="H803" i="1"/>
  <c r="D804" i="1"/>
  <c r="H804" i="1" s="1"/>
  <c r="D805" i="1"/>
  <c r="H805" i="1" s="1"/>
  <c r="D806" i="1"/>
  <c r="H806" i="1" s="1"/>
  <c r="D807" i="1"/>
  <c r="H807" i="1" s="1"/>
  <c r="D808" i="1"/>
  <c r="H808" i="1" s="1"/>
  <c r="D809" i="1"/>
  <c r="H809" i="1" s="1"/>
  <c r="D810" i="1"/>
  <c r="H810" i="1" s="1"/>
  <c r="D811" i="1"/>
  <c r="H811" i="1" s="1"/>
  <c r="D812" i="1"/>
  <c r="H812" i="1" s="1"/>
  <c r="D813" i="1"/>
  <c r="H813" i="1" s="1"/>
  <c r="D814" i="1"/>
  <c r="H814" i="1" s="1"/>
  <c r="D815" i="1"/>
  <c r="H815" i="1" s="1"/>
  <c r="D816" i="1"/>
  <c r="H816" i="1" s="1"/>
  <c r="D817" i="1"/>
  <c r="H817" i="1" s="1"/>
  <c r="D818" i="1"/>
  <c r="H818" i="1" s="1"/>
  <c r="D819" i="1"/>
  <c r="H819" i="1" s="1"/>
  <c r="D820" i="1"/>
  <c r="H820" i="1" s="1"/>
  <c r="D821" i="1"/>
  <c r="H821" i="1" s="1"/>
  <c r="D822" i="1"/>
  <c r="H822" i="1" s="1"/>
  <c r="D823" i="1"/>
  <c r="H823" i="1" s="1"/>
  <c r="D824" i="1"/>
  <c r="H824" i="1" s="1"/>
  <c r="D825" i="1"/>
  <c r="H825" i="1" s="1"/>
  <c r="D826" i="1"/>
  <c r="H826" i="1" s="1"/>
  <c r="D827" i="1"/>
  <c r="H827" i="1" s="1"/>
  <c r="D828" i="1"/>
  <c r="H828" i="1" s="1"/>
  <c r="D829" i="1"/>
  <c r="H829" i="1" s="1"/>
  <c r="D830" i="1"/>
  <c r="H830" i="1" s="1"/>
  <c r="D831" i="1"/>
  <c r="H831" i="1" s="1"/>
  <c r="D832" i="1"/>
  <c r="H832" i="1" s="1"/>
  <c r="D833" i="1"/>
  <c r="H833" i="1" s="1"/>
  <c r="D834" i="1"/>
  <c r="H834" i="1" s="1"/>
  <c r="D835" i="1"/>
  <c r="H835" i="1" s="1"/>
  <c r="D836" i="1"/>
  <c r="H836" i="1" s="1"/>
  <c r="D837" i="1"/>
  <c r="H837" i="1" s="1"/>
  <c r="D838" i="1"/>
  <c r="H838" i="1" s="1"/>
  <c r="D839" i="1"/>
  <c r="H839" i="1" s="1"/>
  <c r="D840" i="1"/>
  <c r="H840" i="1" s="1"/>
  <c r="D841" i="1"/>
  <c r="H841" i="1" s="1"/>
  <c r="D842" i="1"/>
  <c r="H842" i="1" s="1"/>
  <c r="D843" i="1"/>
  <c r="H843" i="1" s="1"/>
  <c r="D844" i="1"/>
  <c r="H844" i="1" s="1"/>
  <c r="D845" i="1"/>
  <c r="H845" i="1" s="1"/>
  <c r="D846" i="1"/>
  <c r="H846" i="1" s="1"/>
  <c r="D847" i="1"/>
  <c r="H847" i="1" s="1"/>
  <c r="D848" i="1"/>
  <c r="H848" i="1" s="1"/>
  <c r="D849" i="1"/>
  <c r="H849" i="1" s="1"/>
  <c r="D850" i="1"/>
  <c r="H850" i="1" s="1"/>
  <c r="D851" i="1"/>
  <c r="H851" i="1" s="1"/>
  <c r="D852" i="1"/>
  <c r="H852" i="1" s="1"/>
  <c r="D853" i="1"/>
  <c r="H853" i="1" s="1"/>
  <c r="D854" i="1"/>
  <c r="H854" i="1" s="1"/>
  <c r="D855" i="1"/>
  <c r="H855" i="1" s="1"/>
  <c r="D856" i="1"/>
  <c r="H856" i="1" s="1"/>
  <c r="D857" i="1"/>
  <c r="H857" i="1" s="1"/>
  <c r="D858" i="1"/>
  <c r="H858" i="1" s="1"/>
  <c r="D859" i="1"/>
  <c r="H859" i="1" s="1"/>
  <c r="D860" i="1"/>
  <c r="H860" i="1" s="1"/>
  <c r="D861" i="1"/>
  <c r="H861" i="1" s="1"/>
  <c r="D863" i="1"/>
  <c r="H863" i="1" s="1"/>
  <c r="D864" i="1"/>
  <c r="H864" i="1" s="1"/>
  <c r="D865" i="1"/>
  <c r="H865" i="1" s="1"/>
  <c r="D866" i="1"/>
  <c r="H866" i="1" s="1"/>
  <c r="D867" i="1"/>
  <c r="H867" i="1" s="1"/>
  <c r="D868" i="1"/>
  <c r="H868" i="1" s="1"/>
  <c r="D869" i="1"/>
  <c r="H869" i="1" s="1"/>
  <c r="D870" i="1"/>
  <c r="H870" i="1" s="1"/>
  <c r="D871" i="1"/>
  <c r="H871" i="1" s="1"/>
  <c r="D872" i="1"/>
  <c r="H872" i="1" s="1"/>
  <c r="D873" i="1"/>
  <c r="H873" i="1" s="1"/>
  <c r="D874" i="1"/>
  <c r="H874" i="1" s="1"/>
  <c r="D875" i="1"/>
  <c r="H875" i="1" s="1"/>
  <c r="D876" i="1"/>
  <c r="H876" i="1" s="1"/>
  <c r="D877" i="1"/>
  <c r="H877" i="1" s="1"/>
  <c r="D878" i="1"/>
  <c r="H878" i="1" s="1"/>
  <c r="D879" i="1"/>
  <c r="H879" i="1" s="1"/>
  <c r="D880" i="1"/>
  <c r="H880" i="1" s="1"/>
  <c r="D881" i="1"/>
  <c r="H881" i="1" s="1"/>
  <c r="D882" i="1"/>
  <c r="H882" i="1" s="1"/>
  <c r="D883" i="1"/>
  <c r="H883" i="1" s="1"/>
  <c r="D884" i="1"/>
  <c r="H884" i="1" s="1"/>
  <c r="D885" i="1"/>
  <c r="H885" i="1" s="1"/>
  <c r="D886" i="1"/>
  <c r="H886" i="1" s="1"/>
  <c r="D887" i="1"/>
  <c r="H887" i="1" s="1"/>
  <c r="D888" i="1"/>
  <c r="H888" i="1" s="1"/>
  <c r="D890" i="1"/>
  <c r="H890" i="1" s="1"/>
  <c r="D891" i="1"/>
  <c r="H891" i="1" s="1"/>
  <c r="D892" i="1"/>
  <c r="H892" i="1" s="1"/>
  <c r="D893" i="1"/>
  <c r="H893" i="1" s="1"/>
  <c r="D894" i="1"/>
  <c r="H894" i="1" s="1"/>
  <c r="D895" i="1"/>
  <c r="H895" i="1" s="1"/>
  <c r="D896" i="1"/>
  <c r="H896" i="1" s="1"/>
  <c r="D898" i="1"/>
  <c r="H898" i="1" s="1"/>
  <c r="D899" i="1"/>
  <c r="H899" i="1" s="1"/>
  <c r="D900" i="1"/>
  <c r="H900" i="1" s="1"/>
  <c r="D901" i="1"/>
  <c r="H901" i="1" s="1"/>
  <c r="D902" i="1"/>
  <c r="H902" i="1" s="1"/>
  <c r="D903" i="1"/>
  <c r="H903" i="1" s="1"/>
  <c r="D904" i="1"/>
  <c r="H904" i="1" s="1"/>
  <c r="D905" i="1"/>
  <c r="H905" i="1" s="1"/>
  <c r="D906" i="1"/>
  <c r="H906" i="1" s="1"/>
  <c r="D907" i="1"/>
  <c r="H907" i="1" s="1"/>
  <c r="D908" i="1"/>
  <c r="H908" i="1" s="1"/>
  <c r="D909" i="1"/>
  <c r="H909" i="1" s="1"/>
  <c r="D910" i="1"/>
  <c r="H910" i="1" s="1"/>
  <c r="D911" i="1"/>
  <c r="H911" i="1" s="1"/>
  <c r="D912" i="1"/>
  <c r="H912" i="1" s="1"/>
  <c r="D913" i="1"/>
  <c r="H913" i="1" s="1"/>
  <c r="D914" i="1"/>
  <c r="H914" i="1" s="1"/>
  <c r="D915" i="1"/>
  <c r="H915" i="1" s="1"/>
  <c r="D916" i="1"/>
  <c r="H916" i="1" s="1"/>
  <c r="D917" i="1"/>
  <c r="H917" i="1" s="1"/>
  <c r="D918" i="1"/>
  <c r="H918" i="1" s="1"/>
  <c r="D919" i="1"/>
  <c r="H919" i="1" s="1"/>
  <c r="D920" i="1"/>
  <c r="H920" i="1" s="1"/>
  <c r="D921" i="1"/>
  <c r="H921" i="1" s="1"/>
  <c r="D922" i="1"/>
  <c r="H922" i="1" s="1"/>
  <c r="D923" i="1"/>
  <c r="H923" i="1" s="1"/>
  <c r="D924" i="1"/>
  <c r="H924" i="1" s="1"/>
  <c r="D925" i="1"/>
  <c r="H925" i="1" s="1"/>
  <c r="D926" i="1"/>
  <c r="H926" i="1" s="1"/>
  <c r="D927" i="1"/>
  <c r="H927" i="1" s="1"/>
  <c r="D928" i="1"/>
  <c r="H928" i="1" s="1"/>
  <c r="D929" i="1"/>
  <c r="H929" i="1" s="1"/>
  <c r="D930" i="1"/>
  <c r="H930" i="1" s="1"/>
  <c r="D931" i="1"/>
  <c r="H931" i="1" s="1"/>
  <c r="D932" i="1"/>
  <c r="H932" i="1" s="1"/>
  <c r="D933" i="1"/>
  <c r="H933" i="1" s="1"/>
  <c r="D934" i="1"/>
  <c r="H934" i="1" s="1"/>
  <c r="D935" i="1"/>
  <c r="H935" i="1" s="1"/>
  <c r="D936" i="1"/>
  <c r="H936" i="1" s="1"/>
  <c r="D937" i="1"/>
  <c r="H937" i="1" s="1"/>
  <c r="D938" i="1"/>
  <c r="H938" i="1" s="1"/>
  <c r="D939" i="1"/>
  <c r="H939" i="1" s="1"/>
  <c r="D940" i="1"/>
  <c r="H940" i="1" s="1"/>
  <c r="D941" i="1"/>
  <c r="H941" i="1" s="1"/>
  <c r="D942" i="1"/>
  <c r="H942" i="1" s="1"/>
  <c r="D943" i="1"/>
  <c r="H943" i="1" s="1"/>
  <c r="D944" i="1"/>
  <c r="H944" i="1" s="1"/>
  <c r="D945" i="1"/>
  <c r="H945" i="1" s="1"/>
  <c r="D946" i="1"/>
  <c r="H946" i="1" s="1"/>
  <c r="D947" i="1"/>
  <c r="H947" i="1" s="1"/>
  <c r="D948" i="1"/>
  <c r="H948" i="1" s="1"/>
  <c r="D949" i="1"/>
  <c r="H949" i="1" s="1"/>
  <c r="D950" i="1"/>
  <c r="H950" i="1" s="1"/>
  <c r="D951" i="1"/>
  <c r="H951" i="1" s="1"/>
  <c r="D952" i="1"/>
  <c r="H952" i="1" s="1"/>
  <c r="D953" i="1"/>
  <c r="H953" i="1" s="1"/>
  <c r="D954" i="1"/>
  <c r="H954" i="1" s="1"/>
  <c r="D955" i="1"/>
  <c r="H955" i="1" s="1"/>
  <c r="D956" i="1"/>
  <c r="H956" i="1" s="1"/>
  <c r="D957" i="1"/>
  <c r="H957" i="1" s="1"/>
  <c r="D958" i="1"/>
  <c r="H958" i="1" s="1"/>
  <c r="D959" i="1"/>
  <c r="H959" i="1" s="1"/>
  <c r="D960" i="1"/>
  <c r="H960" i="1" s="1"/>
  <c r="D961" i="1"/>
  <c r="H961" i="1" s="1"/>
  <c r="R694" i="1"/>
  <c r="O694" i="1"/>
  <c r="D694" i="1"/>
  <c r="G694" i="1"/>
  <c r="K694" i="1"/>
  <c r="L694" i="1" s="1"/>
  <c r="O693" i="1"/>
  <c r="R693" i="1"/>
  <c r="D693" i="1"/>
  <c r="G693" i="1"/>
  <c r="K693" i="1"/>
  <c r="L693" i="1" s="1"/>
  <c r="O691" i="1"/>
  <c r="O692" i="1"/>
  <c r="O690" i="1"/>
  <c r="R690" i="1"/>
  <c r="R691" i="1"/>
  <c r="R692" i="1"/>
  <c r="D692" i="1"/>
  <c r="G692" i="1"/>
  <c r="K690" i="1"/>
  <c r="L690" i="1" s="1"/>
  <c r="K691" i="1"/>
  <c r="L691" i="1" s="1"/>
  <c r="K692" i="1"/>
  <c r="L692" i="1" s="1"/>
  <c r="G691" i="1"/>
  <c r="D691" i="1"/>
  <c r="G690" i="1"/>
  <c r="D690" i="1"/>
  <c r="R689" i="1"/>
  <c r="O689" i="1"/>
  <c r="H693" i="1" l="1"/>
  <c r="H695" i="1"/>
  <c r="H691" i="1"/>
  <c r="H694" i="1"/>
  <c r="H690" i="1"/>
  <c r="H692" i="1"/>
  <c r="D689" i="1"/>
  <c r="G689" i="1"/>
  <c r="K689" i="1"/>
  <c r="L689" i="1" s="1"/>
  <c r="K688" i="1"/>
  <c r="L688" i="1" s="1"/>
  <c r="G688" i="1"/>
  <c r="D688" i="1"/>
  <c r="D35" i="6"/>
  <c r="D34" i="6"/>
  <c r="D33" i="6"/>
  <c r="O688" i="1"/>
  <c r="R688" i="1"/>
  <c r="D687" i="1"/>
  <c r="G687" i="1"/>
  <c r="K687" i="1"/>
  <c r="L687" i="1" s="1"/>
  <c r="O687" i="1"/>
  <c r="R687" i="1"/>
  <c r="D654" i="1"/>
  <c r="D651" i="1"/>
  <c r="O686" i="1"/>
  <c r="O682" i="1"/>
  <c r="O683" i="1"/>
  <c r="O684" i="1"/>
  <c r="O685" i="1"/>
  <c r="O681" i="1"/>
  <c r="R686" i="1"/>
  <c r="R683" i="1"/>
  <c r="R684" i="1"/>
  <c r="R685" i="1"/>
  <c r="R681" i="1"/>
  <c r="R682" i="1"/>
  <c r="H689" i="1" l="1"/>
  <c r="H687" i="1"/>
  <c r="H688" i="1"/>
  <c r="G685" i="1"/>
  <c r="G686" i="1"/>
  <c r="D685" i="1"/>
  <c r="D686" i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G684" i="1"/>
  <c r="D684" i="1"/>
  <c r="G683" i="1"/>
  <c r="D683" i="1"/>
  <c r="G682" i="1"/>
  <c r="D682" i="1"/>
  <c r="G681" i="1"/>
  <c r="D681" i="1"/>
  <c r="R680" i="1"/>
  <c r="O680" i="1"/>
  <c r="K680" i="1"/>
  <c r="L680" i="1" s="1"/>
  <c r="D680" i="1"/>
  <c r="G680" i="1"/>
  <c r="R679" i="1"/>
  <c r="O679" i="1"/>
  <c r="K679" i="1"/>
  <c r="L679" i="1" s="1"/>
  <c r="D679" i="1"/>
  <c r="G679" i="1"/>
  <c r="R676" i="1"/>
  <c r="R677" i="1"/>
  <c r="R678" i="1"/>
  <c r="O677" i="1"/>
  <c r="O678" i="1"/>
  <c r="O676" i="1"/>
  <c r="H679" i="1" l="1"/>
  <c r="H682" i="1"/>
  <c r="H681" i="1"/>
  <c r="H680" i="1"/>
  <c r="H684" i="1"/>
  <c r="H683" i="1"/>
  <c r="H685" i="1"/>
  <c r="H686" i="1"/>
  <c r="K676" i="1"/>
  <c r="L676" i="1" s="1"/>
  <c r="K677" i="1"/>
  <c r="L677" i="1" s="1"/>
  <c r="K678" i="1"/>
  <c r="L678" i="1" s="1"/>
  <c r="G678" i="1"/>
  <c r="D678" i="1"/>
  <c r="D677" i="1"/>
  <c r="G677" i="1"/>
  <c r="D676" i="1"/>
  <c r="G676" i="1"/>
  <c r="R675" i="1"/>
  <c r="O675" i="1"/>
  <c r="O674" i="1"/>
  <c r="H677" i="1" l="1"/>
  <c r="H676" i="1"/>
  <c r="H678" i="1"/>
  <c r="G675" i="1"/>
  <c r="D675" i="1"/>
  <c r="R674" i="1"/>
  <c r="H675" i="1" l="1"/>
  <c r="K674" i="1"/>
  <c r="L674" i="1" s="1"/>
  <c r="K675" i="1"/>
  <c r="L675" i="1" s="1"/>
  <c r="D674" i="1"/>
  <c r="G674" i="1"/>
  <c r="R673" i="1"/>
  <c r="O673" i="1"/>
  <c r="K673" i="1"/>
  <c r="L673" i="1" s="1"/>
  <c r="D673" i="1"/>
  <c r="G673" i="1"/>
  <c r="K672" i="1"/>
  <c r="L672" i="1" s="1"/>
  <c r="G672" i="1"/>
  <c r="D672" i="1"/>
  <c r="O672" i="1"/>
  <c r="R672" i="1"/>
  <c r="R669" i="1"/>
  <c r="R670" i="1"/>
  <c r="R671" i="1"/>
  <c r="O669" i="1"/>
  <c r="O670" i="1"/>
  <c r="O671" i="1"/>
  <c r="H674" i="1" l="1"/>
  <c r="H672" i="1"/>
  <c r="H673" i="1"/>
  <c r="K669" i="1"/>
  <c r="L669" i="1" s="1"/>
  <c r="K670" i="1"/>
  <c r="L670" i="1" s="1"/>
  <c r="K671" i="1"/>
  <c r="L671" i="1" s="1"/>
  <c r="G671" i="1"/>
  <c r="D671" i="1"/>
  <c r="G670" i="1"/>
  <c r="G669" i="1"/>
  <c r="D670" i="1"/>
  <c r="D669" i="1"/>
  <c r="R668" i="1"/>
  <c r="O668" i="1"/>
  <c r="K668" i="1"/>
  <c r="L668" i="1" s="1"/>
  <c r="G668" i="1"/>
  <c r="D668" i="1"/>
  <c r="R667" i="1"/>
  <c r="O667" i="1"/>
  <c r="H670" i="1" l="1"/>
  <c r="H671" i="1"/>
  <c r="H669" i="1"/>
  <c r="H668" i="1"/>
  <c r="K667" i="1"/>
  <c r="L667" i="1" s="1"/>
  <c r="D667" i="1"/>
  <c r="G667" i="1"/>
  <c r="R666" i="1"/>
  <c r="O666" i="1"/>
  <c r="K666" i="1"/>
  <c r="L666" i="1" s="1"/>
  <c r="O665" i="1"/>
  <c r="D666" i="1"/>
  <c r="G666" i="1"/>
  <c r="H666" i="1" l="1"/>
  <c r="H667" i="1"/>
  <c r="R665" i="1"/>
  <c r="K665" i="1"/>
  <c r="L665" i="1" s="1"/>
  <c r="D665" i="1"/>
  <c r="G665" i="1"/>
  <c r="R662" i="1"/>
  <c r="R663" i="1"/>
  <c r="R664" i="1"/>
  <c r="O662" i="1"/>
  <c r="O663" i="1"/>
  <c r="O664" i="1"/>
  <c r="D663" i="1"/>
  <c r="D664" i="1"/>
  <c r="G663" i="1"/>
  <c r="G664" i="1"/>
  <c r="K662" i="1"/>
  <c r="L662" i="1" s="1"/>
  <c r="K663" i="1"/>
  <c r="L663" i="1" s="1"/>
  <c r="K664" i="1"/>
  <c r="L664" i="1" s="1"/>
  <c r="G662" i="1"/>
  <c r="D662" i="1"/>
  <c r="R661" i="1"/>
  <c r="O661" i="1"/>
  <c r="K661" i="1"/>
  <c r="L661" i="1" s="1"/>
  <c r="D661" i="1"/>
  <c r="G661" i="1"/>
  <c r="R660" i="1"/>
  <c r="K660" i="1"/>
  <c r="L660" i="1" s="1"/>
  <c r="G660" i="1"/>
  <c r="D660" i="1"/>
  <c r="O660" i="1"/>
  <c r="R659" i="1"/>
  <c r="O659" i="1"/>
  <c r="K659" i="1"/>
  <c r="L659" i="1" s="1"/>
  <c r="D659" i="1"/>
  <c r="G659" i="1"/>
  <c r="K658" i="1"/>
  <c r="L658" i="1" s="1"/>
  <c r="O658" i="1"/>
  <c r="R658" i="1"/>
  <c r="G658" i="1"/>
  <c r="D658" i="1"/>
  <c r="H665" i="1" l="1"/>
  <c r="H660" i="1"/>
  <c r="H661" i="1"/>
  <c r="H664" i="1"/>
  <c r="H658" i="1"/>
  <c r="H659" i="1"/>
  <c r="H662" i="1"/>
  <c r="H663" i="1"/>
  <c r="R655" i="1"/>
  <c r="R656" i="1"/>
  <c r="R657" i="1"/>
  <c r="O655" i="1"/>
  <c r="O656" i="1"/>
  <c r="O657" i="1"/>
  <c r="K655" i="1"/>
  <c r="L655" i="1" s="1"/>
  <c r="K656" i="1"/>
  <c r="L656" i="1" s="1"/>
  <c r="K657" i="1"/>
  <c r="L657" i="1" s="1"/>
  <c r="D655" i="1"/>
  <c r="D656" i="1"/>
  <c r="D657" i="1"/>
  <c r="G655" i="1"/>
  <c r="G656" i="1"/>
  <c r="G657" i="1"/>
  <c r="O654" i="1"/>
  <c r="R654" i="1"/>
  <c r="R653" i="1"/>
  <c r="H657" i="1" l="1"/>
  <c r="H656" i="1"/>
  <c r="H655" i="1"/>
  <c r="K654" i="1"/>
  <c r="L654" i="1" s="1"/>
  <c r="G654" i="1"/>
  <c r="X619" i="1"/>
  <c r="U619" i="1"/>
  <c r="O653" i="1"/>
  <c r="K653" i="1"/>
  <c r="L653" i="1" s="1"/>
  <c r="G653" i="1"/>
  <c r="D653" i="1"/>
  <c r="H653" i="1" l="1"/>
  <c r="H654" i="1"/>
  <c r="O652" i="1"/>
  <c r="R652" i="1"/>
  <c r="K652" i="1"/>
  <c r="L652" i="1" s="1"/>
  <c r="D652" i="1"/>
  <c r="G652" i="1"/>
  <c r="H652" i="1" l="1"/>
  <c r="R651" i="1"/>
  <c r="O651" i="1"/>
  <c r="R648" i="1"/>
  <c r="R649" i="1"/>
  <c r="R650" i="1"/>
  <c r="O650" i="1"/>
  <c r="K649" i="1"/>
  <c r="L649" i="1" s="1"/>
  <c r="K650" i="1"/>
  <c r="L650" i="1" s="1"/>
  <c r="K651" i="1"/>
  <c r="L651" i="1" s="1"/>
  <c r="D649" i="1"/>
  <c r="D650" i="1"/>
  <c r="G649" i="1"/>
  <c r="G650" i="1"/>
  <c r="G651" i="1"/>
  <c r="H651" i="1" s="1"/>
  <c r="O648" i="1"/>
  <c r="O649" i="1"/>
  <c r="R646" i="1"/>
  <c r="R647" i="1"/>
  <c r="O646" i="1"/>
  <c r="O647" i="1"/>
  <c r="K646" i="1"/>
  <c r="L646" i="1" s="1"/>
  <c r="K647" i="1"/>
  <c r="L647" i="1" s="1"/>
  <c r="K648" i="1"/>
  <c r="L648" i="1" s="1"/>
  <c r="G646" i="1"/>
  <c r="G647" i="1"/>
  <c r="G648" i="1"/>
  <c r="D646" i="1"/>
  <c r="D647" i="1"/>
  <c r="D648" i="1"/>
  <c r="R644" i="1"/>
  <c r="R645" i="1"/>
  <c r="O645" i="1"/>
  <c r="H648" i="1" l="1"/>
  <c r="H649" i="1"/>
  <c r="H650" i="1"/>
  <c r="H646" i="1"/>
  <c r="H647" i="1"/>
  <c r="D645" i="1"/>
  <c r="G645" i="1"/>
  <c r="K645" i="1"/>
  <c r="L645" i="1" s="1"/>
  <c r="H645" i="1" l="1"/>
  <c r="O644" i="1"/>
  <c r="D644" i="1"/>
  <c r="G644" i="1"/>
  <c r="K644" i="1"/>
  <c r="L644" i="1" s="1"/>
  <c r="R641" i="1"/>
  <c r="R642" i="1"/>
  <c r="R643" i="1"/>
  <c r="O642" i="1"/>
  <c r="O643" i="1"/>
  <c r="O641" i="1"/>
  <c r="H644" i="1" l="1"/>
  <c r="K641" i="1"/>
  <c r="L641" i="1" s="1"/>
  <c r="K642" i="1"/>
  <c r="L642" i="1" s="1"/>
  <c r="K643" i="1"/>
  <c r="L643" i="1" s="1"/>
  <c r="G641" i="1"/>
  <c r="G642" i="1"/>
  <c r="G643" i="1"/>
  <c r="D641" i="1"/>
  <c r="D642" i="1"/>
  <c r="D643" i="1"/>
  <c r="R640" i="1"/>
  <c r="K640" i="1"/>
  <c r="L640" i="1" s="1"/>
  <c r="O640" i="1"/>
  <c r="D640" i="1"/>
  <c r="G640" i="1"/>
  <c r="R638" i="1"/>
  <c r="R639" i="1"/>
  <c r="O639" i="1"/>
  <c r="H641" i="1" l="1"/>
  <c r="H642" i="1"/>
  <c r="H643" i="1"/>
  <c r="H640" i="1"/>
  <c r="K639" i="1"/>
  <c r="L639" i="1" s="1"/>
  <c r="G638" i="1"/>
  <c r="G639" i="1"/>
  <c r="D639" i="1"/>
  <c r="H639" i="1" l="1"/>
  <c r="O638" i="1"/>
  <c r="D638" i="1"/>
  <c r="H638" i="1" s="1"/>
  <c r="K638" i="1"/>
  <c r="L638" i="1" s="1"/>
  <c r="R637" i="1"/>
  <c r="O637" i="1"/>
  <c r="O636" i="1"/>
  <c r="D637" i="1"/>
  <c r="G637" i="1"/>
  <c r="K637" i="1"/>
  <c r="L637" i="1" s="1"/>
  <c r="H637" i="1" l="1"/>
  <c r="O635" i="1"/>
  <c r="O634" i="1"/>
  <c r="O632" i="1"/>
  <c r="O633" i="1"/>
  <c r="R632" i="1"/>
  <c r="R633" i="1"/>
  <c r="R634" i="1"/>
  <c r="R635" i="1"/>
  <c r="R636" i="1"/>
  <c r="K634" i="1"/>
  <c r="L634" i="1" s="1"/>
  <c r="K635" i="1"/>
  <c r="L635" i="1" s="1"/>
  <c r="K636" i="1"/>
  <c r="L636" i="1" s="1"/>
  <c r="G634" i="1"/>
  <c r="G635" i="1"/>
  <c r="G636" i="1"/>
  <c r="D634" i="1"/>
  <c r="D635" i="1"/>
  <c r="D636" i="1"/>
  <c r="H635" i="1" l="1"/>
  <c r="H636" i="1"/>
  <c r="H634" i="1"/>
  <c r="K633" i="1"/>
  <c r="L633" i="1" s="1"/>
  <c r="D633" i="1"/>
  <c r="G633" i="1"/>
  <c r="D632" i="1"/>
  <c r="G632" i="1"/>
  <c r="K632" i="1"/>
  <c r="L632" i="1" s="1"/>
  <c r="R631" i="1"/>
  <c r="R626" i="1"/>
  <c r="R627" i="1"/>
  <c r="R628" i="1"/>
  <c r="R629" i="1"/>
  <c r="R630" i="1"/>
  <c r="O630" i="1"/>
  <c r="O631" i="1"/>
  <c r="O627" i="1"/>
  <c r="O628" i="1"/>
  <c r="O629" i="1"/>
  <c r="H632" i="1" l="1"/>
  <c r="H633" i="1"/>
  <c r="D631" i="1"/>
  <c r="G631" i="1"/>
  <c r="K631" i="1"/>
  <c r="L631" i="1" s="1"/>
  <c r="D630" i="1"/>
  <c r="G630" i="1"/>
  <c r="K630" i="1"/>
  <c r="L630" i="1" s="1"/>
  <c r="D627" i="1"/>
  <c r="D628" i="1"/>
  <c r="D629" i="1"/>
  <c r="G627" i="1"/>
  <c r="G628" i="1"/>
  <c r="G629" i="1"/>
  <c r="K627" i="1"/>
  <c r="L627" i="1" s="1"/>
  <c r="K628" i="1"/>
  <c r="L628" i="1" s="1"/>
  <c r="K629" i="1"/>
  <c r="L629" i="1" s="1"/>
  <c r="K626" i="1"/>
  <c r="L626" i="1" s="1"/>
  <c r="D626" i="1"/>
  <c r="O626" i="1"/>
  <c r="H627" i="1" l="1"/>
  <c r="H628" i="1"/>
  <c r="H629" i="1"/>
  <c r="H631" i="1"/>
  <c r="H630" i="1"/>
  <c r="G626" i="1"/>
  <c r="H626" i="1" s="1"/>
  <c r="R625" i="1"/>
  <c r="R619" i="1"/>
  <c r="R620" i="1"/>
  <c r="R621" i="1"/>
  <c r="R622" i="1"/>
  <c r="R623" i="1"/>
  <c r="R624" i="1"/>
  <c r="K625" i="1"/>
  <c r="L625" i="1" s="1"/>
  <c r="D625" i="1"/>
  <c r="G625" i="1"/>
  <c r="H625" i="1" l="1"/>
  <c r="O625" i="1"/>
  <c r="O624" i="1"/>
  <c r="D624" i="1"/>
  <c r="K624" i="1"/>
  <c r="L624" i="1" s="1"/>
  <c r="G624" i="1"/>
  <c r="O623" i="1"/>
  <c r="H624" i="1" l="1"/>
  <c r="K623" i="1"/>
  <c r="L623" i="1" s="1"/>
  <c r="D623" i="1"/>
  <c r="G623" i="1"/>
  <c r="O621" i="1"/>
  <c r="O622" i="1"/>
  <c r="O620" i="1"/>
  <c r="G620" i="1"/>
  <c r="G621" i="1"/>
  <c r="G622" i="1"/>
  <c r="K620" i="1"/>
  <c r="L620" i="1" s="1"/>
  <c r="K621" i="1"/>
  <c r="L621" i="1" s="1"/>
  <c r="K622" i="1"/>
  <c r="L622" i="1" s="1"/>
  <c r="D620" i="1"/>
  <c r="D621" i="1"/>
  <c r="D622" i="1"/>
  <c r="H622" i="1" s="1"/>
  <c r="O619" i="1"/>
  <c r="H620" i="1" l="1"/>
  <c r="H621" i="1"/>
  <c r="H623" i="1"/>
  <c r="D619" i="1"/>
  <c r="G619" i="1"/>
  <c r="K619" i="1"/>
  <c r="L619" i="1" s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559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532" i="1"/>
  <c r="U533" i="1"/>
  <c r="R618" i="1"/>
  <c r="O618" i="1"/>
  <c r="H619" i="1" l="1"/>
  <c r="K618" i="1"/>
  <c r="L618" i="1" s="1"/>
  <c r="G618" i="1"/>
  <c r="D618" i="1"/>
  <c r="R617" i="1"/>
  <c r="R616" i="1"/>
  <c r="R613" i="1"/>
  <c r="R614" i="1"/>
  <c r="R615" i="1"/>
  <c r="O617" i="1"/>
  <c r="O616" i="1"/>
  <c r="O614" i="1"/>
  <c r="O615" i="1"/>
  <c r="O613" i="1"/>
  <c r="K616" i="1"/>
  <c r="L616" i="1" s="1"/>
  <c r="K617" i="1"/>
  <c r="L617" i="1" s="1"/>
  <c r="G617" i="1"/>
  <c r="G616" i="1"/>
  <c r="D616" i="1"/>
  <c r="D617" i="1"/>
  <c r="D613" i="1"/>
  <c r="D614" i="1"/>
  <c r="D615" i="1"/>
  <c r="G613" i="1"/>
  <c r="G614" i="1"/>
  <c r="G615" i="1"/>
  <c r="K613" i="1"/>
  <c r="L613" i="1" s="1"/>
  <c r="K614" i="1"/>
  <c r="L614" i="1" s="1"/>
  <c r="K615" i="1"/>
  <c r="L615" i="1" s="1"/>
  <c r="R612" i="1"/>
  <c r="R611" i="1"/>
  <c r="O611" i="1"/>
  <c r="O612" i="1"/>
  <c r="H614" i="1" l="1"/>
  <c r="H616" i="1"/>
  <c r="H617" i="1"/>
  <c r="H618" i="1"/>
  <c r="H615" i="1"/>
  <c r="H613" i="1"/>
  <c r="D612" i="1"/>
  <c r="G612" i="1"/>
  <c r="K612" i="1"/>
  <c r="L612" i="1" s="1"/>
  <c r="D611" i="1"/>
  <c r="K611" i="1"/>
  <c r="L611" i="1" s="1"/>
  <c r="K609" i="1"/>
  <c r="L609" i="1" s="1"/>
  <c r="K610" i="1"/>
  <c r="L610" i="1" s="1"/>
  <c r="G610" i="1"/>
  <c r="G611" i="1"/>
  <c r="D610" i="1"/>
  <c r="G590" i="1"/>
  <c r="G591" i="1"/>
  <c r="G592" i="1"/>
  <c r="G564" i="1"/>
  <c r="D609" i="1"/>
  <c r="D598" i="1"/>
  <c r="O610" i="1"/>
  <c r="R610" i="1"/>
  <c r="R609" i="1"/>
  <c r="R607" i="1"/>
  <c r="R608" i="1"/>
  <c r="R606" i="1"/>
  <c r="H612" i="1" l="1"/>
  <c r="H611" i="1"/>
  <c r="H610" i="1"/>
  <c r="G609" i="1"/>
  <c r="H609" i="1" s="1"/>
  <c r="O609" i="1"/>
  <c r="O607" i="1"/>
  <c r="O608" i="1"/>
  <c r="O606" i="1"/>
  <c r="D606" i="1" l="1"/>
  <c r="D607" i="1"/>
  <c r="D608" i="1"/>
  <c r="G607" i="1"/>
  <c r="G608" i="1"/>
  <c r="K607" i="1"/>
  <c r="L607" i="1" s="1"/>
  <c r="K608" i="1"/>
  <c r="L608" i="1" s="1"/>
  <c r="G606" i="1"/>
  <c r="K606" i="1"/>
  <c r="L606" i="1" s="1"/>
  <c r="R605" i="1"/>
  <c r="O605" i="1"/>
  <c r="H607" i="1" l="1"/>
  <c r="H608" i="1"/>
  <c r="H606" i="1"/>
  <c r="K605" i="1"/>
  <c r="L605" i="1" s="1"/>
  <c r="G605" i="1"/>
  <c r="D605" i="1"/>
  <c r="R604" i="1"/>
  <c r="O604" i="1"/>
  <c r="K604" i="1"/>
  <c r="L604" i="1" s="1"/>
  <c r="G604" i="1"/>
  <c r="D604" i="1"/>
  <c r="R602" i="1"/>
  <c r="R603" i="1"/>
  <c r="O602" i="1"/>
  <c r="O603" i="1"/>
  <c r="H604" i="1" l="1"/>
  <c r="H605" i="1"/>
  <c r="G603" i="1"/>
  <c r="D603" i="1"/>
  <c r="K603" i="1"/>
  <c r="L603" i="1" s="1"/>
  <c r="K602" i="1"/>
  <c r="L602" i="1" s="1"/>
  <c r="G602" i="1"/>
  <c r="D602" i="1"/>
  <c r="R597" i="1"/>
  <c r="R598" i="1"/>
  <c r="R599" i="1"/>
  <c r="R600" i="1"/>
  <c r="R601" i="1"/>
  <c r="O598" i="1"/>
  <c r="O599" i="1"/>
  <c r="O600" i="1"/>
  <c r="O601" i="1"/>
  <c r="K598" i="1"/>
  <c r="L598" i="1" s="1"/>
  <c r="K599" i="1"/>
  <c r="L599" i="1" s="1"/>
  <c r="K600" i="1"/>
  <c r="L600" i="1" s="1"/>
  <c r="K601" i="1"/>
  <c r="L601" i="1" s="1"/>
  <c r="G598" i="1"/>
  <c r="H598" i="1" s="1"/>
  <c r="G599" i="1"/>
  <c r="G600" i="1"/>
  <c r="G601" i="1"/>
  <c r="D599" i="1"/>
  <c r="D600" i="1"/>
  <c r="D601" i="1"/>
  <c r="H603" i="1" l="1"/>
  <c r="H600" i="1"/>
  <c r="H601" i="1"/>
  <c r="H599" i="1"/>
  <c r="H602" i="1"/>
  <c r="O597" i="1"/>
  <c r="K597" i="1" l="1"/>
  <c r="L597" i="1" s="1"/>
  <c r="G597" i="1"/>
  <c r="D597" i="1"/>
  <c r="K596" i="1"/>
  <c r="L596" i="1" s="1"/>
  <c r="G596" i="1"/>
  <c r="D596" i="1"/>
  <c r="R596" i="1"/>
  <c r="O596" i="1"/>
  <c r="R592" i="1"/>
  <c r="R593" i="1"/>
  <c r="R594" i="1"/>
  <c r="R595" i="1"/>
  <c r="O595" i="1"/>
  <c r="O593" i="1"/>
  <c r="O594" i="1"/>
  <c r="O592" i="1"/>
  <c r="H596" i="1" l="1"/>
  <c r="H597" i="1"/>
  <c r="K595" i="1"/>
  <c r="L595" i="1" s="1"/>
  <c r="D595" i="1"/>
  <c r="G595" i="1"/>
  <c r="D592" i="1"/>
  <c r="H592" i="1" s="1"/>
  <c r="D593" i="1"/>
  <c r="D594" i="1"/>
  <c r="G593" i="1"/>
  <c r="G594" i="1"/>
  <c r="K592" i="1"/>
  <c r="L592" i="1" s="1"/>
  <c r="K593" i="1"/>
  <c r="L593" i="1" s="1"/>
  <c r="K594" i="1"/>
  <c r="L594" i="1" s="1"/>
  <c r="R591" i="1"/>
  <c r="O591" i="1"/>
  <c r="K591" i="1"/>
  <c r="L591" i="1" s="1"/>
  <c r="D591" i="1"/>
  <c r="H591" i="1" s="1"/>
  <c r="R590" i="1"/>
  <c r="O590" i="1"/>
  <c r="K590" i="1"/>
  <c r="L590" i="1" s="1"/>
  <c r="D590" i="1"/>
  <c r="H590" i="1" s="1"/>
  <c r="R589" i="1"/>
  <c r="O589" i="1"/>
  <c r="H593" i="1" l="1"/>
  <c r="H594" i="1"/>
  <c r="H595" i="1"/>
  <c r="D589" i="1"/>
  <c r="G589" i="1"/>
  <c r="K589" i="1"/>
  <c r="L589" i="1" s="1"/>
  <c r="R588" i="1"/>
  <c r="O588" i="1"/>
  <c r="K588" i="1"/>
  <c r="L588" i="1" s="1"/>
  <c r="G588" i="1"/>
  <c r="D588" i="1"/>
  <c r="H588" i="1" l="1"/>
  <c r="H589" i="1"/>
  <c r="R585" i="1"/>
  <c r="R586" i="1"/>
  <c r="R587" i="1"/>
  <c r="O587" i="1"/>
  <c r="O585" i="1"/>
  <c r="O586" i="1"/>
  <c r="K585" i="1"/>
  <c r="L585" i="1" s="1"/>
  <c r="K586" i="1"/>
  <c r="L586" i="1" s="1"/>
  <c r="K587" i="1"/>
  <c r="L587" i="1" s="1"/>
  <c r="D585" i="1"/>
  <c r="D586" i="1"/>
  <c r="D587" i="1"/>
  <c r="G585" i="1"/>
  <c r="G586" i="1"/>
  <c r="G587" i="1"/>
  <c r="R584" i="1"/>
  <c r="O584" i="1"/>
  <c r="H587" i="1" l="1"/>
  <c r="H586" i="1"/>
  <c r="H585" i="1"/>
  <c r="K584" i="1"/>
  <c r="L584" i="1" s="1"/>
  <c r="G584" i="1"/>
  <c r="D584" i="1"/>
  <c r="R583" i="1"/>
  <c r="R582" i="1"/>
  <c r="H584" i="1" l="1"/>
  <c r="O583" i="1"/>
  <c r="O582" i="1"/>
  <c r="G583" i="1"/>
  <c r="K583" i="1"/>
  <c r="L583" i="1" s="1"/>
  <c r="K582" i="1"/>
  <c r="L582" i="1" s="1"/>
  <c r="G582" i="1"/>
  <c r="D582" i="1"/>
  <c r="D583" i="1"/>
  <c r="R581" i="1"/>
  <c r="R578" i="1"/>
  <c r="R579" i="1"/>
  <c r="R580" i="1"/>
  <c r="O581" i="1"/>
  <c r="O578" i="1"/>
  <c r="O579" i="1"/>
  <c r="O580" i="1"/>
  <c r="O577" i="1"/>
  <c r="H583" i="1" l="1"/>
  <c r="H582" i="1"/>
  <c r="K581" i="1"/>
  <c r="L581" i="1" s="1"/>
  <c r="G579" i="1"/>
  <c r="G580" i="1"/>
  <c r="G581" i="1"/>
  <c r="D581" i="1"/>
  <c r="K580" i="1"/>
  <c r="L580" i="1" s="1"/>
  <c r="K579" i="1"/>
  <c r="L579" i="1" s="1"/>
  <c r="D579" i="1"/>
  <c r="D580" i="1"/>
  <c r="K578" i="1"/>
  <c r="L578" i="1" s="1"/>
  <c r="R577" i="1"/>
  <c r="H581" i="1" l="1"/>
  <c r="H579" i="1"/>
  <c r="H580" i="1"/>
  <c r="D577" i="1"/>
  <c r="D578" i="1"/>
  <c r="G577" i="1"/>
  <c r="G578" i="1"/>
  <c r="K577" i="1"/>
  <c r="L577" i="1" s="1"/>
  <c r="R576" i="1"/>
  <c r="O576" i="1"/>
  <c r="K576" i="1"/>
  <c r="L576" i="1" s="1"/>
  <c r="G576" i="1"/>
  <c r="D576" i="1"/>
  <c r="R574" i="1"/>
  <c r="R575" i="1"/>
  <c r="O575" i="1"/>
  <c r="O574" i="1"/>
  <c r="H576" i="1" l="1"/>
  <c r="H577" i="1"/>
  <c r="H578" i="1"/>
  <c r="K575" i="1"/>
  <c r="L575" i="1" s="1"/>
  <c r="G575" i="1"/>
  <c r="D575" i="1"/>
  <c r="K574" i="1"/>
  <c r="L574" i="1" s="1"/>
  <c r="G574" i="1"/>
  <c r="D574" i="1"/>
  <c r="R571" i="1"/>
  <c r="R572" i="1"/>
  <c r="R573" i="1"/>
  <c r="R564" i="1"/>
  <c r="R565" i="1"/>
  <c r="R566" i="1"/>
  <c r="R567" i="1"/>
  <c r="R568" i="1"/>
  <c r="R569" i="1"/>
  <c r="R570" i="1"/>
  <c r="O572" i="1"/>
  <c r="O573" i="1"/>
  <c r="O568" i="1"/>
  <c r="O569" i="1"/>
  <c r="O570" i="1"/>
  <c r="O571" i="1"/>
  <c r="K571" i="1"/>
  <c r="L571" i="1" s="1"/>
  <c r="K572" i="1"/>
  <c r="L572" i="1" s="1"/>
  <c r="K573" i="1"/>
  <c r="L573" i="1" s="1"/>
  <c r="G571" i="1"/>
  <c r="G572" i="1"/>
  <c r="G573" i="1"/>
  <c r="D571" i="1"/>
  <c r="D572" i="1"/>
  <c r="D573" i="1"/>
  <c r="H574" i="1" l="1"/>
  <c r="H575" i="1"/>
  <c r="H573" i="1"/>
  <c r="H572" i="1"/>
  <c r="H571" i="1"/>
  <c r="K570" i="1"/>
  <c r="L570" i="1" s="1"/>
  <c r="B570" i="1"/>
  <c r="D570" i="1"/>
  <c r="G570" i="1"/>
  <c r="K569" i="1"/>
  <c r="L569" i="1" s="1"/>
  <c r="G569" i="1"/>
  <c r="D569" i="1"/>
  <c r="D568" i="1"/>
  <c r="K568" i="1"/>
  <c r="L568" i="1" s="1"/>
  <c r="G568" i="1"/>
  <c r="H569" i="1" l="1"/>
  <c r="H570" i="1"/>
  <c r="H568" i="1"/>
  <c r="O564" i="1"/>
  <c r="O565" i="1"/>
  <c r="O566" i="1"/>
  <c r="O567" i="1"/>
  <c r="K567" i="1"/>
  <c r="L567" i="1" s="1"/>
  <c r="K564" i="1"/>
  <c r="L564" i="1" s="1"/>
  <c r="K565" i="1"/>
  <c r="L565" i="1" s="1"/>
  <c r="K566" i="1"/>
  <c r="L566" i="1" s="1"/>
  <c r="D567" i="1"/>
  <c r="D564" i="1"/>
  <c r="H564" i="1" s="1"/>
  <c r="D565" i="1"/>
  <c r="D566" i="1"/>
  <c r="G566" i="1"/>
  <c r="G567" i="1"/>
  <c r="B569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G565" i="1"/>
  <c r="R563" i="1"/>
  <c r="R562" i="1"/>
  <c r="O563" i="1"/>
  <c r="O562" i="1"/>
  <c r="K563" i="1"/>
  <c r="L563" i="1" s="1"/>
  <c r="G563" i="1"/>
  <c r="D563" i="1"/>
  <c r="D32" i="6"/>
  <c r="D29" i="6"/>
  <c r="D13" i="6"/>
  <c r="D562" i="1"/>
  <c r="K562" i="1"/>
  <c r="L562" i="1" s="1"/>
  <c r="H565" i="1" l="1"/>
  <c r="H566" i="1"/>
  <c r="H567" i="1"/>
  <c r="H563" i="1"/>
  <c r="G562" i="1"/>
  <c r="R560" i="1"/>
  <c r="R561" i="1"/>
  <c r="D561" i="1"/>
  <c r="G561" i="1"/>
  <c r="K561" i="1"/>
  <c r="L561" i="1" s="1"/>
  <c r="O561" i="1"/>
  <c r="O560" i="1"/>
  <c r="K560" i="1"/>
  <c r="L560" i="1" s="1"/>
  <c r="D555" i="1"/>
  <c r="D556" i="1"/>
  <c r="D557" i="1"/>
  <c r="D558" i="1"/>
  <c r="D559" i="1"/>
  <c r="D560" i="1"/>
  <c r="G560" i="1"/>
  <c r="K555" i="1"/>
  <c r="L555" i="1" s="1"/>
  <c r="K556" i="1"/>
  <c r="L556" i="1" s="1"/>
  <c r="K557" i="1"/>
  <c r="L557" i="1" s="1"/>
  <c r="K558" i="1"/>
  <c r="L558" i="1" s="1"/>
  <c r="K559" i="1"/>
  <c r="L559" i="1" s="1"/>
  <c r="G555" i="1"/>
  <c r="H555" i="1" s="1"/>
  <c r="G556" i="1"/>
  <c r="H556" i="1" s="1"/>
  <c r="G557" i="1"/>
  <c r="H557" i="1" s="1"/>
  <c r="G558" i="1"/>
  <c r="G559" i="1"/>
  <c r="H559" i="1" s="1"/>
  <c r="O557" i="1"/>
  <c r="O558" i="1"/>
  <c r="O559" i="1"/>
  <c r="R557" i="1"/>
  <c r="R558" i="1"/>
  <c r="R559" i="1"/>
  <c r="R555" i="1"/>
  <c r="R556" i="1"/>
  <c r="R554" i="1"/>
  <c r="O555" i="1"/>
  <c r="O556" i="1"/>
  <c r="O554" i="1"/>
  <c r="K554" i="1"/>
  <c r="L554" i="1" s="1"/>
  <c r="G554" i="1"/>
  <c r="D554" i="1"/>
  <c r="H554" i="1" l="1"/>
  <c r="H560" i="1"/>
  <c r="H558" i="1"/>
  <c r="H562" i="1"/>
  <c r="I578" i="1"/>
  <c r="H561" i="1"/>
  <c r="O553" i="1"/>
  <c r="R553" i="1"/>
  <c r="K553" i="1" l="1"/>
  <c r="L553" i="1" s="1"/>
  <c r="G553" i="1"/>
  <c r="D553" i="1"/>
  <c r="G549" i="1"/>
  <c r="G550" i="1"/>
  <c r="G551" i="1"/>
  <c r="G552" i="1"/>
  <c r="D549" i="1"/>
  <c r="D550" i="1"/>
  <c r="D551" i="1"/>
  <c r="D552" i="1"/>
  <c r="K549" i="1"/>
  <c r="L549" i="1" s="1"/>
  <c r="K550" i="1"/>
  <c r="L550" i="1" s="1"/>
  <c r="K551" i="1"/>
  <c r="L551" i="1" s="1"/>
  <c r="K552" i="1"/>
  <c r="L552" i="1" s="1"/>
  <c r="R550" i="1"/>
  <c r="R551" i="1"/>
  <c r="R552" i="1"/>
  <c r="R549" i="1"/>
  <c r="O551" i="1"/>
  <c r="O552" i="1"/>
  <c r="O550" i="1"/>
  <c r="O548" i="1"/>
  <c r="O549" i="1"/>
  <c r="O547" i="1"/>
  <c r="H553" i="1" l="1"/>
  <c r="H549" i="1"/>
  <c r="H552" i="1"/>
  <c r="H551" i="1"/>
  <c r="H550" i="1"/>
  <c r="R548" i="1"/>
  <c r="R547" i="1"/>
  <c r="K548" i="1" l="1"/>
  <c r="L548" i="1" s="1"/>
  <c r="G548" i="1"/>
  <c r="D547" i="1"/>
  <c r="D548" i="1"/>
  <c r="K547" i="1"/>
  <c r="L547" i="1" s="1"/>
  <c r="G547" i="1"/>
  <c r="R546" i="1"/>
  <c r="O546" i="1"/>
  <c r="D546" i="1"/>
  <c r="G546" i="1"/>
  <c r="K546" i="1"/>
  <c r="L546" i="1" s="1"/>
  <c r="H547" i="1" l="1"/>
  <c r="H548" i="1"/>
  <c r="H546" i="1"/>
  <c r="R543" i="1"/>
  <c r="R544" i="1"/>
  <c r="R545" i="1"/>
  <c r="R542" i="1"/>
  <c r="O543" i="1"/>
  <c r="O544" i="1"/>
  <c r="O545" i="1"/>
  <c r="O542" i="1"/>
  <c r="D542" i="1"/>
  <c r="D543" i="1"/>
  <c r="D544" i="1"/>
  <c r="D545" i="1"/>
  <c r="G542" i="1"/>
  <c r="H542" i="1" s="1"/>
  <c r="G543" i="1"/>
  <c r="G544" i="1"/>
  <c r="G545" i="1"/>
  <c r="K542" i="1"/>
  <c r="L542" i="1" s="1"/>
  <c r="K543" i="1"/>
  <c r="L543" i="1" s="1"/>
  <c r="K544" i="1"/>
  <c r="L544" i="1" s="1"/>
  <c r="K545" i="1"/>
  <c r="L545" i="1" s="1"/>
  <c r="R541" i="1"/>
  <c r="R540" i="1"/>
  <c r="O541" i="1"/>
  <c r="H543" i="1" l="1"/>
  <c r="H545" i="1"/>
  <c r="H544" i="1"/>
  <c r="K541" i="1"/>
  <c r="L541" i="1" s="1"/>
  <c r="G541" i="1"/>
  <c r="D541" i="1"/>
  <c r="K540" i="1"/>
  <c r="L540" i="1" s="1"/>
  <c r="D540" i="1"/>
  <c r="G540" i="1"/>
  <c r="H541" i="1" l="1"/>
  <c r="H540" i="1"/>
  <c r="O540" i="1"/>
  <c r="R539" i="1"/>
  <c r="O539" i="1"/>
  <c r="D539" i="1" l="1"/>
  <c r="G539" i="1"/>
  <c r="K539" i="1"/>
  <c r="L539" i="1" s="1"/>
  <c r="R536" i="1"/>
  <c r="R537" i="1"/>
  <c r="R538" i="1"/>
  <c r="O537" i="1"/>
  <c r="O538" i="1"/>
  <c r="O536" i="1"/>
  <c r="H539" i="1" l="1"/>
  <c r="D536" i="1"/>
  <c r="D537" i="1"/>
  <c r="D538" i="1"/>
  <c r="G536" i="1"/>
  <c r="G537" i="1"/>
  <c r="G538" i="1"/>
  <c r="K537" i="1"/>
  <c r="L537" i="1" s="1"/>
  <c r="K538" i="1"/>
  <c r="L538" i="1" s="1"/>
  <c r="K536" i="1"/>
  <c r="L536" i="1" s="1"/>
  <c r="H537" i="1" l="1"/>
  <c r="H538" i="1"/>
  <c r="H536" i="1"/>
  <c r="O535" i="1"/>
  <c r="O534" i="1"/>
  <c r="D535" i="1"/>
  <c r="G535" i="1"/>
  <c r="K535" i="1"/>
  <c r="L535" i="1" s="1"/>
  <c r="K534" i="1"/>
  <c r="L534" i="1" s="1"/>
  <c r="G534" i="1"/>
  <c r="D534" i="1"/>
  <c r="R535" i="1"/>
  <c r="R534" i="1"/>
  <c r="R532" i="1"/>
  <c r="R533" i="1"/>
  <c r="O532" i="1"/>
  <c r="O533" i="1"/>
  <c r="K532" i="1"/>
  <c r="L532" i="1" s="1"/>
  <c r="K533" i="1"/>
  <c r="L533" i="1" s="1"/>
  <c r="G532" i="1"/>
  <c r="G533" i="1"/>
  <c r="D532" i="1"/>
  <c r="D533" i="1"/>
  <c r="H534" i="1" l="1"/>
  <c r="H533" i="1"/>
  <c r="H532" i="1"/>
  <c r="H535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O529" i="1"/>
  <c r="O530" i="1"/>
  <c r="O531" i="1"/>
  <c r="O528" i="1"/>
  <c r="R528" i="1"/>
  <c r="R529" i="1"/>
  <c r="R530" i="1"/>
  <c r="R531" i="1"/>
  <c r="K529" i="1"/>
  <c r="L529" i="1" s="1"/>
  <c r="K530" i="1"/>
  <c r="L530" i="1" s="1"/>
  <c r="K531" i="1"/>
  <c r="L531" i="1" s="1"/>
  <c r="G529" i="1"/>
  <c r="G530" i="1"/>
  <c r="G531" i="1"/>
  <c r="D529" i="1"/>
  <c r="D530" i="1"/>
  <c r="D531" i="1"/>
  <c r="K528" i="1"/>
  <c r="L528" i="1" s="1"/>
  <c r="G528" i="1"/>
  <c r="D528" i="1"/>
  <c r="R527" i="1"/>
  <c r="G527" i="1"/>
  <c r="D527" i="1"/>
  <c r="O527" i="1"/>
  <c r="O526" i="1"/>
  <c r="H530" i="1" l="1"/>
  <c r="H531" i="1"/>
  <c r="H529" i="1"/>
  <c r="H527" i="1"/>
  <c r="H528" i="1"/>
  <c r="K527" i="1"/>
  <c r="L527" i="1" s="1"/>
  <c r="K526" i="1"/>
  <c r="L526" i="1" s="1"/>
  <c r="D526" i="1"/>
  <c r="G526" i="1"/>
  <c r="R526" i="1"/>
  <c r="R525" i="1"/>
  <c r="O525" i="1"/>
  <c r="D525" i="1"/>
  <c r="G525" i="1"/>
  <c r="K525" i="1"/>
  <c r="L525" i="1" s="1"/>
  <c r="H526" i="1" l="1"/>
  <c r="H525" i="1"/>
  <c r="K522" i="1" l="1"/>
  <c r="L522" i="1" s="1"/>
  <c r="K523" i="1"/>
  <c r="L523" i="1" s="1"/>
  <c r="K524" i="1"/>
  <c r="L524" i="1" s="1"/>
  <c r="G523" i="1"/>
  <c r="G524" i="1"/>
  <c r="D524" i="1"/>
  <c r="D523" i="1"/>
  <c r="R523" i="1"/>
  <c r="R524" i="1"/>
  <c r="O523" i="1"/>
  <c r="O524" i="1"/>
  <c r="O522" i="1"/>
  <c r="R522" i="1"/>
  <c r="G522" i="1"/>
  <c r="D522" i="1"/>
  <c r="H523" i="1" l="1"/>
  <c r="H524" i="1"/>
  <c r="H522" i="1"/>
  <c r="R521" i="1"/>
  <c r="O521" i="1"/>
  <c r="K521" i="1"/>
  <c r="L521" i="1" s="1"/>
  <c r="G521" i="1"/>
  <c r="D521" i="1"/>
  <c r="H521" i="1" l="1"/>
  <c r="G520" i="1"/>
  <c r="D520" i="1"/>
  <c r="O520" i="1"/>
  <c r="R520" i="1"/>
  <c r="H520" i="1" l="1"/>
  <c r="K519" i="1"/>
  <c r="L519" i="1" s="1"/>
  <c r="K520" i="1"/>
  <c r="L520" i="1" s="1"/>
  <c r="G519" i="1"/>
  <c r="D519" i="1"/>
  <c r="R519" i="1"/>
  <c r="O519" i="1"/>
  <c r="R515" i="1"/>
  <c r="R516" i="1"/>
  <c r="R517" i="1"/>
  <c r="R518" i="1"/>
  <c r="O518" i="1"/>
  <c r="D518" i="1"/>
  <c r="D517" i="1"/>
  <c r="D516" i="1"/>
  <c r="K515" i="1"/>
  <c r="L515" i="1" s="1"/>
  <c r="K516" i="1"/>
  <c r="L516" i="1" s="1"/>
  <c r="K517" i="1"/>
  <c r="L517" i="1" s="1"/>
  <c r="K518" i="1"/>
  <c r="L518" i="1" s="1"/>
  <c r="G516" i="1"/>
  <c r="G517" i="1"/>
  <c r="G518" i="1"/>
  <c r="G515" i="1"/>
  <c r="D515" i="1"/>
  <c r="O515" i="1"/>
  <c r="O516" i="1"/>
  <c r="O517" i="1"/>
  <c r="H519" i="1" l="1"/>
  <c r="H515" i="1"/>
  <c r="H517" i="1"/>
  <c r="H516" i="1"/>
  <c r="H518" i="1"/>
  <c r="R514" i="1"/>
  <c r="K514" i="1"/>
  <c r="L514" i="1" s="1"/>
  <c r="D514" i="1"/>
  <c r="G514" i="1"/>
  <c r="O514" i="1"/>
  <c r="D513" i="1"/>
  <c r="G513" i="1"/>
  <c r="K513" i="1"/>
  <c r="L513" i="1" s="1"/>
  <c r="R513" i="1"/>
  <c r="H514" i="1" l="1"/>
  <c r="H513" i="1"/>
  <c r="O513" i="1"/>
  <c r="R512" i="1"/>
  <c r="D512" i="1"/>
  <c r="G512" i="1"/>
  <c r="K512" i="1"/>
  <c r="L512" i="1" s="1"/>
  <c r="O512" i="1"/>
  <c r="R511" i="1"/>
  <c r="O511" i="1"/>
  <c r="K511" i="1"/>
  <c r="L511" i="1" s="1"/>
  <c r="G507" i="1"/>
  <c r="G508" i="1"/>
  <c r="G509" i="1"/>
  <c r="G510" i="1"/>
  <c r="G511" i="1"/>
  <c r="D511" i="1"/>
  <c r="H511" i="1" l="1"/>
  <c r="H51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R507" i="1"/>
  <c r="R508" i="1"/>
  <c r="R509" i="1"/>
  <c r="R510" i="1"/>
  <c r="O509" i="1" l="1"/>
  <c r="O510" i="1"/>
  <c r="O507" i="1"/>
  <c r="O508" i="1"/>
  <c r="K507" i="1" l="1"/>
  <c r="L507" i="1" s="1"/>
  <c r="K508" i="1"/>
  <c r="L508" i="1" s="1"/>
  <c r="K509" i="1"/>
  <c r="L509" i="1" s="1"/>
  <c r="K510" i="1"/>
  <c r="L510" i="1" s="1"/>
  <c r="D507" i="1"/>
  <c r="H507" i="1" s="1"/>
  <c r="D508" i="1"/>
  <c r="H508" i="1" s="1"/>
  <c r="D509" i="1"/>
  <c r="H509" i="1" s="1"/>
  <c r="D510" i="1"/>
  <c r="H510" i="1" s="1"/>
  <c r="K506" i="1" l="1"/>
  <c r="L506" i="1" s="1"/>
  <c r="G506" i="1"/>
  <c r="D506" i="1"/>
  <c r="R506" i="1"/>
  <c r="O506" i="1"/>
  <c r="H506" i="1" l="1"/>
  <c r="R505" i="1"/>
  <c r="O505" i="1"/>
  <c r="K505" i="1"/>
  <c r="L505" i="1" s="1"/>
  <c r="D505" i="1"/>
  <c r="G505" i="1"/>
  <c r="R504" i="1"/>
  <c r="K504" i="1"/>
  <c r="L504" i="1" s="1"/>
  <c r="G504" i="1"/>
  <c r="D504" i="1"/>
  <c r="O504" i="1"/>
  <c r="R501" i="1"/>
  <c r="R502" i="1"/>
  <c r="R503" i="1"/>
  <c r="O501" i="1"/>
  <c r="O502" i="1"/>
  <c r="O503" i="1"/>
  <c r="D501" i="1"/>
  <c r="D502" i="1"/>
  <c r="D503" i="1"/>
  <c r="G501" i="1"/>
  <c r="G502" i="1"/>
  <c r="G503" i="1"/>
  <c r="K501" i="1"/>
  <c r="L501" i="1" s="1"/>
  <c r="K502" i="1"/>
  <c r="L502" i="1" s="1"/>
  <c r="K503" i="1"/>
  <c r="L503" i="1" s="1"/>
  <c r="H503" i="1" l="1"/>
  <c r="H502" i="1"/>
  <c r="H501" i="1"/>
  <c r="H504" i="1"/>
  <c r="H505" i="1"/>
  <c r="O500" i="1"/>
  <c r="K500" i="1"/>
  <c r="L500" i="1" s="1"/>
  <c r="D500" i="1"/>
  <c r="G500" i="1"/>
  <c r="R500" i="1"/>
  <c r="X493" i="1"/>
  <c r="X494" i="1"/>
  <c r="X495" i="1"/>
  <c r="X496" i="1"/>
  <c r="X497" i="1"/>
  <c r="X498" i="1"/>
  <c r="O498" i="1"/>
  <c r="O499" i="1"/>
  <c r="R498" i="1"/>
  <c r="R499" i="1"/>
  <c r="K499" i="1"/>
  <c r="L499" i="1" s="1"/>
  <c r="G499" i="1"/>
  <c r="D499" i="1"/>
  <c r="H500" i="1" l="1"/>
  <c r="H499" i="1"/>
  <c r="K498" i="1"/>
  <c r="L498" i="1" s="1"/>
  <c r="G498" i="1"/>
  <c r="D498" i="1"/>
  <c r="R497" i="1"/>
  <c r="O497" i="1"/>
  <c r="G497" i="1"/>
  <c r="D497" i="1"/>
  <c r="K497" i="1"/>
  <c r="L497" i="1" s="1"/>
  <c r="R493" i="1"/>
  <c r="R494" i="1"/>
  <c r="R495" i="1"/>
  <c r="R496" i="1"/>
  <c r="H497" i="1" l="1"/>
  <c r="H498" i="1"/>
  <c r="O493" i="1"/>
  <c r="O494" i="1"/>
  <c r="O495" i="1"/>
  <c r="O496" i="1"/>
  <c r="K493" i="1"/>
  <c r="L493" i="1" s="1"/>
  <c r="K494" i="1"/>
  <c r="L494" i="1" s="1"/>
  <c r="K495" i="1"/>
  <c r="L495" i="1" s="1"/>
  <c r="K496" i="1"/>
  <c r="L496" i="1" s="1"/>
  <c r="G493" i="1"/>
  <c r="G494" i="1"/>
  <c r="G495" i="1"/>
  <c r="G496" i="1"/>
  <c r="D493" i="1"/>
  <c r="D494" i="1"/>
  <c r="D495" i="1"/>
  <c r="D496" i="1"/>
  <c r="H494" i="1" l="1"/>
  <c r="H493" i="1"/>
  <c r="H495" i="1"/>
  <c r="H496" i="1"/>
  <c r="X491" i="1"/>
  <c r="X492" i="1"/>
  <c r="U491" i="1"/>
  <c r="U492" i="1"/>
  <c r="R491" i="1"/>
  <c r="R492" i="1"/>
  <c r="O492" i="1"/>
  <c r="X490" i="1"/>
  <c r="U490" i="1"/>
  <c r="O491" i="1"/>
  <c r="K492" i="1"/>
  <c r="L492" i="1" s="1"/>
  <c r="G492" i="1"/>
  <c r="D492" i="1"/>
  <c r="K491" i="1"/>
  <c r="L491" i="1" s="1"/>
  <c r="G491" i="1"/>
  <c r="D491" i="1"/>
  <c r="H492" i="1" l="1"/>
  <c r="H491" i="1"/>
  <c r="X484" i="1"/>
  <c r="X485" i="1"/>
  <c r="X486" i="1"/>
  <c r="X487" i="1"/>
  <c r="X488" i="1"/>
  <c r="X489" i="1"/>
  <c r="U484" i="1"/>
  <c r="U485" i="1"/>
  <c r="U486" i="1"/>
  <c r="U487" i="1"/>
  <c r="U488" i="1"/>
  <c r="U489" i="1"/>
  <c r="R490" i="1"/>
  <c r="O490" i="1"/>
  <c r="G490" i="1"/>
  <c r="D489" i="1"/>
  <c r="D490" i="1"/>
  <c r="K490" i="1"/>
  <c r="L490" i="1" s="1"/>
  <c r="R487" i="1"/>
  <c r="R488" i="1"/>
  <c r="R489" i="1"/>
  <c r="O488" i="1"/>
  <c r="O489" i="1"/>
  <c r="O487" i="1"/>
  <c r="G488" i="1"/>
  <c r="G489" i="1"/>
  <c r="K488" i="1"/>
  <c r="L488" i="1" s="1"/>
  <c r="K489" i="1"/>
  <c r="L489" i="1" s="1"/>
  <c r="D488" i="1"/>
  <c r="K487" i="1"/>
  <c r="L487" i="1" s="1"/>
  <c r="G487" i="1"/>
  <c r="D487" i="1"/>
  <c r="H490" i="1" l="1"/>
  <c r="H487" i="1"/>
  <c r="H488" i="1"/>
  <c r="H489" i="1"/>
  <c r="K486" i="1"/>
  <c r="L486" i="1" s="1"/>
  <c r="G486" i="1"/>
  <c r="D486" i="1"/>
  <c r="R485" i="1"/>
  <c r="R486" i="1"/>
  <c r="O486" i="1"/>
  <c r="H486" i="1" l="1"/>
  <c r="O485" i="1"/>
  <c r="K485" i="1"/>
  <c r="L485" i="1" s="1"/>
  <c r="D485" i="1"/>
  <c r="O484" i="1" l="1"/>
  <c r="G484" i="1"/>
  <c r="G485" i="1"/>
  <c r="H485" i="1" s="1"/>
  <c r="K484" i="1"/>
  <c r="L484" i="1" s="1"/>
  <c r="D484" i="1"/>
  <c r="R484" i="1"/>
  <c r="X483" i="1"/>
  <c r="U483" i="1"/>
  <c r="H484" i="1" l="1"/>
  <c r="R483" i="1"/>
  <c r="O483" i="1"/>
  <c r="D483" i="1"/>
  <c r="G483" i="1"/>
  <c r="K483" i="1"/>
  <c r="L483" i="1" s="1"/>
  <c r="U480" i="1"/>
  <c r="U481" i="1"/>
  <c r="U482" i="1"/>
  <c r="X480" i="1"/>
  <c r="X481" i="1"/>
  <c r="X482" i="1"/>
  <c r="O481" i="1"/>
  <c r="O482" i="1"/>
  <c r="R480" i="1"/>
  <c r="R481" i="1"/>
  <c r="R482" i="1"/>
  <c r="O480" i="1"/>
  <c r="G482" i="1"/>
  <c r="G481" i="1"/>
  <c r="K481" i="1"/>
  <c r="L481" i="1" s="1"/>
  <c r="K482" i="1"/>
  <c r="L482" i="1" s="1"/>
  <c r="D481" i="1"/>
  <c r="D482" i="1"/>
  <c r="K480" i="1"/>
  <c r="L480" i="1" s="1"/>
  <c r="G480" i="1"/>
  <c r="D480" i="1"/>
  <c r="H482" i="1" l="1"/>
  <c r="H483" i="1"/>
  <c r="H481" i="1"/>
  <c r="H480" i="1"/>
  <c r="X479" i="1"/>
  <c r="U478" i="1"/>
  <c r="U479" i="1"/>
  <c r="R479" i="1"/>
  <c r="O479" i="1"/>
  <c r="G479" i="1" l="1"/>
  <c r="K479" i="1"/>
  <c r="L479" i="1" s="1"/>
  <c r="D479" i="1"/>
  <c r="O478" i="1"/>
  <c r="R478" i="1"/>
  <c r="D478" i="1"/>
  <c r="G478" i="1"/>
  <c r="K478" i="1"/>
  <c r="L478" i="1" s="1"/>
  <c r="H478" i="1" l="1"/>
  <c r="H479" i="1"/>
  <c r="U477" i="1"/>
  <c r="X477" i="1"/>
  <c r="X478" i="1"/>
  <c r="R477" i="1"/>
  <c r="O477" i="1"/>
  <c r="K423" i="1" l="1"/>
  <c r="L423" i="1" s="1"/>
  <c r="G477" i="1"/>
  <c r="K477" i="1"/>
  <c r="L477" i="1" s="1"/>
  <c r="D477" i="1"/>
  <c r="X473" i="1"/>
  <c r="X474" i="1"/>
  <c r="X475" i="1"/>
  <c r="X476" i="1"/>
  <c r="U473" i="1"/>
  <c r="U474" i="1"/>
  <c r="U475" i="1"/>
  <c r="U476" i="1"/>
  <c r="R476" i="1"/>
  <c r="O476" i="1"/>
  <c r="H477" i="1" l="1"/>
  <c r="K476" i="1"/>
  <c r="L476" i="1" s="1"/>
  <c r="G476" i="1"/>
  <c r="D476" i="1"/>
  <c r="R473" i="1"/>
  <c r="R474" i="1"/>
  <c r="R475" i="1"/>
  <c r="O474" i="1"/>
  <c r="O475" i="1"/>
  <c r="O473" i="1"/>
  <c r="D475" i="1"/>
  <c r="G473" i="1"/>
  <c r="G474" i="1"/>
  <c r="G475" i="1"/>
  <c r="K473" i="1"/>
  <c r="L473" i="1" s="1"/>
  <c r="K474" i="1"/>
  <c r="L474" i="1" s="1"/>
  <c r="K475" i="1"/>
  <c r="L475" i="1" s="1"/>
  <c r="D473" i="1"/>
  <c r="D474" i="1"/>
  <c r="X472" i="1"/>
  <c r="U472" i="1"/>
  <c r="R472" i="1"/>
  <c r="O472" i="1"/>
  <c r="G472" i="1"/>
  <c r="D472" i="1"/>
  <c r="K472" i="1"/>
  <c r="L472" i="1" s="1"/>
  <c r="H473" i="1" l="1"/>
  <c r="H472" i="1"/>
  <c r="H474" i="1"/>
  <c r="H476" i="1"/>
  <c r="H475" i="1"/>
  <c r="U466" i="1"/>
  <c r="U467" i="1"/>
  <c r="U468" i="1"/>
  <c r="U469" i="1"/>
  <c r="U470" i="1"/>
  <c r="U471" i="1"/>
  <c r="X466" i="1"/>
  <c r="X467" i="1"/>
  <c r="X468" i="1"/>
  <c r="X469" i="1"/>
  <c r="X470" i="1"/>
  <c r="X471" i="1"/>
  <c r="K471" i="1"/>
  <c r="L471" i="1" s="1"/>
  <c r="G471" i="1"/>
  <c r="D471" i="1"/>
  <c r="O471" i="1"/>
  <c r="R471" i="1"/>
  <c r="D470" i="1"/>
  <c r="G470" i="1"/>
  <c r="K470" i="1"/>
  <c r="L470" i="1" s="1"/>
  <c r="R470" i="1"/>
  <c r="O470" i="1"/>
  <c r="H471" i="1" l="1"/>
  <c r="H470" i="1"/>
  <c r="R469" i="1"/>
  <c r="O469" i="1"/>
  <c r="D469" i="1"/>
  <c r="K469" i="1"/>
  <c r="L469" i="1" s="1"/>
  <c r="O468" i="1"/>
  <c r="R465" i="1"/>
  <c r="R466" i="1"/>
  <c r="R467" i="1"/>
  <c r="R468" i="1"/>
  <c r="O465" i="1"/>
  <c r="O466" i="1"/>
  <c r="O467" i="1"/>
  <c r="G469" i="1"/>
  <c r="K467" i="1"/>
  <c r="L467" i="1" s="1"/>
  <c r="K468" i="1"/>
  <c r="L468" i="1" s="1"/>
  <c r="G467" i="1"/>
  <c r="G468" i="1"/>
  <c r="D467" i="1"/>
  <c r="D468" i="1"/>
  <c r="K466" i="1"/>
  <c r="L466" i="1" s="1"/>
  <c r="D466" i="1"/>
  <c r="G466" i="1"/>
  <c r="H469" i="1" l="1"/>
  <c r="H466" i="1"/>
  <c r="H467" i="1"/>
  <c r="H468" i="1"/>
  <c r="X465" i="1"/>
  <c r="U465" i="1"/>
  <c r="K465" i="1"/>
  <c r="L465" i="1" s="1"/>
  <c r="G465" i="1"/>
  <c r="D465" i="1"/>
  <c r="H465" i="1" l="1"/>
  <c r="X463" i="1"/>
  <c r="X464" i="1"/>
  <c r="U463" i="1"/>
  <c r="U464" i="1"/>
  <c r="R464" i="1"/>
  <c r="O464" i="1"/>
  <c r="D464" i="1"/>
  <c r="K464" i="1"/>
  <c r="L464" i="1" s="1"/>
  <c r="G464" i="1"/>
  <c r="H464" i="1" l="1"/>
  <c r="G463" i="1"/>
  <c r="K463" i="1"/>
  <c r="L463" i="1" s="1"/>
  <c r="D463" i="1"/>
  <c r="O463" i="1"/>
  <c r="R463" i="1"/>
  <c r="X462" i="1"/>
  <c r="U462" i="1"/>
  <c r="K462" i="1"/>
  <c r="L462" i="1" s="1"/>
  <c r="G462" i="1"/>
  <c r="D462" i="1"/>
  <c r="R462" i="1"/>
  <c r="O462" i="1"/>
  <c r="H462" i="1" l="1"/>
  <c r="H463" i="1"/>
  <c r="O461" i="1"/>
  <c r="O459" i="1"/>
  <c r="O460" i="1"/>
  <c r="X459" i="1"/>
  <c r="X460" i="1"/>
  <c r="X461" i="1"/>
  <c r="U459" i="1"/>
  <c r="U460" i="1"/>
  <c r="U461" i="1"/>
  <c r="R459" i="1" l="1"/>
  <c r="R460" i="1"/>
  <c r="R461" i="1"/>
  <c r="K459" i="1" l="1"/>
  <c r="L459" i="1" s="1"/>
  <c r="K460" i="1"/>
  <c r="L460" i="1" s="1"/>
  <c r="K461" i="1"/>
  <c r="L461" i="1" s="1"/>
  <c r="G459" i="1"/>
  <c r="G460" i="1"/>
  <c r="G461" i="1"/>
  <c r="D459" i="1"/>
  <c r="D460" i="1"/>
  <c r="D461" i="1"/>
  <c r="H461" i="1" l="1"/>
  <c r="H459" i="1"/>
  <c r="H460" i="1"/>
  <c r="X458" i="1"/>
  <c r="U458" i="1"/>
  <c r="O458" i="1"/>
  <c r="X454" i="1"/>
  <c r="X455" i="1"/>
  <c r="X456" i="1"/>
  <c r="X457" i="1"/>
  <c r="U454" i="1"/>
  <c r="U455" i="1"/>
  <c r="U456" i="1"/>
  <c r="U457" i="1"/>
  <c r="R458" i="1"/>
  <c r="G458" i="1"/>
  <c r="K458" i="1"/>
  <c r="L458" i="1" s="1"/>
  <c r="D458" i="1"/>
  <c r="H458" i="1" l="1"/>
  <c r="X451" i="1"/>
  <c r="X452" i="1"/>
  <c r="X453" i="1"/>
  <c r="U451" i="1"/>
  <c r="U452" i="1"/>
  <c r="U453" i="1"/>
  <c r="R452" i="1"/>
  <c r="R453" i="1"/>
  <c r="R454" i="1"/>
  <c r="R455" i="1"/>
  <c r="R456" i="1"/>
  <c r="R457" i="1"/>
  <c r="O455" i="1"/>
  <c r="O456" i="1"/>
  <c r="O457" i="1"/>
  <c r="O454" i="1"/>
  <c r="O453" i="1"/>
  <c r="O452" i="1"/>
  <c r="K457" i="1"/>
  <c r="L457" i="1" s="1"/>
  <c r="D457" i="1"/>
  <c r="G457" i="1"/>
  <c r="D456" i="1"/>
  <c r="G456" i="1"/>
  <c r="K456" i="1"/>
  <c r="L456" i="1" s="1"/>
  <c r="K455" i="1"/>
  <c r="L455" i="1" s="1"/>
  <c r="G455" i="1"/>
  <c r="D455" i="1"/>
  <c r="K453" i="1"/>
  <c r="L453" i="1" s="1"/>
  <c r="K454" i="1"/>
  <c r="L454" i="1" s="1"/>
  <c r="G453" i="1"/>
  <c r="G454" i="1"/>
  <c r="D453" i="1"/>
  <c r="D454" i="1"/>
  <c r="K452" i="1"/>
  <c r="L452" i="1" s="1"/>
  <c r="G452" i="1"/>
  <c r="D452" i="1"/>
  <c r="U450" i="1"/>
  <c r="X445" i="1"/>
  <c r="X446" i="1"/>
  <c r="X447" i="1"/>
  <c r="X448" i="1"/>
  <c r="X449" i="1"/>
  <c r="X450" i="1"/>
  <c r="U445" i="1"/>
  <c r="U446" i="1"/>
  <c r="U447" i="1"/>
  <c r="U448" i="1"/>
  <c r="U449" i="1"/>
  <c r="R451" i="1"/>
  <c r="D451" i="1"/>
  <c r="G451" i="1"/>
  <c r="K451" i="1"/>
  <c r="L451" i="1" s="1"/>
  <c r="G450" i="1"/>
  <c r="K450" i="1"/>
  <c r="L450" i="1" s="1"/>
  <c r="D450" i="1"/>
  <c r="O450" i="1"/>
  <c r="O451" i="1"/>
  <c r="R450" i="1"/>
  <c r="R445" i="1"/>
  <c r="R446" i="1"/>
  <c r="R447" i="1"/>
  <c r="R448" i="1"/>
  <c r="R449" i="1"/>
  <c r="O445" i="1"/>
  <c r="O446" i="1"/>
  <c r="O447" i="1"/>
  <c r="O448" i="1"/>
  <c r="O449" i="1"/>
  <c r="G445" i="1"/>
  <c r="G446" i="1"/>
  <c r="G447" i="1"/>
  <c r="G448" i="1"/>
  <c r="G449" i="1"/>
  <c r="D445" i="1"/>
  <c r="D446" i="1"/>
  <c r="D447" i="1"/>
  <c r="D448" i="1"/>
  <c r="D449" i="1"/>
  <c r="K446" i="1"/>
  <c r="L446" i="1" s="1"/>
  <c r="K447" i="1"/>
  <c r="L447" i="1" s="1"/>
  <c r="K448" i="1"/>
  <c r="L448" i="1" s="1"/>
  <c r="K449" i="1"/>
  <c r="L449" i="1" s="1"/>
  <c r="K445" i="1"/>
  <c r="L445" i="1" s="1"/>
  <c r="H456" i="1" l="1"/>
  <c r="H446" i="1"/>
  <c r="H454" i="1"/>
  <c r="H453" i="1"/>
  <c r="H455" i="1"/>
  <c r="H457" i="1"/>
  <c r="H449" i="1"/>
  <c r="H445" i="1"/>
  <c r="H450" i="1"/>
  <c r="H448" i="1"/>
  <c r="H447" i="1"/>
  <c r="H452" i="1"/>
  <c r="H451" i="1"/>
  <c r="X443" i="1"/>
  <c r="X444" i="1"/>
  <c r="U443" i="1"/>
  <c r="U444" i="1"/>
  <c r="O444" i="1"/>
  <c r="R444" i="1"/>
  <c r="D444" i="1"/>
  <c r="G444" i="1"/>
  <c r="K444" i="1"/>
  <c r="L444" i="1" s="1"/>
  <c r="H444" i="1" l="1"/>
  <c r="R443" i="1"/>
  <c r="O443" i="1"/>
  <c r="D443" i="1"/>
  <c r="G443" i="1"/>
  <c r="K443" i="1"/>
  <c r="L443" i="1" s="1"/>
  <c r="D28" i="6"/>
  <c r="H443" i="1" l="1"/>
  <c r="K442" i="1"/>
  <c r="L442" i="1" s="1"/>
  <c r="D442" i="1"/>
  <c r="X438" i="1"/>
  <c r="X439" i="1"/>
  <c r="X440" i="1"/>
  <c r="X441" i="1"/>
  <c r="X442" i="1"/>
  <c r="U438" i="1"/>
  <c r="U439" i="1"/>
  <c r="U440" i="1"/>
  <c r="U441" i="1"/>
  <c r="U442" i="1"/>
  <c r="R442" i="1"/>
  <c r="O442" i="1"/>
  <c r="G442" i="1"/>
  <c r="H442" i="1" l="1"/>
  <c r="R438" i="1"/>
  <c r="R439" i="1"/>
  <c r="R440" i="1"/>
  <c r="R441" i="1"/>
  <c r="O441" i="1"/>
  <c r="O439" i="1"/>
  <c r="O440" i="1"/>
  <c r="O438" i="1"/>
  <c r="K441" i="1"/>
  <c r="L441" i="1" s="1"/>
  <c r="G441" i="1"/>
  <c r="D441" i="1"/>
  <c r="K438" i="1"/>
  <c r="L438" i="1" s="1"/>
  <c r="K439" i="1"/>
  <c r="L439" i="1" s="1"/>
  <c r="K440" i="1"/>
  <c r="L440" i="1" s="1"/>
  <c r="G438" i="1"/>
  <c r="G439" i="1"/>
  <c r="G440" i="1"/>
  <c r="D438" i="1"/>
  <c r="D439" i="1"/>
  <c r="D440" i="1"/>
  <c r="H440" i="1" l="1"/>
  <c r="H439" i="1"/>
  <c r="H441" i="1"/>
  <c r="H438" i="1"/>
  <c r="X437" i="1"/>
  <c r="U437" i="1"/>
  <c r="R437" i="1"/>
  <c r="O437" i="1"/>
  <c r="K437" i="1"/>
  <c r="L437" i="1" s="1"/>
  <c r="G437" i="1"/>
  <c r="D437" i="1"/>
  <c r="X436" i="1"/>
  <c r="U436" i="1"/>
  <c r="R436" i="1"/>
  <c r="O436" i="1"/>
  <c r="K436" i="1"/>
  <c r="L436" i="1" s="1"/>
  <c r="G436" i="1"/>
  <c r="D436" i="1"/>
  <c r="H437" i="1" l="1"/>
  <c r="H436" i="1"/>
  <c r="R435" i="1"/>
  <c r="O435" i="1"/>
  <c r="X431" i="1"/>
  <c r="X432" i="1"/>
  <c r="X433" i="1"/>
  <c r="X434" i="1"/>
  <c r="X435" i="1"/>
  <c r="U431" i="1"/>
  <c r="U432" i="1"/>
  <c r="U433" i="1"/>
  <c r="U434" i="1"/>
  <c r="U435" i="1"/>
  <c r="D435" i="1"/>
  <c r="G435" i="1"/>
  <c r="K435" i="1"/>
  <c r="L435" i="1" s="1"/>
  <c r="O433" i="1"/>
  <c r="O434" i="1"/>
  <c r="O431" i="1"/>
  <c r="O432" i="1"/>
  <c r="R431" i="1"/>
  <c r="R432" i="1"/>
  <c r="R433" i="1"/>
  <c r="R434" i="1"/>
  <c r="D431" i="1"/>
  <c r="D432" i="1"/>
  <c r="D433" i="1"/>
  <c r="D434" i="1"/>
  <c r="G431" i="1"/>
  <c r="H431" i="1" s="1"/>
  <c r="G432" i="1"/>
  <c r="H432" i="1" s="1"/>
  <c r="G433" i="1"/>
  <c r="H433" i="1" s="1"/>
  <c r="G434" i="1"/>
  <c r="H434" i="1" s="1"/>
  <c r="K431" i="1"/>
  <c r="L431" i="1" s="1"/>
  <c r="K432" i="1"/>
  <c r="L432" i="1" s="1"/>
  <c r="K433" i="1"/>
  <c r="L433" i="1" s="1"/>
  <c r="K434" i="1"/>
  <c r="L434" i="1" s="1"/>
  <c r="H435" i="1" l="1"/>
  <c r="U429" i="1"/>
  <c r="U430" i="1"/>
  <c r="X429" i="1"/>
  <c r="X430" i="1"/>
  <c r="R430" i="1"/>
  <c r="O430" i="1"/>
  <c r="K430" i="1"/>
  <c r="L430" i="1" s="1"/>
  <c r="D430" i="1"/>
  <c r="G430" i="1"/>
  <c r="H430" i="1" l="1"/>
  <c r="K429" i="1"/>
  <c r="L429" i="1" s="1"/>
  <c r="G429" i="1"/>
  <c r="D429" i="1"/>
  <c r="R429" i="1"/>
  <c r="O429" i="1"/>
  <c r="K428" i="1"/>
  <c r="L428" i="1" s="1"/>
  <c r="D428" i="1"/>
  <c r="G428" i="1"/>
  <c r="O428" i="1"/>
  <c r="R428" i="1"/>
  <c r="H429" i="1" l="1"/>
  <c r="H428" i="1"/>
  <c r="R424" i="1"/>
  <c r="R425" i="1"/>
  <c r="R426" i="1"/>
  <c r="R427" i="1"/>
  <c r="O427" i="1"/>
  <c r="O425" i="1"/>
  <c r="O426" i="1"/>
  <c r="O424" i="1"/>
  <c r="D427" i="1"/>
  <c r="G427" i="1"/>
  <c r="K427" i="1"/>
  <c r="L427" i="1" s="1"/>
  <c r="K425" i="1"/>
  <c r="L425" i="1" s="1"/>
  <c r="K426" i="1"/>
  <c r="L426" i="1" s="1"/>
  <c r="D425" i="1"/>
  <c r="D426" i="1"/>
  <c r="G425" i="1"/>
  <c r="G426" i="1"/>
  <c r="K424" i="1"/>
  <c r="L424" i="1" s="1"/>
  <c r="G424" i="1"/>
  <c r="X425" i="1"/>
  <c r="X426" i="1"/>
  <c r="X427" i="1"/>
  <c r="X428" i="1"/>
  <c r="U426" i="1"/>
  <c r="U427" i="1"/>
  <c r="U428" i="1"/>
  <c r="X424" i="1"/>
  <c r="U424" i="1"/>
  <c r="U425" i="1"/>
  <c r="U422" i="1"/>
  <c r="U423" i="1"/>
  <c r="X423" i="1"/>
  <c r="R423" i="1"/>
  <c r="O423" i="1"/>
  <c r="G423" i="1"/>
  <c r="D423" i="1"/>
  <c r="D424" i="1"/>
  <c r="X421" i="1"/>
  <c r="X422" i="1"/>
  <c r="U421" i="1"/>
  <c r="R422" i="1"/>
  <c r="R421" i="1"/>
  <c r="O422" i="1"/>
  <c r="O421" i="1"/>
  <c r="D422" i="1"/>
  <c r="G422" i="1"/>
  <c r="K421" i="1"/>
  <c r="L421" i="1" s="1"/>
  <c r="K422" i="1"/>
  <c r="L422" i="1" s="1"/>
  <c r="G421" i="1"/>
  <c r="D421" i="1"/>
  <c r="X417" i="1"/>
  <c r="X418" i="1"/>
  <c r="X419" i="1"/>
  <c r="X420" i="1"/>
  <c r="U417" i="1"/>
  <c r="U418" i="1"/>
  <c r="U419" i="1"/>
  <c r="U420" i="1"/>
  <c r="R420" i="1"/>
  <c r="R417" i="1"/>
  <c r="R418" i="1"/>
  <c r="R419" i="1"/>
  <c r="O418" i="1"/>
  <c r="O419" i="1"/>
  <c r="O420" i="1"/>
  <c r="O417" i="1"/>
  <c r="K420" i="1"/>
  <c r="L420" i="1" s="1"/>
  <c r="D419" i="1"/>
  <c r="D420" i="1"/>
  <c r="G420" i="1"/>
  <c r="D418" i="1"/>
  <c r="G417" i="1"/>
  <c r="G418" i="1"/>
  <c r="G419" i="1"/>
  <c r="K417" i="1"/>
  <c r="L417" i="1" s="1"/>
  <c r="K418" i="1"/>
  <c r="L418" i="1" s="1"/>
  <c r="K419" i="1"/>
  <c r="L419" i="1" s="1"/>
  <c r="D417" i="1"/>
  <c r="X415" i="1"/>
  <c r="X416" i="1"/>
  <c r="U416" i="1"/>
  <c r="R416" i="1"/>
  <c r="O416" i="1"/>
  <c r="O415" i="1"/>
  <c r="K416" i="1"/>
  <c r="L416" i="1" s="1"/>
  <c r="D416" i="1"/>
  <c r="G416" i="1"/>
  <c r="G415" i="1"/>
  <c r="K415" i="1"/>
  <c r="L415" i="1" s="1"/>
  <c r="D415" i="1"/>
  <c r="U415" i="1"/>
  <c r="R415" i="1"/>
  <c r="H424" i="1" l="1"/>
  <c r="H426" i="1"/>
  <c r="H422" i="1"/>
  <c r="H417" i="1"/>
  <c r="H425" i="1"/>
  <c r="H415" i="1"/>
  <c r="H423" i="1"/>
  <c r="H427" i="1"/>
  <c r="H421" i="1"/>
  <c r="H416" i="1"/>
  <c r="H418" i="1"/>
  <c r="H420" i="1"/>
  <c r="H419" i="1"/>
  <c r="O414" i="1"/>
  <c r="X414" i="1"/>
  <c r="U414" i="1"/>
  <c r="K414" i="1"/>
  <c r="L414" i="1" s="1"/>
  <c r="G414" i="1"/>
  <c r="D414" i="1"/>
  <c r="R414" i="1"/>
  <c r="H414" i="1" l="1"/>
  <c r="X409" i="1"/>
  <c r="X410" i="1"/>
  <c r="X411" i="1"/>
  <c r="X412" i="1"/>
  <c r="X413" i="1"/>
  <c r="U409" i="1"/>
  <c r="U410" i="1"/>
  <c r="U411" i="1"/>
  <c r="U412" i="1"/>
  <c r="U413" i="1"/>
  <c r="R409" i="1"/>
  <c r="R410" i="1"/>
  <c r="R411" i="1"/>
  <c r="R412" i="1"/>
  <c r="R413" i="1"/>
  <c r="O413" i="1"/>
  <c r="O410" i="1"/>
  <c r="O411" i="1"/>
  <c r="O412" i="1"/>
  <c r="G410" i="1"/>
  <c r="G411" i="1"/>
  <c r="G412" i="1"/>
  <c r="G413" i="1"/>
  <c r="D410" i="1"/>
  <c r="D411" i="1"/>
  <c r="D412" i="1"/>
  <c r="D413" i="1"/>
  <c r="K410" i="1"/>
  <c r="L410" i="1" s="1"/>
  <c r="K411" i="1"/>
  <c r="L411" i="1" s="1"/>
  <c r="K412" i="1"/>
  <c r="L412" i="1" s="1"/>
  <c r="K413" i="1"/>
  <c r="L413" i="1" s="1"/>
  <c r="K409" i="1"/>
  <c r="L409" i="1" s="1"/>
  <c r="G409" i="1"/>
  <c r="D409" i="1"/>
  <c r="O409" i="1"/>
  <c r="H413" i="1" l="1"/>
  <c r="H412" i="1"/>
  <c r="H411" i="1"/>
  <c r="H410" i="1"/>
  <c r="H409" i="1"/>
  <c r="O408" i="1"/>
  <c r="X408" i="1"/>
  <c r="U408" i="1"/>
  <c r="R408" i="1"/>
  <c r="K408" i="1"/>
  <c r="L408" i="1" s="1"/>
  <c r="G408" i="1"/>
  <c r="D408" i="1"/>
  <c r="X407" i="1"/>
  <c r="U407" i="1"/>
  <c r="R407" i="1"/>
  <c r="O407" i="1"/>
  <c r="K407" i="1"/>
  <c r="L407" i="1" s="1"/>
  <c r="G407" i="1"/>
  <c r="D407" i="1"/>
  <c r="O404" i="1"/>
  <c r="O405" i="1"/>
  <c r="O406" i="1"/>
  <c r="R406" i="1"/>
  <c r="R403" i="1"/>
  <c r="R404" i="1"/>
  <c r="R405" i="1"/>
  <c r="X400" i="1"/>
  <c r="X401" i="1"/>
  <c r="X402" i="1"/>
  <c r="X403" i="1"/>
  <c r="X404" i="1"/>
  <c r="X405" i="1"/>
  <c r="X406" i="1"/>
  <c r="U403" i="1"/>
  <c r="U404" i="1"/>
  <c r="U405" i="1"/>
  <c r="U406" i="1"/>
  <c r="K404" i="1"/>
  <c r="L404" i="1" s="1"/>
  <c r="K405" i="1"/>
  <c r="L405" i="1" s="1"/>
  <c r="K406" i="1"/>
  <c r="L406" i="1" s="1"/>
  <c r="D403" i="1"/>
  <c r="D404" i="1"/>
  <c r="D405" i="1"/>
  <c r="D406" i="1"/>
  <c r="G403" i="1"/>
  <c r="H403" i="1" s="1"/>
  <c r="G404" i="1"/>
  <c r="H404" i="1" s="1"/>
  <c r="G405" i="1"/>
  <c r="H405" i="1" s="1"/>
  <c r="G406" i="1"/>
  <c r="H406" i="1" s="1"/>
  <c r="K403" i="1"/>
  <c r="L403" i="1" s="1"/>
  <c r="U401" i="1"/>
  <c r="U402" i="1"/>
  <c r="O402" i="1"/>
  <c r="O403" i="1"/>
  <c r="D402" i="1"/>
  <c r="G402" i="1"/>
  <c r="K402" i="1"/>
  <c r="L402" i="1" s="1"/>
  <c r="R402" i="1"/>
  <c r="R401" i="1"/>
  <c r="O401" i="1"/>
  <c r="K401" i="1"/>
  <c r="L401" i="1" s="1"/>
  <c r="G401" i="1"/>
  <c r="D401" i="1"/>
  <c r="H408" i="1" l="1"/>
  <c r="H407" i="1"/>
  <c r="H401" i="1"/>
  <c r="H402" i="1"/>
  <c r="O400" i="1"/>
  <c r="U400" i="1"/>
  <c r="R400" i="1"/>
  <c r="D400" i="1"/>
  <c r="G400" i="1"/>
  <c r="K400" i="1"/>
  <c r="L400" i="1" s="1"/>
  <c r="O396" i="1"/>
  <c r="O397" i="1"/>
  <c r="O398" i="1"/>
  <c r="O399" i="1"/>
  <c r="O395" i="1"/>
  <c r="X395" i="1"/>
  <c r="X396" i="1"/>
  <c r="X397" i="1"/>
  <c r="X398" i="1"/>
  <c r="X399" i="1"/>
  <c r="U395" i="1"/>
  <c r="U396" i="1"/>
  <c r="U397" i="1"/>
  <c r="U398" i="1"/>
  <c r="U399" i="1"/>
  <c r="R396" i="1"/>
  <c r="R397" i="1"/>
  <c r="R398" i="1"/>
  <c r="R399" i="1"/>
  <c r="R395" i="1"/>
  <c r="G399" i="1"/>
  <c r="K399" i="1"/>
  <c r="L399" i="1" s="1"/>
  <c r="K397" i="1"/>
  <c r="L397" i="1" s="1"/>
  <c r="K398" i="1"/>
  <c r="L398" i="1" s="1"/>
  <c r="G397" i="1"/>
  <c r="G398" i="1"/>
  <c r="D397" i="1"/>
  <c r="D398" i="1"/>
  <c r="D399" i="1"/>
  <c r="K396" i="1"/>
  <c r="L396" i="1" s="1"/>
  <c r="G395" i="1"/>
  <c r="G396" i="1"/>
  <c r="D395" i="1"/>
  <c r="D396" i="1"/>
  <c r="K395" i="1"/>
  <c r="L395" i="1" s="1"/>
  <c r="H398" i="1" l="1"/>
  <c r="H397" i="1"/>
  <c r="H396" i="1"/>
  <c r="H400" i="1"/>
  <c r="H399" i="1"/>
  <c r="H395" i="1"/>
  <c r="X393" i="1" l="1"/>
  <c r="X394" i="1"/>
  <c r="U393" i="1"/>
  <c r="U394" i="1"/>
  <c r="O394" i="1"/>
  <c r="R394" i="1"/>
  <c r="K394" i="1"/>
  <c r="L394" i="1" s="1"/>
  <c r="G394" i="1"/>
  <c r="D394" i="1"/>
  <c r="O393" i="1"/>
  <c r="S39" i="9"/>
  <c r="AD20" i="9"/>
  <c r="AC20" i="9"/>
  <c r="AB20" i="9"/>
  <c r="AA16" i="9"/>
  <c r="R393" i="1"/>
  <c r="D393" i="1"/>
  <c r="G393" i="1"/>
  <c r="K393" i="1"/>
  <c r="L393" i="1" s="1"/>
  <c r="N11" i="9"/>
  <c r="N10" i="9"/>
  <c r="N9" i="9"/>
  <c r="N8" i="9"/>
  <c r="L11" i="9"/>
  <c r="J11" i="9"/>
  <c r="D11" i="9"/>
  <c r="B11" i="9"/>
  <c r="N7" i="9"/>
  <c r="E11" i="9"/>
  <c r="I11" i="9"/>
  <c r="M11" i="9"/>
  <c r="N6" i="9"/>
  <c r="N5" i="9"/>
  <c r="N4" i="9"/>
  <c r="N3" i="9"/>
  <c r="K11" i="9"/>
  <c r="H11" i="9"/>
  <c r="G11" i="9"/>
  <c r="F11" i="9"/>
  <c r="C11" i="9"/>
  <c r="X388" i="1"/>
  <c r="X389" i="1"/>
  <c r="X390" i="1"/>
  <c r="X391" i="1"/>
  <c r="X392" i="1"/>
  <c r="U388" i="1"/>
  <c r="U389" i="1"/>
  <c r="U390" i="1"/>
  <c r="U391" i="1"/>
  <c r="U392" i="1"/>
  <c r="R392" i="1"/>
  <c r="O392" i="1"/>
  <c r="K392" i="1"/>
  <c r="L392" i="1" s="1"/>
  <c r="G392" i="1"/>
  <c r="D392" i="1"/>
  <c r="H393" i="1" l="1"/>
  <c r="H394" i="1"/>
  <c r="H392" i="1"/>
  <c r="O389" i="1"/>
  <c r="O390" i="1"/>
  <c r="O391" i="1"/>
  <c r="O388" i="1"/>
  <c r="O387" i="1"/>
  <c r="G389" i="1"/>
  <c r="G390" i="1"/>
  <c r="G391" i="1"/>
  <c r="D390" i="1"/>
  <c r="D391" i="1"/>
  <c r="K389" i="1"/>
  <c r="L389" i="1" s="1"/>
  <c r="K390" i="1"/>
  <c r="L390" i="1" s="1"/>
  <c r="K391" i="1"/>
  <c r="L391" i="1" s="1"/>
  <c r="R391" i="1"/>
  <c r="R388" i="1"/>
  <c r="R389" i="1"/>
  <c r="R390" i="1"/>
  <c r="D389" i="1"/>
  <c r="K388" i="1"/>
  <c r="L388" i="1" s="1"/>
  <c r="G388" i="1"/>
  <c r="D388" i="1"/>
  <c r="H391" i="1" l="1"/>
  <c r="H388" i="1"/>
  <c r="H389" i="1"/>
  <c r="H390" i="1"/>
  <c r="X387" i="1"/>
  <c r="U387" i="1"/>
  <c r="R386" i="1"/>
  <c r="R387" i="1"/>
  <c r="O386" i="1"/>
  <c r="D387" i="1"/>
  <c r="G387" i="1"/>
  <c r="K387" i="1"/>
  <c r="L387" i="1" s="1"/>
  <c r="X386" i="1"/>
  <c r="U386" i="1"/>
  <c r="D386" i="1"/>
  <c r="K386" i="1"/>
  <c r="L386" i="1" s="1"/>
  <c r="G386" i="1"/>
  <c r="H386" i="1" l="1"/>
  <c r="H387" i="1"/>
  <c r="X382" i="1"/>
  <c r="X383" i="1"/>
  <c r="X384" i="1"/>
  <c r="X385" i="1"/>
  <c r="U382" i="1"/>
  <c r="U383" i="1"/>
  <c r="U384" i="1"/>
  <c r="U385" i="1"/>
  <c r="R382" i="1"/>
  <c r="R383" i="1"/>
  <c r="R384" i="1"/>
  <c r="R385" i="1"/>
  <c r="O383" i="1"/>
  <c r="O384" i="1"/>
  <c r="O385" i="1"/>
  <c r="O382" i="1"/>
  <c r="D385" i="1"/>
  <c r="G385" i="1"/>
  <c r="K385" i="1"/>
  <c r="L385" i="1" s="1"/>
  <c r="D384" i="1"/>
  <c r="G384" i="1"/>
  <c r="K384" i="1"/>
  <c r="L384" i="1" s="1"/>
  <c r="D383" i="1"/>
  <c r="G383" i="1"/>
  <c r="K383" i="1"/>
  <c r="L383" i="1" s="1"/>
  <c r="K382" i="1"/>
  <c r="L382" i="1" s="1"/>
  <c r="D382" i="1"/>
  <c r="G382" i="1"/>
  <c r="X381" i="1"/>
  <c r="U381" i="1"/>
  <c r="R381" i="1"/>
  <c r="O381" i="1"/>
  <c r="D381" i="1"/>
  <c r="G381" i="1"/>
  <c r="K381" i="1"/>
  <c r="L381" i="1" s="1"/>
  <c r="H381" i="1" l="1"/>
  <c r="H383" i="1"/>
  <c r="H382" i="1"/>
  <c r="H384" i="1"/>
  <c r="H385" i="1"/>
  <c r="X380" i="1"/>
  <c r="U380" i="1"/>
  <c r="D380" i="1"/>
  <c r="K380" i="1"/>
  <c r="L380" i="1" s="1"/>
  <c r="G380" i="1"/>
  <c r="H380" i="1" l="1"/>
  <c r="X374" i="1"/>
  <c r="X375" i="1"/>
  <c r="X376" i="1"/>
  <c r="X377" i="1"/>
  <c r="X378" i="1"/>
  <c r="X379" i="1"/>
  <c r="U374" i="1"/>
  <c r="U375" i="1"/>
  <c r="U376" i="1"/>
  <c r="U377" i="1"/>
  <c r="U378" i="1"/>
  <c r="U379" i="1"/>
  <c r="R379" i="1"/>
  <c r="R380" i="1"/>
  <c r="D379" i="1"/>
  <c r="G379" i="1"/>
  <c r="K379" i="1"/>
  <c r="L379" i="1" s="1"/>
  <c r="O380" i="1"/>
  <c r="O379" i="1"/>
  <c r="H379" i="1" l="1"/>
  <c r="R378" i="1"/>
  <c r="O378" i="1"/>
  <c r="O376" i="1"/>
  <c r="O377" i="1"/>
  <c r="O374" i="1"/>
  <c r="O375" i="1"/>
  <c r="R375" i="1"/>
  <c r="R376" i="1"/>
  <c r="R377" i="1"/>
  <c r="K376" i="1"/>
  <c r="L376" i="1" s="1"/>
  <c r="K377" i="1"/>
  <c r="L377" i="1" s="1"/>
  <c r="K378" i="1"/>
  <c r="L378" i="1" s="1"/>
  <c r="D376" i="1"/>
  <c r="D377" i="1"/>
  <c r="D378" i="1"/>
  <c r="G377" i="1"/>
  <c r="G378" i="1"/>
  <c r="G375" i="1"/>
  <c r="G376" i="1"/>
  <c r="D375" i="1"/>
  <c r="K375" i="1"/>
  <c r="L375" i="1" s="1"/>
  <c r="H378" i="1" l="1"/>
  <c r="H377" i="1"/>
  <c r="H376" i="1"/>
  <c r="H375" i="1"/>
  <c r="K374" i="1"/>
  <c r="L374" i="1" s="1"/>
  <c r="R374" i="1"/>
  <c r="G374" i="1"/>
  <c r="D374" i="1"/>
  <c r="H374" i="1" l="1"/>
  <c r="R373" i="1"/>
  <c r="O372" i="1"/>
  <c r="O373" i="1"/>
  <c r="G373" i="1"/>
  <c r="D373" i="1"/>
  <c r="K373" i="1"/>
  <c r="L373" i="1" s="1"/>
  <c r="X373" i="1"/>
  <c r="U373" i="1"/>
  <c r="R372" i="1"/>
  <c r="K372" i="1"/>
  <c r="L372" i="1" s="1"/>
  <c r="D372" i="1"/>
  <c r="G372" i="1"/>
  <c r="X372" i="1"/>
  <c r="U372" i="1"/>
  <c r="X367" i="1"/>
  <c r="X368" i="1"/>
  <c r="X369" i="1"/>
  <c r="X370" i="1"/>
  <c r="X371" i="1"/>
  <c r="U368" i="1"/>
  <c r="U369" i="1"/>
  <c r="U370" i="1"/>
  <c r="U371" i="1"/>
  <c r="R368" i="1"/>
  <c r="R369" i="1"/>
  <c r="R370" i="1"/>
  <c r="R371" i="1"/>
  <c r="O368" i="1"/>
  <c r="O369" i="1"/>
  <c r="O370" i="1"/>
  <c r="O371" i="1"/>
  <c r="D369" i="1"/>
  <c r="D370" i="1"/>
  <c r="D371" i="1"/>
  <c r="G371" i="1"/>
  <c r="K369" i="1"/>
  <c r="L369" i="1" s="1"/>
  <c r="K370" i="1"/>
  <c r="L370" i="1" s="1"/>
  <c r="K371" i="1"/>
  <c r="L371" i="1" s="1"/>
  <c r="G369" i="1"/>
  <c r="G370" i="1"/>
  <c r="K368" i="1"/>
  <c r="L368" i="1" s="1"/>
  <c r="D368" i="1"/>
  <c r="G368" i="1"/>
  <c r="H368" i="1" l="1"/>
  <c r="H371" i="1"/>
  <c r="H372" i="1"/>
  <c r="H369" i="1"/>
  <c r="H370" i="1"/>
  <c r="H373" i="1"/>
  <c r="O367" i="1"/>
  <c r="U367" i="1"/>
  <c r="R367" i="1"/>
  <c r="G367" i="1"/>
  <c r="D367" i="1"/>
  <c r="K367" i="1"/>
  <c r="L367" i="1" s="1"/>
  <c r="U366" i="1"/>
  <c r="X366" i="1"/>
  <c r="R366" i="1"/>
  <c r="O366" i="1"/>
  <c r="G366" i="1"/>
  <c r="D366" i="1"/>
  <c r="K366" i="1"/>
  <c r="L366" i="1" s="1"/>
  <c r="H367" i="1" l="1"/>
  <c r="H366" i="1"/>
  <c r="X365" i="1"/>
  <c r="U365" i="1"/>
  <c r="O364" i="1"/>
  <c r="O365" i="1"/>
  <c r="K365" i="1"/>
  <c r="L365" i="1" s="1"/>
  <c r="G365" i="1"/>
  <c r="D365" i="1"/>
  <c r="R365" i="1"/>
  <c r="X361" i="1"/>
  <c r="X362" i="1"/>
  <c r="X363" i="1"/>
  <c r="X364" i="1"/>
  <c r="U361" i="1"/>
  <c r="U362" i="1"/>
  <c r="U363" i="1"/>
  <c r="U364" i="1"/>
  <c r="K361" i="1"/>
  <c r="L361" i="1" s="1"/>
  <c r="K362" i="1"/>
  <c r="L362" i="1" s="1"/>
  <c r="K363" i="1"/>
  <c r="L363" i="1" s="1"/>
  <c r="K364" i="1"/>
  <c r="L364" i="1" s="1"/>
  <c r="G361" i="1"/>
  <c r="G362" i="1"/>
  <c r="G363" i="1"/>
  <c r="G364" i="1"/>
  <c r="D363" i="1"/>
  <c r="D364" i="1"/>
  <c r="O361" i="1"/>
  <c r="O362" i="1"/>
  <c r="O363" i="1"/>
  <c r="R361" i="1"/>
  <c r="R362" i="1"/>
  <c r="R363" i="1"/>
  <c r="R364" i="1"/>
  <c r="D362" i="1"/>
  <c r="D361" i="1"/>
  <c r="H363" i="1" l="1"/>
  <c r="H361" i="1"/>
  <c r="H365" i="1"/>
  <c r="H362" i="1"/>
  <c r="H364" i="1"/>
  <c r="X360" i="1"/>
  <c r="U360" i="1"/>
  <c r="R360" i="1"/>
  <c r="O360" i="1"/>
  <c r="G360" i="1"/>
  <c r="D360" i="1"/>
  <c r="K360" i="1"/>
  <c r="L360" i="1" s="1"/>
  <c r="O359" i="1"/>
  <c r="U359" i="1"/>
  <c r="X359" i="1"/>
  <c r="G359" i="1"/>
  <c r="D359" i="1"/>
  <c r="K359" i="1"/>
  <c r="L359" i="1" s="1"/>
  <c r="R359" i="1"/>
  <c r="H360" i="1" l="1"/>
  <c r="H359" i="1"/>
  <c r="X358" i="1"/>
  <c r="U358" i="1"/>
  <c r="R358" i="1"/>
  <c r="O358" i="1"/>
  <c r="G358" i="1"/>
  <c r="D358" i="1"/>
  <c r="K358" i="1"/>
  <c r="L358" i="1" s="1"/>
  <c r="H358" i="1" l="1"/>
  <c r="R357" i="1"/>
  <c r="X354" i="1" l="1"/>
  <c r="X355" i="1"/>
  <c r="X356" i="1"/>
  <c r="X357" i="1"/>
  <c r="R354" i="1"/>
  <c r="R355" i="1"/>
  <c r="R356" i="1"/>
  <c r="U354" i="1"/>
  <c r="U355" i="1"/>
  <c r="U356" i="1"/>
  <c r="U357" i="1"/>
  <c r="O355" i="1"/>
  <c r="O356" i="1"/>
  <c r="O357" i="1"/>
  <c r="O354" i="1"/>
  <c r="K356" i="1"/>
  <c r="L356" i="1" s="1"/>
  <c r="K357" i="1"/>
  <c r="L357" i="1" s="1"/>
  <c r="G356" i="1"/>
  <c r="G357" i="1"/>
  <c r="D356" i="1"/>
  <c r="D357" i="1"/>
  <c r="K355" i="1"/>
  <c r="L355" i="1" s="1"/>
  <c r="G355" i="1"/>
  <c r="D355" i="1"/>
  <c r="K354" i="1"/>
  <c r="L354" i="1" s="1"/>
  <c r="D354" i="1"/>
  <c r="G354" i="1"/>
  <c r="H357" i="1" l="1"/>
  <c r="H354" i="1"/>
  <c r="H355" i="1"/>
  <c r="H356" i="1"/>
  <c r="X353" i="1"/>
  <c r="U353" i="1"/>
  <c r="R353" i="1" l="1"/>
  <c r="K353" i="1"/>
  <c r="L353" i="1" s="1"/>
  <c r="G353" i="1"/>
  <c r="D353" i="1"/>
  <c r="O353" i="1"/>
  <c r="X352" i="1"/>
  <c r="R352" i="1"/>
  <c r="U352" i="1"/>
  <c r="O352" i="1"/>
  <c r="D352" i="1"/>
  <c r="G352" i="1"/>
  <c r="K352" i="1"/>
  <c r="L352" i="1" s="1"/>
  <c r="H353" i="1" l="1"/>
  <c r="H352" i="1"/>
  <c r="K351" i="1"/>
  <c r="L351" i="1" s="1"/>
  <c r="G351" i="1"/>
  <c r="D351" i="1"/>
  <c r="O350" i="1"/>
  <c r="O351" i="1"/>
  <c r="X350" i="1"/>
  <c r="X351" i="1"/>
  <c r="U350" i="1"/>
  <c r="U351" i="1"/>
  <c r="R350" i="1"/>
  <c r="R351" i="1"/>
  <c r="D350" i="1"/>
  <c r="G350" i="1"/>
  <c r="K350" i="1"/>
  <c r="L350" i="1" s="1"/>
  <c r="O348" i="1"/>
  <c r="O349" i="1"/>
  <c r="G349" i="1"/>
  <c r="D349" i="1"/>
  <c r="K348" i="1"/>
  <c r="L348" i="1" s="1"/>
  <c r="K349" i="1"/>
  <c r="L349" i="1" s="1"/>
  <c r="U347" i="1"/>
  <c r="U348" i="1"/>
  <c r="U349" i="1"/>
  <c r="X347" i="1"/>
  <c r="X348" i="1"/>
  <c r="X349" i="1"/>
  <c r="O347" i="1"/>
  <c r="R347" i="1"/>
  <c r="R348" i="1"/>
  <c r="R349" i="1"/>
  <c r="D348" i="1"/>
  <c r="G348" i="1"/>
  <c r="G347" i="1"/>
  <c r="D347" i="1"/>
  <c r="K347" i="1"/>
  <c r="L347" i="1" s="1"/>
  <c r="H351" i="1" l="1"/>
  <c r="H347" i="1"/>
  <c r="H348" i="1"/>
  <c r="H349" i="1"/>
  <c r="H350" i="1"/>
  <c r="U346" i="1"/>
  <c r="R346" i="1"/>
  <c r="O346" i="1"/>
  <c r="X346" i="1"/>
  <c r="K346" i="1"/>
  <c r="L346" i="1" s="1"/>
  <c r="G346" i="1"/>
  <c r="D346" i="1"/>
  <c r="H346" i="1" l="1"/>
  <c r="X345" i="1"/>
  <c r="U345" i="1"/>
  <c r="O345" i="1"/>
  <c r="R345" i="1"/>
  <c r="D345" i="1"/>
  <c r="G345" i="1"/>
  <c r="K345" i="1"/>
  <c r="L345" i="1" s="1"/>
  <c r="H345" i="1" l="1"/>
  <c r="X344" i="1"/>
  <c r="U344" i="1"/>
  <c r="R344" i="1" l="1"/>
  <c r="O344" i="1"/>
  <c r="G344" i="1"/>
  <c r="D344" i="1"/>
  <c r="K344" i="1"/>
  <c r="L344" i="1" s="1"/>
  <c r="H344" i="1" l="1"/>
  <c r="U340" i="1"/>
  <c r="U341" i="1"/>
  <c r="U342" i="1"/>
  <c r="U343" i="1"/>
  <c r="X340" i="1"/>
  <c r="X341" i="1"/>
  <c r="X342" i="1"/>
  <c r="X343" i="1"/>
  <c r="O340" i="1"/>
  <c r="O341" i="1"/>
  <c r="O342" i="1"/>
  <c r="O343" i="1"/>
  <c r="R340" i="1"/>
  <c r="R341" i="1"/>
  <c r="R342" i="1"/>
  <c r="R343" i="1"/>
  <c r="D343" i="1"/>
  <c r="G343" i="1"/>
  <c r="K343" i="1"/>
  <c r="L343" i="1" s="1"/>
  <c r="K341" i="1"/>
  <c r="L341" i="1" s="1"/>
  <c r="K342" i="1"/>
  <c r="L342" i="1" s="1"/>
  <c r="G341" i="1"/>
  <c r="G342" i="1"/>
  <c r="D342" i="1"/>
  <c r="D341" i="1"/>
  <c r="K340" i="1"/>
  <c r="L340" i="1" s="1"/>
  <c r="D340" i="1"/>
  <c r="G340" i="1"/>
  <c r="U339" i="1"/>
  <c r="X339" i="1"/>
  <c r="O339" i="1"/>
  <c r="R339" i="1"/>
  <c r="G339" i="1"/>
  <c r="K339" i="1"/>
  <c r="L339" i="1" s="1"/>
  <c r="D339" i="1"/>
  <c r="H343" i="1" l="1"/>
  <c r="H339" i="1"/>
  <c r="H340" i="1"/>
  <c r="H342" i="1"/>
  <c r="H341" i="1"/>
  <c r="U337" i="1"/>
  <c r="U338" i="1"/>
  <c r="X337" i="1"/>
  <c r="X338" i="1"/>
  <c r="K337" i="1"/>
  <c r="L337" i="1" s="1"/>
  <c r="K338" i="1"/>
  <c r="L338" i="1" s="1"/>
  <c r="D337" i="1"/>
  <c r="D338" i="1"/>
  <c r="G337" i="1"/>
  <c r="G338" i="1"/>
  <c r="R337" i="1"/>
  <c r="R338" i="1"/>
  <c r="O338" i="1"/>
  <c r="O337" i="1"/>
  <c r="H338" i="1" l="1"/>
  <c r="H337" i="1"/>
  <c r="X333" i="1"/>
  <c r="X334" i="1"/>
  <c r="X335" i="1"/>
  <c r="X336" i="1"/>
  <c r="U333" i="1"/>
  <c r="U334" i="1"/>
  <c r="U335" i="1"/>
  <c r="U336" i="1"/>
  <c r="G336" i="1"/>
  <c r="D336" i="1"/>
  <c r="K336" i="1"/>
  <c r="L336" i="1" s="1"/>
  <c r="K335" i="1"/>
  <c r="L335" i="1" s="1"/>
  <c r="G335" i="1"/>
  <c r="D334" i="1"/>
  <c r="D335" i="1"/>
  <c r="G334" i="1"/>
  <c r="D333" i="1"/>
  <c r="G333" i="1"/>
  <c r="K333" i="1"/>
  <c r="L333" i="1" s="1"/>
  <c r="K334" i="1"/>
  <c r="L334" i="1" s="1"/>
  <c r="R333" i="1"/>
  <c r="R334" i="1"/>
  <c r="R335" i="1"/>
  <c r="R336" i="1"/>
  <c r="O336" i="1"/>
  <c r="O333" i="1"/>
  <c r="O334" i="1"/>
  <c r="O335" i="1"/>
  <c r="H336" i="1" l="1"/>
  <c r="H334" i="1"/>
  <c r="H335" i="1"/>
  <c r="H333" i="1"/>
  <c r="X332" i="1"/>
  <c r="U331" i="1"/>
  <c r="U332" i="1"/>
  <c r="O332" i="1"/>
  <c r="R332" i="1"/>
  <c r="K332" i="1"/>
  <c r="L332" i="1" s="1"/>
  <c r="G332" i="1"/>
  <c r="D332" i="1"/>
  <c r="H332" i="1" l="1"/>
  <c r="R331" i="1"/>
  <c r="O331" i="1"/>
  <c r="U330" i="1"/>
  <c r="X330" i="1"/>
  <c r="X331" i="1"/>
  <c r="D331" i="1"/>
  <c r="G331" i="1"/>
  <c r="K331" i="1"/>
  <c r="L331" i="1" s="1"/>
  <c r="H331" i="1" l="1"/>
  <c r="O330" i="1"/>
  <c r="R330" i="1" l="1"/>
  <c r="D330" i="1"/>
  <c r="G330" i="1"/>
  <c r="K330" i="1"/>
  <c r="L330" i="1" s="1"/>
  <c r="H330" i="1" l="1"/>
  <c r="U326" i="1"/>
  <c r="U327" i="1"/>
  <c r="U328" i="1"/>
  <c r="U329" i="1"/>
  <c r="X326" i="1"/>
  <c r="X327" i="1"/>
  <c r="X328" i="1"/>
  <c r="X329" i="1"/>
  <c r="O329" i="1"/>
  <c r="O328" i="1"/>
  <c r="O326" i="1"/>
  <c r="O327" i="1"/>
  <c r="R329" i="1"/>
  <c r="R326" i="1"/>
  <c r="R327" i="1"/>
  <c r="R328" i="1"/>
  <c r="G329" i="1"/>
  <c r="D326" i="1"/>
  <c r="D327" i="1"/>
  <c r="D328" i="1"/>
  <c r="D329" i="1"/>
  <c r="G327" i="1"/>
  <c r="G328" i="1"/>
  <c r="K326" i="1"/>
  <c r="L326" i="1" s="1"/>
  <c r="K327" i="1"/>
  <c r="L327" i="1" s="1"/>
  <c r="K328" i="1"/>
  <c r="L328" i="1" s="1"/>
  <c r="K329" i="1"/>
  <c r="L329" i="1" s="1"/>
  <c r="G326" i="1"/>
  <c r="X325" i="1"/>
  <c r="U325" i="1"/>
  <c r="K325" i="1"/>
  <c r="L325" i="1" s="1"/>
  <c r="G325" i="1"/>
  <c r="D325" i="1"/>
  <c r="R325" i="1"/>
  <c r="O325" i="1"/>
  <c r="H328" i="1" l="1"/>
  <c r="H327" i="1"/>
  <c r="H326" i="1"/>
  <c r="H325" i="1"/>
  <c r="H329" i="1"/>
  <c r="U324" i="1"/>
  <c r="X323" i="1"/>
  <c r="X324" i="1"/>
  <c r="O324" i="1"/>
  <c r="R324" i="1" l="1"/>
  <c r="D324" i="1"/>
  <c r="G324" i="1"/>
  <c r="K324" i="1"/>
  <c r="L324" i="1" s="1"/>
  <c r="U323" i="1"/>
  <c r="R323" i="1"/>
  <c r="O323" i="1"/>
  <c r="H324" i="1" l="1"/>
  <c r="D323" i="1"/>
  <c r="G323" i="1"/>
  <c r="K323" i="1"/>
  <c r="L323" i="1" s="1"/>
  <c r="H323" i="1" l="1"/>
  <c r="X319" i="1"/>
  <c r="X320" i="1"/>
  <c r="X321" i="1"/>
  <c r="X322" i="1"/>
  <c r="U319" i="1"/>
  <c r="U320" i="1"/>
  <c r="U321" i="1"/>
  <c r="U322" i="1"/>
  <c r="R319" i="1"/>
  <c r="R320" i="1"/>
  <c r="R321" i="1"/>
  <c r="R322" i="1"/>
  <c r="D322" i="1"/>
  <c r="G322" i="1"/>
  <c r="K322" i="1"/>
  <c r="L322" i="1" s="1"/>
  <c r="D321" i="1"/>
  <c r="G321" i="1"/>
  <c r="K319" i="1"/>
  <c r="L319" i="1" s="1"/>
  <c r="K320" i="1"/>
  <c r="L320" i="1" s="1"/>
  <c r="K321" i="1"/>
  <c r="L321" i="1" s="1"/>
  <c r="D320" i="1"/>
  <c r="G319" i="1"/>
  <c r="G320" i="1"/>
  <c r="D319" i="1"/>
  <c r="O320" i="1"/>
  <c r="O321" i="1"/>
  <c r="O322" i="1"/>
  <c r="O319" i="1"/>
  <c r="K318" i="1"/>
  <c r="L318" i="1" s="1"/>
  <c r="U318" i="1"/>
  <c r="D318" i="1"/>
  <c r="G318" i="1"/>
  <c r="O318" i="1"/>
  <c r="R318" i="1"/>
  <c r="H321" i="1" l="1"/>
  <c r="H319" i="1"/>
  <c r="H320" i="1"/>
  <c r="H318" i="1"/>
  <c r="H322" i="1"/>
  <c r="U316" i="1"/>
  <c r="U317" i="1"/>
  <c r="X316" i="1"/>
  <c r="X317" i="1"/>
  <c r="X318" i="1"/>
  <c r="O316" i="1" l="1"/>
  <c r="O317" i="1"/>
  <c r="R317" i="1"/>
  <c r="R316" i="1"/>
  <c r="D316" i="1" l="1"/>
  <c r="D317" i="1"/>
  <c r="G316" i="1"/>
  <c r="G317" i="1"/>
  <c r="K316" i="1"/>
  <c r="L316" i="1" s="1"/>
  <c r="K317" i="1"/>
  <c r="L317" i="1" s="1"/>
  <c r="X312" i="1"/>
  <c r="X313" i="1"/>
  <c r="X314" i="1"/>
  <c r="X315" i="1"/>
  <c r="U312" i="1"/>
  <c r="U313" i="1"/>
  <c r="U314" i="1"/>
  <c r="U315" i="1"/>
  <c r="O312" i="1"/>
  <c r="O313" i="1"/>
  <c r="O314" i="1"/>
  <c r="O315" i="1"/>
  <c r="R311" i="1"/>
  <c r="R312" i="1"/>
  <c r="R313" i="1"/>
  <c r="R314" i="1"/>
  <c r="R315" i="1"/>
  <c r="D312" i="1"/>
  <c r="D313" i="1"/>
  <c r="D314" i="1"/>
  <c r="D315" i="1"/>
  <c r="G312" i="1"/>
  <c r="G313" i="1"/>
  <c r="G314" i="1"/>
  <c r="H314" i="1" s="1"/>
  <c r="G315" i="1"/>
  <c r="K312" i="1"/>
  <c r="L312" i="1" s="1"/>
  <c r="K313" i="1"/>
  <c r="L313" i="1" s="1"/>
  <c r="K314" i="1"/>
  <c r="L314" i="1" s="1"/>
  <c r="K315" i="1"/>
  <c r="L315" i="1" s="1"/>
  <c r="H313" i="1" l="1"/>
  <c r="H317" i="1"/>
  <c r="H316" i="1"/>
  <c r="H312" i="1"/>
  <c r="H315" i="1"/>
  <c r="X311" i="1"/>
  <c r="U311" i="1"/>
  <c r="D311" i="1"/>
  <c r="G311" i="1"/>
  <c r="K311" i="1"/>
  <c r="L311" i="1" s="1"/>
  <c r="O311" i="1"/>
  <c r="X310" i="1"/>
  <c r="U310" i="1"/>
  <c r="D310" i="1"/>
  <c r="G310" i="1"/>
  <c r="K310" i="1"/>
  <c r="L310" i="1" s="1"/>
  <c r="R310" i="1"/>
  <c r="O310" i="1"/>
  <c r="H310" i="1" l="1"/>
  <c r="H311" i="1"/>
  <c r="O309" i="1"/>
  <c r="R309" i="1" l="1"/>
  <c r="U309" i="1"/>
  <c r="X309" i="1"/>
  <c r="K309" i="1"/>
  <c r="L309" i="1" s="1"/>
  <c r="G309" i="1"/>
  <c r="D309" i="1"/>
  <c r="H309" i="1" l="1"/>
  <c r="O308" i="1"/>
  <c r="O305" i="1"/>
  <c r="O306" i="1"/>
  <c r="O307" i="1"/>
  <c r="R308" i="1"/>
  <c r="R305" i="1"/>
  <c r="R306" i="1"/>
  <c r="R307" i="1"/>
  <c r="X305" i="1"/>
  <c r="X306" i="1"/>
  <c r="X307" i="1"/>
  <c r="X308" i="1"/>
  <c r="U305" i="1"/>
  <c r="U306" i="1"/>
  <c r="U307" i="1"/>
  <c r="U308" i="1"/>
  <c r="D308" i="1"/>
  <c r="G308" i="1"/>
  <c r="K308" i="1"/>
  <c r="L308" i="1" s="1"/>
  <c r="K305" i="1"/>
  <c r="L305" i="1" s="1"/>
  <c r="K306" i="1"/>
  <c r="L306" i="1" s="1"/>
  <c r="K307" i="1"/>
  <c r="L307" i="1" s="1"/>
  <c r="D307" i="1"/>
  <c r="G307" i="1"/>
  <c r="G306" i="1"/>
  <c r="D306" i="1"/>
  <c r="D305" i="1"/>
  <c r="G305" i="1"/>
  <c r="H305" i="1" l="1"/>
  <c r="H307" i="1"/>
  <c r="H306" i="1"/>
  <c r="H308" i="1"/>
  <c r="X304" i="1"/>
  <c r="U304" i="1"/>
  <c r="R304" i="1"/>
  <c r="O304" i="1"/>
  <c r="D304" i="1"/>
  <c r="G304" i="1"/>
  <c r="K304" i="1"/>
  <c r="L304" i="1" s="1"/>
  <c r="O303" i="1"/>
  <c r="R303" i="1"/>
  <c r="X303" i="1"/>
  <c r="U303" i="1"/>
  <c r="H304" i="1" l="1"/>
  <c r="D303" i="1"/>
  <c r="G303" i="1"/>
  <c r="K303" i="1"/>
  <c r="L303" i="1" s="1"/>
  <c r="O302" i="1"/>
  <c r="R302" i="1"/>
  <c r="X299" i="1"/>
  <c r="X300" i="1"/>
  <c r="X301" i="1"/>
  <c r="X302" i="1"/>
  <c r="U298" i="1"/>
  <c r="U299" i="1"/>
  <c r="U300" i="1"/>
  <c r="U301" i="1"/>
  <c r="U302" i="1"/>
  <c r="K302" i="1"/>
  <c r="L302" i="1" s="1"/>
  <c r="G302" i="1"/>
  <c r="D302" i="1"/>
  <c r="R298" i="1"/>
  <c r="R299" i="1"/>
  <c r="R300" i="1"/>
  <c r="R301" i="1"/>
  <c r="O299" i="1"/>
  <c r="O300" i="1"/>
  <c r="O301" i="1"/>
  <c r="O298" i="1"/>
  <c r="K301" i="1"/>
  <c r="L301" i="1" s="1"/>
  <c r="D301" i="1"/>
  <c r="D298" i="1"/>
  <c r="D299" i="1"/>
  <c r="D300" i="1"/>
  <c r="G299" i="1"/>
  <c r="G300" i="1"/>
  <c r="G301" i="1"/>
  <c r="K299" i="1"/>
  <c r="L299" i="1" s="1"/>
  <c r="K300" i="1"/>
  <c r="L300" i="1" s="1"/>
  <c r="G298" i="1"/>
  <c r="K298" i="1"/>
  <c r="L298" i="1" s="1"/>
  <c r="H301" i="1" l="1"/>
  <c r="H302" i="1"/>
  <c r="H298" i="1"/>
  <c r="H303" i="1"/>
  <c r="H300" i="1"/>
  <c r="H299" i="1"/>
  <c r="O297" i="1" l="1"/>
  <c r="R296" i="1"/>
  <c r="R297" i="1"/>
  <c r="U297" i="1"/>
  <c r="X297" i="1"/>
  <c r="X298" i="1"/>
  <c r="U296" i="1"/>
  <c r="X296" i="1"/>
  <c r="K297" i="1"/>
  <c r="L297" i="1" s="1"/>
  <c r="G297" i="1"/>
  <c r="D297" i="1"/>
  <c r="H297" i="1" l="1"/>
  <c r="O296" i="1"/>
  <c r="D296" i="1"/>
  <c r="G296" i="1"/>
  <c r="K296" i="1"/>
  <c r="L296" i="1" s="1"/>
  <c r="X295" i="1"/>
  <c r="U295" i="1"/>
  <c r="O295" i="1"/>
  <c r="R295" i="1"/>
  <c r="K295" i="1"/>
  <c r="L295" i="1" s="1"/>
  <c r="G295" i="1"/>
  <c r="D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H295" i="1" l="1"/>
  <c r="H296" i="1"/>
  <c r="U291" i="1"/>
  <c r="U292" i="1"/>
  <c r="U293" i="1"/>
  <c r="U294" i="1"/>
  <c r="X291" i="1"/>
  <c r="X292" i="1"/>
  <c r="X293" i="1"/>
  <c r="X294" i="1"/>
  <c r="O294" i="1"/>
  <c r="D292" i="1"/>
  <c r="D293" i="1"/>
  <c r="D294" i="1"/>
  <c r="G291" i="1"/>
  <c r="G292" i="1"/>
  <c r="G293" i="1"/>
  <c r="G294" i="1"/>
  <c r="H294" i="1" s="1"/>
  <c r="D291" i="1"/>
  <c r="K291" i="1"/>
  <c r="L291" i="1" s="1"/>
  <c r="K292" i="1"/>
  <c r="L292" i="1" s="1"/>
  <c r="K293" i="1"/>
  <c r="L293" i="1" s="1"/>
  <c r="K294" i="1"/>
  <c r="L294" i="1" s="1"/>
  <c r="R294" i="1"/>
  <c r="R291" i="1"/>
  <c r="R292" i="1"/>
  <c r="R293" i="1"/>
  <c r="O292" i="1"/>
  <c r="O293" i="1"/>
  <c r="O291" i="1"/>
  <c r="H291" i="1" l="1"/>
  <c r="H292" i="1"/>
  <c r="H293" i="1"/>
  <c r="O290" i="1" l="1"/>
  <c r="U290" i="1"/>
  <c r="X290" i="1"/>
  <c r="R290" i="1"/>
  <c r="G290" i="1"/>
  <c r="D290" i="1"/>
  <c r="K290" i="1"/>
  <c r="L290" i="1" s="1"/>
  <c r="H290" i="1" l="1"/>
  <c r="O289" i="1"/>
  <c r="X289" i="1"/>
  <c r="U289" i="1"/>
  <c r="R289" i="1" l="1"/>
  <c r="G289" i="1" l="1"/>
  <c r="D289" i="1"/>
  <c r="K287" i="1"/>
  <c r="K288" i="1"/>
  <c r="L288" i="1" s="1"/>
  <c r="K289" i="1"/>
  <c r="L289" i="1" s="1"/>
  <c r="O288" i="1"/>
  <c r="U288" i="1"/>
  <c r="X288" i="1"/>
  <c r="G288" i="1"/>
  <c r="D288" i="1"/>
  <c r="R288" i="1"/>
  <c r="G286" i="1"/>
  <c r="G287" i="1"/>
  <c r="O287" i="1"/>
  <c r="U287" i="1"/>
  <c r="X287" i="1"/>
  <c r="D287" i="1"/>
  <c r="R287" i="1"/>
  <c r="R284" i="1"/>
  <c r="R285" i="1"/>
  <c r="R286" i="1"/>
  <c r="X284" i="1"/>
  <c r="X285" i="1"/>
  <c r="X286" i="1"/>
  <c r="U284" i="1"/>
  <c r="U285" i="1"/>
  <c r="U286" i="1"/>
  <c r="L287" i="1"/>
  <c r="K285" i="1"/>
  <c r="L285" i="1" s="1"/>
  <c r="K286" i="1"/>
  <c r="L286" i="1" s="1"/>
  <c r="G284" i="1"/>
  <c r="G285" i="1"/>
  <c r="D285" i="1"/>
  <c r="D286" i="1"/>
  <c r="O285" i="1"/>
  <c r="O286" i="1"/>
  <c r="O284" i="1"/>
  <c r="H288" i="1" l="1"/>
  <c r="H285" i="1"/>
  <c r="H286" i="1"/>
  <c r="H287" i="1"/>
  <c r="H289" i="1"/>
  <c r="D284" i="1"/>
  <c r="H284" i="1" s="1"/>
  <c r="K284" i="1"/>
  <c r="L284" i="1" s="1"/>
  <c r="X283" i="1" l="1"/>
  <c r="U282" i="1"/>
  <c r="U283" i="1"/>
  <c r="R283" i="1"/>
  <c r="D283" i="1" l="1"/>
  <c r="G283" i="1"/>
  <c r="K282" i="1"/>
  <c r="L282" i="1" s="1"/>
  <c r="K283" i="1"/>
  <c r="L283" i="1" s="1"/>
  <c r="R282" i="1"/>
  <c r="O282" i="1"/>
  <c r="O283" i="1"/>
  <c r="X281" i="1"/>
  <c r="X282" i="1"/>
  <c r="U281" i="1"/>
  <c r="K281" i="1"/>
  <c r="D282" i="1"/>
  <c r="G282" i="1"/>
  <c r="G281" i="1"/>
  <c r="D281" i="1"/>
  <c r="H283" i="1" l="1"/>
  <c r="H281" i="1"/>
  <c r="H282" i="1"/>
  <c r="U277" i="1"/>
  <c r="U278" i="1"/>
  <c r="U279" i="1"/>
  <c r="U280" i="1"/>
  <c r="X277" i="1"/>
  <c r="X278" i="1"/>
  <c r="X279" i="1"/>
  <c r="X280" i="1"/>
  <c r="L281" i="1" l="1"/>
  <c r="R277" i="1"/>
  <c r="R278" i="1"/>
  <c r="R279" i="1"/>
  <c r="R280" i="1"/>
  <c r="R281" i="1"/>
  <c r="O279" i="1"/>
  <c r="O280" i="1"/>
  <c r="O281" i="1"/>
  <c r="O277" i="1"/>
  <c r="O278" i="1"/>
  <c r="K278" i="1"/>
  <c r="L278" i="1" s="1"/>
  <c r="K279" i="1"/>
  <c r="L279" i="1" s="1"/>
  <c r="K280" i="1"/>
  <c r="L280" i="1" s="1"/>
  <c r="G278" i="1"/>
  <c r="G279" i="1"/>
  <c r="G280" i="1"/>
  <c r="D279" i="1"/>
  <c r="D280" i="1"/>
  <c r="D278" i="1"/>
  <c r="D276" i="1"/>
  <c r="D277" i="1"/>
  <c r="G277" i="1"/>
  <c r="K277" i="1"/>
  <c r="L277" i="1" s="1"/>
  <c r="O276" i="1"/>
  <c r="R276" i="1"/>
  <c r="B15" i="1"/>
  <c r="D15" i="1"/>
  <c r="G15" i="1"/>
  <c r="K15" i="1"/>
  <c r="O15" i="1"/>
  <c r="B16" i="1"/>
  <c r="D16" i="1"/>
  <c r="G16" i="1"/>
  <c r="K16" i="1"/>
  <c r="O16" i="1"/>
  <c r="B17" i="1"/>
  <c r="D17" i="1"/>
  <c r="G17" i="1"/>
  <c r="K17" i="1"/>
  <c r="O17" i="1"/>
  <c r="B18" i="1"/>
  <c r="D18" i="1"/>
  <c r="G18" i="1"/>
  <c r="K18" i="1"/>
  <c r="O18" i="1"/>
  <c r="B19" i="1"/>
  <c r="D19" i="1"/>
  <c r="G19" i="1"/>
  <c r="K19" i="1"/>
  <c r="O19" i="1"/>
  <c r="B20" i="1"/>
  <c r="D20" i="1"/>
  <c r="G20" i="1"/>
  <c r="K20" i="1"/>
  <c r="O20" i="1"/>
  <c r="B21" i="1"/>
  <c r="D21" i="1"/>
  <c r="G21" i="1"/>
  <c r="K21" i="1"/>
  <c r="O21" i="1"/>
  <c r="B22" i="1"/>
  <c r="D22" i="1"/>
  <c r="G22" i="1"/>
  <c r="K22" i="1"/>
  <c r="O22" i="1"/>
  <c r="B23" i="1"/>
  <c r="D23" i="1"/>
  <c r="G23" i="1"/>
  <c r="K23" i="1"/>
  <c r="O23" i="1"/>
  <c r="B24" i="1"/>
  <c r="D24" i="1"/>
  <c r="G24" i="1"/>
  <c r="K24" i="1"/>
  <c r="O24" i="1"/>
  <c r="B25" i="1"/>
  <c r="D25" i="1"/>
  <c r="G25" i="1"/>
  <c r="K25" i="1"/>
  <c r="O25" i="1"/>
  <c r="B26" i="1"/>
  <c r="D26" i="1"/>
  <c r="G26" i="1"/>
  <c r="K26" i="1"/>
  <c r="O26" i="1"/>
  <c r="B27" i="1"/>
  <c r="D27" i="1"/>
  <c r="G27" i="1"/>
  <c r="K27" i="1"/>
  <c r="O27" i="1"/>
  <c r="B28" i="1"/>
  <c r="D28" i="1"/>
  <c r="G28" i="1"/>
  <c r="K28" i="1"/>
  <c r="O28" i="1"/>
  <c r="B29" i="1"/>
  <c r="D29" i="1"/>
  <c r="G29" i="1"/>
  <c r="K29" i="1"/>
  <c r="O29" i="1"/>
  <c r="B30" i="1"/>
  <c r="D30" i="1"/>
  <c r="G30" i="1"/>
  <c r="K30" i="1"/>
  <c r="O30" i="1"/>
  <c r="B31" i="1"/>
  <c r="D31" i="1"/>
  <c r="G31" i="1"/>
  <c r="K31" i="1"/>
  <c r="O31" i="1"/>
  <c r="B32" i="1"/>
  <c r="D32" i="1"/>
  <c r="G32" i="1"/>
  <c r="K32" i="1"/>
  <c r="O32" i="1"/>
  <c r="B33" i="1"/>
  <c r="D33" i="1"/>
  <c r="G33" i="1"/>
  <c r="K33" i="1"/>
  <c r="O33" i="1"/>
  <c r="B34" i="1"/>
  <c r="D34" i="1"/>
  <c r="G34" i="1"/>
  <c r="K34" i="1"/>
  <c r="O34" i="1"/>
  <c r="B35" i="1"/>
  <c r="D35" i="1"/>
  <c r="G35" i="1"/>
  <c r="K35" i="1"/>
  <c r="O35" i="1"/>
  <c r="B36" i="1"/>
  <c r="D36" i="1"/>
  <c r="G36" i="1"/>
  <c r="K36" i="1"/>
  <c r="O36" i="1"/>
  <c r="B37" i="1"/>
  <c r="D37" i="1"/>
  <c r="G37" i="1"/>
  <c r="K37" i="1"/>
  <c r="O37" i="1"/>
  <c r="B38" i="1"/>
  <c r="D38" i="1"/>
  <c r="G38" i="1"/>
  <c r="K38" i="1"/>
  <c r="O38" i="1"/>
  <c r="B39" i="1"/>
  <c r="D39" i="1"/>
  <c r="G39" i="1"/>
  <c r="K39" i="1"/>
  <c r="O39" i="1"/>
  <c r="B40" i="1"/>
  <c r="D40" i="1"/>
  <c r="G40" i="1"/>
  <c r="K40" i="1"/>
  <c r="O40" i="1"/>
  <c r="B41" i="1"/>
  <c r="D41" i="1"/>
  <c r="G41" i="1"/>
  <c r="K41" i="1"/>
  <c r="O41" i="1"/>
  <c r="B42" i="1"/>
  <c r="D42" i="1"/>
  <c r="G42" i="1"/>
  <c r="K42" i="1"/>
  <c r="O42" i="1"/>
  <c r="B43" i="1"/>
  <c r="D43" i="1"/>
  <c r="G43" i="1"/>
  <c r="K43" i="1"/>
  <c r="O43" i="1"/>
  <c r="B44" i="1"/>
  <c r="D44" i="1"/>
  <c r="G44" i="1"/>
  <c r="K44" i="1"/>
  <c r="O44" i="1"/>
  <c r="B45" i="1"/>
  <c r="D45" i="1"/>
  <c r="G45" i="1"/>
  <c r="K45" i="1"/>
  <c r="O45" i="1"/>
  <c r="B46" i="1"/>
  <c r="D46" i="1"/>
  <c r="G46" i="1"/>
  <c r="K46" i="1"/>
  <c r="O46" i="1"/>
  <c r="B47" i="1"/>
  <c r="D47" i="1"/>
  <c r="G47" i="1"/>
  <c r="K47" i="1"/>
  <c r="O47" i="1"/>
  <c r="B48" i="1"/>
  <c r="D48" i="1"/>
  <c r="G48" i="1"/>
  <c r="K48" i="1"/>
  <c r="O48" i="1"/>
  <c r="B49" i="1"/>
  <c r="D49" i="1"/>
  <c r="G49" i="1"/>
  <c r="K49" i="1"/>
  <c r="O49" i="1"/>
  <c r="B50" i="1"/>
  <c r="D50" i="1"/>
  <c r="G50" i="1"/>
  <c r="K50" i="1"/>
  <c r="O50" i="1"/>
  <c r="B51" i="1"/>
  <c r="D51" i="1"/>
  <c r="G51" i="1"/>
  <c r="K51" i="1"/>
  <c r="O51" i="1"/>
  <c r="B52" i="1"/>
  <c r="D52" i="1"/>
  <c r="G52" i="1"/>
  <c r="K52" i="1"/>
  <c r="O52" i="1"/>
  <c r="B53" i="1"/>
  <c r="D53" i="1"/>
  <c r="G53" i="1"/>
  <c r="K53" i="1"/>
  <c r="O53" i="1"/>
  <c r="B54" i="1"/>
  <c r="D54" i="1"/>
  <c r="G54" i="1"/>
  <c r="K54" i="1"/>
  <c r="O54" i="1"/>
  <c r="B55" i="1"/>
  <c r="D55" i="1"/>
  <c r="G55" i="1"/>
  <c r="K55" i="1"/>
  <c r="O55" i="1"/>
  <c r="B56" i="1"/>
  <c r="D56" i="1"/>
  <c r="G56" i="1"/>
  <c r="K56" i="1"/>
  <c r="O56" i="1"/>
  <c r="B57" i="1"/>
  <c r="D57" i="1"/>
  <c r="G57" i="1"/>
  <c r="K57" i="1"/>
  <c r="O57" i="1"/>
  <c r="B58" i="1"/>
  <c r="D58" i="1"/>
  <c r="G58" i="1"/>
  <c r="K58" i="1"/>
  <c r="O58" i="1"/>
  <c r="B59" i="1"/>
  <c r="D59" i="1"/>
  <c r="G59" i="1"/>
  <c r="K59" i="1"/>
  <c r="O59" i="1"/>
  <c r="B60" i="1"/>
  <c r="D60" i="1"/>
  <c r="G60" i="1"/>
  <c r="K60" i="1"/>
  <c r="O60" i="1"/>
  <c r="B61" i="1"/>
  <c r="D61" i="1"/>
  <c r="G61" i="1"/>
  <c r="K61" i="1"/>
  <c r="O61" i="1"/>
  <c r="B62" i="1"/>
  <c r="D62" i="1"/>
  <c r="G62" i="1"/>
  <c r="K62" i="1"/>
  <c r="O62" i="1"/>
  <c r="B63" i="1"/>
  <c r="D63" i="1"/>
  <c r="G63" i="1"/>
  <c r="K63" i="1"/>
  <c r="O63" i="1"/>
  <c r="B64" i="1"/>
  <c r="D64" i="1"/>
  <c r="G64" i="1"/>
  <c r="K64" i="1"/>
  <c r="O64" i="1"/>
  <c r="B65" i="1"/>
  <c r="D65" i="1"/>
  <c r="G65" i="1"/>
  <c r="K65" i="1"/>
  <c r="O65" i="1"/>
  <c r="B66" i="1"/>
  <c r="D66" i="1"/>
  <c r="G66" i="1"/>
  <c r="K66" i="1"/>
  <c r="O66" i="1"/>
  <c r="B67" i="1"/>
  <c r="D67" i="1"/>
  <c r="G67" i="1"/>
  <c r="K67" i="1"/>
  <c r="O67" i="1"/>
  <c r="B68" i="1"/>
  <c r="D68" i="1"/>
  <c r="G68" i="1"/>
  <c r="K68" i="1"/>
  <c r="O68" i="1"/>
  <c r="B69" i="1"/>
  <c r="D69" i="1"/>
  <c r="G69" i="1"/>
  <c r="K69" i="1"/>
  <c r="O69" i="1"/>
  <c r="B70" i="1"/>
  <c r="D70" i="1"/>
  <c r="G70" i="1"/>
  <c r="K70" i="1"/>
  <c r="O70" i="1"/>
  <c r="B71" i="1"/>
  <c r="D71" i="1"/>
  <c r="G71" i="1"/>
  <c r="K71" i="1"/>
  <c r="O71" i="1"/>
  <c r="B72" i="1"/>
  <c r="D72" i="1"/>
  <c r="G72" i="1"/>
  <c r="K72" i="1"/>
  <c r="O72" i="1"/>
  <c r="B73" i="1"/>
  <c r="D73" i="1"/>
  <c r="G73" i="1"/>
  <c r="K73" i="1"/>
  <c r="O73" i="1"/>
  <c r="B74" i="1"/>
  <c r="D74" i="1"/>
  <c r="G74" i="1"/>
  <c r="K74" i="1"/>
  <c r="O74" i="1"/>
  <c r="B75" i="1"/>
  <c r="D75" i="1"/>
  <c r="G75" i="1"/>
  <c r="K75" i="1"/>
  <c r="O75" i="1"/>
  <c r="B76" i="1"/>
  <c r="D76" i="1"/>
  <c r="G76" i="1"/>
  <c r="K76" i="1"/>
  <c r="O76" i="1"/>
  <c r="B77" i="1"/>
  <c r="D77" i="1"/>
  <c r="G77" i="1"/>
  <c r="K77" i="1"/>
  <c r="O77" i="1"/>
  <c r="B78" i="1"/>
  <c r="D78" i="1"/>
  <c r="G78" i="1"/>
  <c r="K78" i="1"/>
  <c r="O78" i="1"/>
  <c r="B79" i="1"/>
  <c r="D79" i="1"/>
  <c r="G79" i="1"/>
  <c r="K79" i="1"/>
  <c r="O79" i="1"/>
  <c r="B80" i="1"/>
  <c r="D80" i="1"/>
  <c r="G80" i="1"/>
  <c r="K80" i="1"/>
  <c r="O80" i="1"/>
  <c r="B81" i="1"/>
  <c r="D81" i="1"/>
  <c r="G81" i="1"/>
  <c r="K81" i="1"/>
  <c r="O81" i="1"/>
  <c r="B82" i="1"/>
  <c r="D82" i="1"/>
  <c r="G82" i="1"/>
  <c r="K82" i="1"/>
  <c r="O82" i="1"/>
  <c r="B83" i="1"/>
  <c r="D83" i="1"/>
  <c r="G83" i="1"/>
  <c r="K83" i="1"/>
  <c r="O83" i="1"/>
  <c r="B84" i="1"/>
  <c r="D84" i="1"/>
  <c r="G84" i="1"/>
  <c r="K84" i="1"/>
  <c r="O84" i="1"/>
  <c r="B85" i="1"/>
  <c r="D85" i="1"/>
  <c r="G85" i="1"/>
  <c r="K85" i="1"/>
  <c r="O85" i="1"/>
  <c r="B86" i="1"/>
  <c r="D86" i="1"/>
  <c r="G86" i="1"/>
  <c r="K86" i="1"/>
  <c r="O86" i="1"/>
  <c r="B87" i="1"/>
  <c r="D87" i="1"/>
  <c r="G87" i="1"/>
  <c r="K87" i="1"/>
  <c r="O87" i="1"/>
  <c r="B88" i="1"/>
  <c r="D88" i="1"/>
  <c r="G88" i="1"/>
  <c r="K88" i="1"/>
  <c r="O88" i="1"/>
  <c r="B89" i="1"/>
  <c r="D89" i="1"/>
  <c r="G89" i="1"/>
  <c r="K89" i="1"/>
  <c r="O89" i="1"/>
  <c r="B90" i="1"/>
  <c r="D90" i="1"/>
  <c r="G90" i="1"/>
  <c r="K90" i="1"/>
  <c r="O90" i="1"/>
  <c r="B91" i="1"/>
  <c r="D91" i="1"/>
  <c r="G91" i="1"/>
  <c r="K91" i="1"/>
  <c r="O91" i="1"/>
  <c r="B92" i="1"/>
  <c r="D92" i="1"/>
  <c r="G92" i="1"/>
  <c r="K92" i="1"/>
  <c r="O92" i="1"/>
  <c r="B93" i="1"/>
  <c r="D93" i="1"/>
  <c r="G93" i="1"/>
  <c r="K93" i="1"/>
  <c r="O93" i="1"/>
  <c r="B94" i="1"/>
  <c r="D94" i="1"/>
  <c r="G94" i="1"/>
  <c r="K94" i="1"/>
  <c r="O94" i="1"/>
  <c r="B95" i="1"/>
  <c r="D95" i="1"/>
  <c r="G95" i="1"/>
  <c r="K95" i="1"/>
  <c r="O95" i="1"/>
  <c r="B96" i="1"/>
  <c r="D96" i="1"/>
  <c r="G96" i="1"/>
  <c r="K96" i="1"/>
  <c r="O96" i="1"/>
  <c r="B97" i="1"/>
  <c r="D97" i="1"/>
  <c r="G97" i="1"/>
  <c r="K97" i="1"/>
  <c r="O97" i="1"/>
  <c r="B98" i="1"/>
  <c r="G98" i="1"/>
  <c r="K98" i="1"/>
  <c r="O98" i="1"/>
  <c r="B99" i="1"/>
  <c r="D99" i="1"/>
  <c r="G99" i="1"/>
  <c r="K99" i="1"/>
  <c r="O99" i="1"/>
  <c r="B100" i="1"/>
  <c r="D100" i="1"/>
  <c r="G100" i="1"/>
  <c r="K100" i="1"/>
  <c r="O100" i="1"/>
  <c r="B101" i="1"/>
  <c r="D101" i="1"/>
  <c r="G101" i="1"/>
  <c r="K101" i="1"/>
  <c r="O101" i="1"/>
  <c r="B102" i="1"/>
  <c r="D102" i="1"/>
  <c r="G102" i="1"/>
  <c r="K102" i="1"/>
  <c r="O102" i="1"/>
  <c r="B103" i="1"/>
  <c r="D103" i="1"/>
  <c r="G103" i="1"/>
  <c r="K103" i="1"/>
  <c r="O103" i="1"/>
  <c r="B104" i="1"/>
  <c r="D104" i="1"/>
  <c r="G104" i="1"/>
  <c r="K104" i="1"/>
  <c r="O104" i="1"/>
  <c r="B105" i="1"/>
  <c r="D105" i="1"/>
  <c r="G105" i="1"/>
  <c r="K105" i="1"/>
  <c r="O105" i="1"/>
  <c r="B106" i="1"/>
  <c r="D106" i="1"/>
  <c r="G106" i="1"/>
  <c r="K106" i="1"/>
  <c r="O106" i="1"/>
  <c r="B107" i="1"/>
  <c r="D107" i="1"/>
  <c r="G107" i="1"/>
  <c r="K107" i="1"/>
  <c r="O107" i="1"/>
  <c r="B108" i="1"/>
  <c r="D108" i="1"/>
  <c r="G108" i="1"/>
  <c r="K108" i="1"/>
  <c r="O108" i="1"/>
  <c r="B109" i="1"/>
  <c r="D109" i="1"/>
  <c r="G109" i="1"/>
  <c r="K109" i="1"/>
  <c r="O109" i="1"/>
  <c r="B110" i="1"/>
  <c r="D110" i="1"/>
  <c r="G110" i="1"/>
  <c r="K110" i="1"/>
  <c r="O110" i="1"/>
  <c r="B111" i="1"/>
  <c r="D111" i="1"/>
  <c r="G111" i="1"/>
  <c r="K111" i="1"/>
  <c r="O111" i="1"/>
  <c r="B112" i="1"/>
  <c r="D112" i="1"/>
  <c r="G112" i="1"/>
  <c r="K112" i="1"/>
  <c r="O112" i="1"/>
  <c r="B113" i="1"/>
  <c r="D113" i="1"/>
  <c r="G113" i="1"/>
  <c r="K113" i="1"/>
  <c r="O113" i="1"/>
  <c r="B114" i="1"/>
  <c r="D114" i="1"/>
  <c r="G114" i="1"/>
  <c r="K114" i="1"/>
  <c r="O114" i="1"/>
  <c r="B115" i="1"/>
  <c r="D115" i="1"/>
  <c r="G115" i="1"/>
  <c r="K115" i="1"/>
  <c r="O115" i="1"/>
  <c r="B116" i="1"/>
  <c r="D116" i="1"/>
  <c r="G116" i="1"/>
  <c r="K116" i="1"/>
  <c r="O116" i="1"/>
  <c r="B117" i="1"/>
  <c r="D117" i="1"/>
  <c r="G117" i="1"/>
  <c r="K117" i="1"/>
  <c r="O117" i="1"/>
  <c r="D118" i="1"/>
  <c r="G118" i="1"/>
  <c r="K118" i="1"/>
  <c r="O118" i="1"/>
  <c r="B119" i="1"/>
  <c r="D119" i="1"/>
  <c r="G119" i="1"/>
  <c r="K119" i="1"/>
  <c r="O119" i="1"/>
  <c r="B120" i="1"/>
  <c r="D120" i="1"/>
  <c r="G120" i="1"/>
  <c r="K120" i="1"/>
  <c r="O120" i="1"/>
  <c r="B121" i="1"/>
  <c r="D121" i="1"/>
  <c r="G121" i="1"/>
  <c r="K121" i="1"/>
  <c r="O121" i="1"/>
  <c r="B122" i="1"/>
  <c r="D122" i="1"/>
  <c r="G122" i="1"/>
  <c r="K122" i="1"/>
  <c r="O122" i="1"/>
  <c r="B123" i="1"/>
  <c r="D123" i="1"/>
  <c r="G123" i="1"/>
  <c r="K123" i="1"/>
  <c r="O123" i="1"/>
  <c r="B124" i="1"/>
  <c r="D124" i="1"/>
  <c r="G124" i="1"/>
  <c r="K124" i="1"/>
  <c r="O124" i="1"/>
  <c r="B125" i="1"/>
  <c r="D125" i="1"/>
  <c r="G125" i="1"/>
  <c r="K125" i="1"/>
  <c r="O125" i="1"/>
  <c r="B126" i="1"/>
  <c r="D126" i="1"/>
  <c r="G126" i="1"/>
  <c r="K126" i="1"/>
  <c r="O126" i="1"/>
  <c r="B127" i="1"/>
  <c r="D127" i="1"/>
  <c r="G127" i="1"/>
  <c r="K127" i="1"/>
  <c r="O127" i="1"/>
  <c r="B128" i="1"/>
  <c r="D128" i="1"/>
  <c r="G128" i="1"/>
  <c r="K128" i="1"/>
  <c r="O128" i="1"/>
  <c r="B129" i="1"/>
  <c r="D129" i="1"/>
  <c r="G129" i="1"/>
  <c r="K129" i="1"/>
  <c r="O129" i="1"/>
  <c r="B130" i="1"/>
  <c r="D130" i="1"/>
  <c r="G130" i="1"/>
  <c r="K130" i="1"/>
  <c r="O130" i="1"/>
  <c r="B131" i="1"/>
  <c r="D131" i="1"/>
  <c r="G131" i="1"/>
  <c r="K131" i="1"/>
  <c r="O131" i="1"/>
  <c r="B132" i="1"/>
  <c r="D132" i="1"/>
  <c r="G132" i="1"/>
  <c r="K132" i="1"/>
  <c r="O132" i="1"/>
  <c r="B133" i="1"/>
  <c r="D133" i="1"/>
  <c r="G133" i="1"/>
  <c r="K133" i="1"/>
  <c r="O133" i="1"/>
  <c r="B134" i="1"/>
  <c r="D134" i="1"/>
  <c r="G134" i="1"/>
  <c r="K134" i="1"/>
  <c r="O134" i="1"/>
  <c r="B135" i="1"/>
  <c r="D135" i="1"/>
  <c r="G135" i="1"/>
  <c r="K135" i="1"/>
  <c r="O135" i="1"/>
  <c r="B136" i="1"/>
  <c r="D136" i="1"/>
  <c r="G136" i="1"/>
  <c r="K136" i="1"/>
  <c r="O136" i="1"/>
  <c r="B137" i="1"/>
  <c r="D137" i="1"/>
  <c r="G137" i="1"/>
  <c r="K137" i="1"/>
  <c r="O137" i="1"/>
  <c r="B138" i="1"/>
  <c r="D138" i="1"/>
  <c r="G138" i="1"/>
  <c r="K138" i="1"/>
  <c r="O138" i="1"/>
  <c r="B139" i="1"/>
  <c r="D139" i="1"/>
  <c r="G139" i="1"/>
  <c r="K139" i="1"/>
  <c r="O139" i="1"/>
  <c r="B140" i="1"/>
  <c r="D140" i="1"/>
  <c r="G140" i="1"/>
  <c r="K140" i="1"/>
  <c r="O140" i="1"/>
  <c r="B141" i="1"/>
  <c r="D141" i="1"/>
  <c r="G141" i="1"/>
  <c r="K141" i="1"/>
  <c r="O141" i="1"/>
  <c r="B142" i="1"/>
  <c r="D142" i="1"/>
  <c r="G142" i="1"/>
  <c r="K142" i="1"/>
  <c r="O142" i="1"/>
  <c r="B143" i="1"/>
  <c r="D143" i="1"/>
  <c r="G143" i="1"/>
  <c r="K143" i="1"/>
  <c r="O143" i="1"/>
  <c r="B144" i="1"/>
  <c r="D144" i="1"/>
  <c r="G144" i="1"/>
  <c r="K144" i="1"/>
  <c r="O144" i="1"/>
  <c r="B145" i="1"/>
  <c r="D145" i="1"/>
  <c r="G145" i="1"/>
  <c r="K145" i="1"/>
  <c r="O145" i="1"/>
  <c r="B146" i="1"/>
  <c r="D146" i="1"/>
  <c r="G146" i="1"/>
  <c r="K146" i="1"/>
  <c r="O146" i="1"/>
  <c r="B147" i="1"/>
  <c r="D147" i="1"/>
  <c r="G147" i="1"/>
  <c r="K147" i="1"/>
  <c r="O147" i="1"/>
  <c r="B148" i="1"/>
  <c r="D148" i="1"/>
  <c r="G148" i="1"/>
  <c r="K148" i="1"/>
  <c r="O148" i="1"/>
  <c r="B149" i="1"/>
  <c r="D149" i="1"/>
  <c r="G149" i="1"/>
  <c r="K149" i="1"/>
  <c r="O149" i="1"/>
  <c r="B150" i="1"/>
  <c r="D150" i="1"/>
  <c r="G150" i="1"/>
  <c r="K150" i="1"/>
  <c r="O150" i="1"/>
  <c r="B151" i="1"/>
  <c r="D151" i="1"/>
  <c r="G151" i="1"/>
  <c r="K151" i="1"/>
  <c r="O151" i="1"/>
  <c r="B152" i="1"/>
  <c r="D152" i="1"/>
  <c r="G152" i="1"/>
  <c r="K152" i="1"/>
  <c r="O152" i="1"/>
  <c r="B153" i="1"/>
  <c r="D153" i="1"/>
  <c r="G153" i="1"/>
  <c r="K153" i="1"/>
  <c r="O153" i="1"/>
  <c r="B154" i="1"/>
  <c r="D154" i="1"/>
  <c r="G154" i="1"/>
  <c r="K154" i="1"/>
  <c r="O154" i="1"/>
  <c r="B155" i="1"/>
  <c r="D155" i="1"/>
  <c r="G155" i="1"/>
  <c r="K155" i="1"/>
  <c r="O155" i="1"/>
  <c r="B156" i="1"/>
  <c r="D156" i="1"/>
  <c r="G156" i="1"/>
  <c r="K156" i="1"/>
  <c r="O156" i="1"/>
  <c r="B157" i="1"/>
  <c r="D157" i="1"/>
  <c r="G157" i="1"/>
  <c r="K157" i="1"/>
  <c r="O157" i="1"/>
  <c r="B158" i="1"/>
  <c r="D158" i="1"/>
  <c r="G158" i="1"/>
  <c r="K158" i="1"/>
  <c r="O158" i="1"/>
  <c r="B159" i="1"/>
  <c r="D159" i="1"/>
  <c r="G159" i="1"/>
  <c r="K159" i="1"/>
  <c r="O159" i="1"/>
  <c r="B160" i="1"/>
  <c r="D160" i="1"/>
  <c r="G160" i="1"/>
  <c r="K160" i="1"/>
  <c r="O160" i="1"/>
  <c r="B161" i="1"/>
  <c r="D161" i="1"/>
  <c r="G161" i="1"/>
  <c r="K161" i="1"/>
  <c r="O161" i="1"/>
  <c r="B162" i="1"/>
  <c r="D162" i="1"/>
  <c r="G162" i="1"/>
  <c r="K162" i="1"/>
  <c r="O162" i="1"/>
  <c r="B163" i="1"/>
  <c r="D163" i="1"/>
  <c r="G163" i="1"/>
  <c r="K163" i="1"/>
  <c r="O163" i="1"/>
  <c r="B164" i="1"/>
  <c r="D164" i="1"/>
  <c r="G164" i="1"/>
  <c r="K164" i="1"/>
  <c r="O164" i="1"/>
  <c r="B165" i="1"/>
  <c r="D165" i="1"/>
  <c r="G165" i="1"/>
  <c r="K165" i="1"/>
  <c r="O165" i="1"/>
  <c r="B166" i="1"/>
  <c r="D166" i="1"/>
  <c r="G166" i="1"/>
  <c r="K166" i="1"/>
  <c r="O166" i="1"/>
  <c r="B167" i="1"/>
  <c r="D167" i="1"/>
  <c r="G167" i="1"/>
  <c r="K167" i="1"/>
  <c r="O167" i="1"/>
  <c r="B168" i="1"/>
  <c r="D168" i="1"/>
  <c r="G168" i="1"/>
  <c r="K168" i="1"/>
  <c r="O168" i="1"/>
  <c r="B169" i="1"/>
  <c r="D169" i="1"/>
  <c r="G169" i="1"/>
  <c r="K169" i="1"/>
  <c r="O169" i="1"/>
  <c r="B170" i="1"/>
  <c r="D170" i="1"/>
  <c r="G170" i="1"/>
  <c r="K170" i="1"/>
  <c r="O170" i="1"/>
  <c r="B171" i="1"/>
  <c r="D171" i="1"/>
  <c r="G171" i="1"/>
  <c r="K171" i="1"/>
  <c r="O171" i="1"/>
  <c r="B172" i="1"/>
  <c r="D172" i="1"/>
  <c r="G172" i="1"/>
  <c r="K172" i="1"/>
  <c r="O172" i="1"/>
  <c r="B173" i="1"/>
  <c r="D173" i="1"/>
  <c r="G173" i="1"/>
  <c r="K173" i="1"/>
  <c r="O173" i="1"/>
  <c r="B174" i="1"/>
  <c r="D174" i="1"/>
  <c r="G174" i="1"/>
  <c r="K174" i="1"/>
  <c r="O174" i="1"/>
  <c r="B175" i="1"/>
  <c r="D175" i="1"/>
  <c r="G175" i="1"/>
  <c r="K175" i="1"/>
  <c r="O175" i="1"/>
  <c r="B176" i="1"/>
  <c r="D176" i="1"/>
  <c r="G176" i="1"/>
  <c r="K176" i="1"/>
  <c r="O176" i="1"/>
  <c r="B177" i="1"/>
  <c r="D177" i="1"/>
  <c r="G177" i="1"/>
  <c r="K177" i="1"/>
  <c r="O177" i="1"/>
  <c r="B178" i="1"/>
  <c r="D178" i="1"/>
  <c r="G178" i="1"/>
  <c r="K178" i="1"/>
  <c r="O178" i="1"/>
  <c r="R178" i="1"/>
  <c r="B179" i="1"/>
  <c r="D179" i="1"/>
  <c r="G179" i="1"/>
  <c r="K179" i="1"/>
  <c r="O179" i="1"/>
  <c r="R179" i="1"/>
  <c r="B180" i="1"/>
  <c r="D180" i="1"/>
  <c r="G180" i="1"/>
  <c r="K180" i="1"/>
  <c r="O180" i="1"/>
  <c r="R180" i="1"/>
  <c r="B181" i="1"/>
  <c r="D181" i="1"/>
  <c r="G181" i="1"/>
  <c r="K181" i="1"/>
  <c r="O181" i="1"/>
  <c r="R181" i="1"/>
  <c r="B182" i="1"/>
  <c r="D182" i="1"/>
  <c r="G182" i="1"/>
  <c r="K182" i="1"/>
  <c r="O182" i="1"/>
  <c r="R182" i="1"/>
  <c r="B183" i="1"/>
  <c r="D183" i="1"/>
  <c r="G183" i="1"/>
  <c r="K183" i="1"/>
  <c r="O183" i="1"/>
  <c r="R183" i="1"/>
  <c r="B184" i="1"/>
  <c r="D184" i="1"/>
  <c r="G184" i="1"/>
  <c r="K184" i="1"/>
  <c r="O184" i="1"/>
  <c r="R184" i="1"/>
  <c r="B185" i="1"/>
  <c r="D185" i="1"/>
  <c r="G185" i="1"/>
  <c r="K185" i="1"/>
  <c r="O185" i="1"/>
  <c r="R185" i="1"/>
  <c r="B186" i="1"/>
  <c r="D186" i="1"/>
  <c r="G186" i="1"/>
  <c r="K186" i="1"/>
  <c r="O186" i="1"/>
  <c r="R186" i="1"/>
  <c r="B187" i="1"/>
  <c r="D187" i="1"/>
  <c r="G187" i="1"/>
  <c r="K187" i="1"/>
  <c r="O187" i="1"/>
  <c r="R187" i="1"/>
  <c r="B188" i="1"/>
  <c r="D188" i="1"/>
  <c r="G188" i="1"/>
  <c r="K188" i="1"/>
  <c r="O188" i="1"/>
  <c r="R188" i="1"/>
  <c r="B189" i="1"/>
  <c r="D189" i="1"/>
  <c r="G189" i="1"/>
  <c r="K189" i="1"/>
  <c r="O189" i="1"/>
  <c r="R189" i="1"/>
  <c r="B190" i="1"/>
  <c r="D190" i="1"/>
  <c r="G190" i="1"/>
  <c r="K190" i="1"/>
  <c r="O190" i="1"/>
  <c r="R190" i="1"/>
  <c r="B191" i="1"/>
  <c r="D191" i="1"/>
  <c r="G191" i="1"/>
  <c r="K191" i="1"/>
  <c r="O191" i="1"/>
  <c r="R191" i="1"/>
  <c r="B192" i="1"/>
  <c r="D192" i="1"/>
  <c r="G192" i="1"/>
  <c r="K192" i="1"/>
  <c r="O192" i="1"/>
  <c r="R192" i="1"/>
  <c r="B193" i="1"/>
  <c r="D193" i="1"/>
  <c r="G193" i="1"/>
  <c r="K193" i="1"/>
  <c r="O193" i="1"/>
  <c r="R193" i="1"/>
  <c r="B194" i="1"/>
  <c r="D194" i="1"/>
  <c r="G194" i="1"/>
  <c r="K194" i="1"/>
  <c r="O194" i="1"/>
  <c r="R194" i="1"/>
  <c r="B195" i="1"/>
  <c r="D195" i="1"/>
  <c r="G195" i="1"/>
  <c r="K195" i="1"/>
  <c r="L195" i="1" s="1"/>
  <c r="O195" i="1"/>
  <c r="R195" i="1"/>
  <c r="B196" i="1"/>
  <c r="D196" i="1"/>
  <c r="G196" i="1"/>
  <c r="K196" i="1"/>
  <c r="L196" i="1" s="1"/>
  <c r="O196" i="1"/>
  <c r="R196" i="1"/>
  <c r="B197" i="1"/>
  <c r="D197" i="1"/>
  <c r="G197" i="1"/>
  <c r="K197" i="1"/>
  <c r="L197" i="1" s="1"/>
  <c r="O197" i="1"/>
  <c r="R197" i="1"/>
  <c r="B198" i="1"/>
  <c r="D198" i="1"/>
  <c r="G198" i="1"/>
  <c r="K198" i="1"/>
  <c r="L198" i="1" s="1"/>
  <c r="O198" i="1"/>
  <c r="R198" i="1"/>
  <c r="B199" i="1"/>
  <c r="D199" i="1"/>
  <c r="G199" i="1"/>
  <c r="K199" i="1"/>
  <c r="L199" i="1" s="1"/>
  <c r="O199" i="1"/>
  <c r="R199" i="1"/>
  <c r="B200" i="1"/>
  <c r="D200" i="1"/>
  <c r="G200" i="1"/>
  <c r="K200" i="1"/>
  <c r="L200" i="1" s="1"/>
  <c r="O200" i="1"/>
  <c r="R200" i="1"/>
  <c r="B201" i="1"/>
  <c r="D201" i="1"/>
  <c r="G201" i="1"/>
  <c r="K201" i="1"/>
  <c r="L201" i="1" s="1"/>
  <c r="O201" i="1"/>
  <c r="R201" i="1"/>
  <c r="B202" i="1"/>
  <c r="D202" i="1"/>
  <c r="G202" i="1"/>
  <c r="K202" i="1"/>
  <c r="L202" i="1" s="1"/>
  <c r="O202" i="1"/>
  <c r="R202" i="1"/>
  <c r="B203" i="1"/>
  <c r="D203" i="1"/>
  <c r="G203" i="1"/>
  <c r="K203" i="1"/>
  <c r="L203" i="1" s="1"/>
  <c r="O203" i="1"/>
  <c r="R203" i="1"/>
  <c r="B204" i="1"/>
  <c r="D204" i="1"/>
  <c r="G204" i="1"/>
  <c r="K204" i="1"/>
  <c r="L204" i="1" s="1"/>
  <c r="O204" i="1"/>
  <c r="R204" i="1"/>
  <c r="B205" i="1"/>
  <c r="D205" i="1"/>
  <c r="G205" i="1"/>
  <c r="K205" i="1"/>
  <c r="L205" i="1" s="1"/>
  <c r="O205" i="1"/>
  <c r="R205" i="1"/>
  <c r="B206" i="1"/>
  <c r="D206" i="1"/>
  <c r="G206" i="1"/>
  <c r="K206" i="1"/>
  <c r="L206" i="1" s="1"/>
  <c r="O206" i="1"/>
  <c r="R206" i="1"/>
  <c r="B207" i="1"/>
  <c r="D207" i="1"/>
  <c r="G207" i="1"/>
  <c r="K207" i="1"/>
  <c r="L207" i="1" s="1"/>
  <c r="O207" i="1"/>
  <c r="R207" i="1"/>
  <c r="B208" i="1"/>
  <c r="D208" i="1"/>
  <c r="G208" i="1"/>
  <c r="K208" i="1"/>
  <c r="L208" i="1" s="1"/>
  <c r="O208" i="1"/>
  <c r="R208" i="1"/>
  <c r="B209" i="1"/>
  <c r="D209" i="1"/>
  <c r="G209" i="1"/>
  <c r="K209" i="1"/>
  <c r="L209" i="1" s="1"/>
  <c r="O209" i="1"/>
  <c r="R209" i="1"/>
  <c r="B210" i="1"/>
  <c r="D210" i="1"/>
  <c r="G210" i="1"/>
  <c r="K210" i="1"/>
  <c r="L210" i="1" s="1"/>
  <c r="O210" i="1"/>
  <c r="R210" i="1"/>
  <c r="B211" i="1"/>
  <c r="D211" i="1"/>
  <c r="G211" i="1"/>
  <c r="K211" i="1"/>
  <c r="L211" i="1" s="1"/>
  <c r="O211" i="1"/>
  <c r="R211" i="1"/>
  <c r="B212" i="1"/>
  <c r="D212" i="1"/>
  <c r="G212" i="1"/>
  <c r="K212" i="1"/>
  <c r="L212" i="1" s="1"/>
  <c r="O212" i="1"/>
  <c r="R212" i="1"/>
  <c r="B213" i="1"/>
  <c r="D213" i="1"/>
  <c r="G213" i="1"/>
  <c r="K213" i="1"/>
  <c r="L213" i="1" s="1"/>
  <c r="O213" i="1"/>
  <c r="R213" i="1"/>
  <c r="B214" i="1"/>
  <c r="D214" i="1"/>
  <c r="G214" i="1"/>
  <c r="K214" i="1"/>
  <c r="L214" i="1" s="1"/>
  <c r="O214" i="1"/>
  <c r="R214" i="1"/>
  <c r="B215" i="1"/>
  <c r="D215" i="1"/>
  <c r="G215" i="1"/>
  <c r="K215" i="1"/>
  <c r="L215" i="1" s="1"/>
  <c r="O215" i="1"/>
  <c r="R215" i="1"/>
  <c r="B216" i="1"/>
  <c r="D216" i="1"/>
  <c r="G216" i="1"/>
  <c r="K216" i="1"/>
  <c r="L216" i="1" s="1"/>
  <c r="O216" i="1"/>
  <c r="R216" i="1"/>
  <c r="B217" i="1"/>
  <c r="D217" i="1"/>
  <c r="G217" i="1"/>
  <c r="K217" i="1"/>
  <c r="L217" i="1" s="1"/>
  <c r="O217" i="1"/>
  <c r="R217" i="1"/>
  <c r="B218" i="1"/>
  <c r="D218" i="1"/>
  <c r="G218" i="1"/>
  <c r="K218" i="1"/>
  <c r="L218" i="1" s="1"/>
  <c r="O218" i="1"/>
  <c r="R218" i="1"/>
  <c r="B219" i="1"/>
  <c r="D219" i="1"/>
  <c r="G219" i="1"/>
  <c r="K219" i="1"/>
  <c r="L219" i="1" s="1"/>
  <c r="O219" i="1"/>
  <c r="R219" i="1"/>
  <c r="B220" i="1"/>
  <c r="D220" i="1"/>
  <c r="G220" i="1"/>
  <c r="K220" i="1"/>
  <c r="L220" i="1" s="1"/>
  <c r="O220" i="1"/>
  <c r="R220" i="1"/>
  <c r="B221" i="1"/>
  <c r="D221" i="1"/>
  <c r="G221" i="1"/>
  <c r="K221" i="1"/>
  <c r="L221" i="1" s="1"/>
  <c r="O221" i="1"/>
  <c r="R221" i="1"/>
  <c r="B222" i="1"/>
  <c r="D222" i="1"/>
  <c r="G222" i="1"/>
  <c r="K222" i="1"/>
  <c r="L222" i="1" s="1"/>
  <c r="O222" i="1"/>
  <c r="R222" i="1"/>
  <c r="B223" i="1"/>
  <c r="D223" i="1"/>
  <c r="G223" i="1"/>
  <c r="K223" i="1"/>
  <c r="L223" i="1" s="1"/>
  <c r="O223" i="1"/>
  <c r="R223" i="1"/>
  <c r="B224" i="1"/>
  <c r="D224" i="1"/>
  <c r="G224" i="1"/>
  <c r="K224" i="1"/>
  <c r="L224" i="1" s="1"/>
  <c r="O224" i="1"/>
  <c r="R224" i="1"/>
  <c r="B225" i="1"/>
  <c r="D225" i="1"/>
  <c r="G225" i="1"/>
  <c r="K225" i="1"/>
  <c r="L225" i="1" s="1"/>
  <c r="O225" i="1"/>
  <c r="R225" i="1"/>
  <c r="B226" i="1"/>
  <c r="D226" i="1"/>
  <c r="G226" i="1"/>
  <c r="K226" i="1"/>
  <c r="L226" i="1" s="1"/>
  <c r="O226" i="1"/>
  <c r="R226" i="1"/>
  <c r="B227" i="1"/>
  <c r="D227" i="1"/>
  <c r="G227" i="1"/>
  <c r="K227" i="1"/>
  <c r="L227" i="1" s="1"/>
  <c r="O227" i="1"/>
  <c r="R227" i="1"/>
  <c r="B228" i="1"/>
  <c r="D228" i="1"/>
  <c r="G228" i="1"/>
  <c r="K228" i="1"/>
  <c r="L228" i="1" s="1"/>
  <c r="O228" i="1"/>
  <c r="R228" i="1"/>
  <c r="B229" i="1"/>
  <c r="D229" i="1"/>
  <c r="G229" i="1"/>
  <c r="K229" i="1"/>
  <c r="L229" i="1" s="1"/>
  <c r="O229" i="1"/>
  <c r="R229" i="1"/>
  <c r="B230" i="1"/>
  <c r="D230" i="1"/>
  <c r="G230" i="1"/>
  <c r="K230" i="1"/>
  <c r="L230" i="1" s="1"/>
  <c r="O230" i="1"/>
  <c r="R230" i="1"/>
  <c r="B231" i="1"/>
  <c r="D231" i="1"/>
  <c r="G231" i="1"/>
  <c r="K231" i="1"/>
  <c r="L231" i="1" s="1"/>
  <c r="O231" i="1"/>
  <c r="R231" i="1"/>
  <c r="B232" i="1"/>
  <c r="D232" i="1"/>
  <c r="G232" i="1"/>
  <c r="K232" i="1"/>
  <c r="L232" i="1" s="1"/>
  <c r="O232" i="1"/>
  <c r="R232" i="1"/>
  <c r="B233" i="1"/>
  <c r="D233" i="1"/>
  <c r="G233" i="1"/>
  <c r="K233" i="1"/>
  <c r="L233" i="1" s="1"/>
  <c r="O233" i="1"/>
  <c r="R233" i="1"/>
  <c r="B234" i="1"/>
  <c r="D234" i="1"/>
  <c r="G234" i="1"/>
  <c r="K234" i="1"/>
  <c r="L234" i="1" s="1"/>
  <c r="O234" i="1"/>
  <c r="R234" i="1"/>
  <c r="B235" i="1"/>
  <c r="D235" i="1"/>
  <c r="G235" i="1"/>
  <c r="K235" i="1"/>
  <c r="L235" i="1" s="1"/>
  <c r="O235" i="1"/>
  <c r="R235" i="1"/>
  <c r="B236" i="1"/>
  <c r="D236" i="1"/>
  <c r="G236" i="1"/>
  <c r="K236" i="1"/>
  <c r="L236" i="1" s="1"/>
  <c r="O236" i="1"/>
  <c r="R236" i="1"/>
  <c r="B237" i="1"/>
  <c r="D237" i="1"/>
  <c r="G237" i="1"/>
  <c r="K237" i="1"/>
  <c r="L237" i="1" s="1"/>
  <c r="O237" i="1"/>
  <c r="R237" i="1"/>
  <c r="B238" i="1"/>
  <c r="D238" i="1"/>
  <c r="G238" i="1"/>
  <c r="K238" i="1"/>
  <c r="L238" i="1" s="1"/>
  <c r="O238" i="1"/>
  <c r="R238" i="1"/>
  <c r="B239" i="1"/>
  <c r="D239" i="1"/>
  <c r="G239" i="1"/>
  <c r="K239" i="1"/>
  <c r="L239" i="1" s="1"/>
  <c r="O239" i="1"/>
  <c r="R239" i="1"/>
  <c r="B240" i="1"/>
  <c r="D240" i="1"/>
  <c r="G240" i="1"/>
  <c r="K240" i="1"/>
  <c r="L240" i="1" s="1"/>
  <c r="O240" i="1"/>
  <c r="R240" i="1"/>
  <c r="B241" i="1"/>
  <c r="D241" i="1"/>
  <c r="G241" i="1"/>
  <c r="K241" i="1"/>
  <c r="L241" i="1" s="1"/>
  <c r="O241" i="1"/>
  <c r="R241" i="1"/>
  <c r="B242" i="1"/>
  <c r="D242" i="1"/>
  <c r="G242" i="1"/>
  <c r="K242" i="1"/>
  <c r="L242" i="1" s="1"/>
  <c r="O242" i="1"/>
  <c r="R242" i="1"/>
  <c r="B243" i="1"/>
  <c r="D243" i="1"/>
  <c r="G243" i="1"/>
  <c r="K243" i="1"/>
  <c r="L243" i="1" s="1"/>
  <c r="O243" i="1"/>
  <c r="R243" i="1"/>
  <c r="B244" i="1"/>
  <c r="D244" i="1"/>
  <c r="G244" i="1"/>
  <c r="K244" i="1"/>
  <c r="L244" i="1" s="1"/>
  <c r="O244" i="1"/>
  <c r="R244" i="1"/>
  <c r="B245" i="1"/>
  <c r="D245" i="1"/>
  <c r="G245" i="1"/>
  <c r="K245" i="1"/>
  <c r="L245" i="1" s="1"/>
  <c r="O245" i="1"/>
  <c r="R245" i="1"/>
  <c r="B246" i="1"/>
  <c r="D246" i="1"/>
  <c r="G246" i="1"/>
  <c r="K246" i="1"/>
  <c r="L246" i="1" s="1"/>
  <c r="O246" i="1"/>
  <c r="R246" i="1"/>
  <c r="B247" i="1"/>
  <c r="D247" i="1"/>
  <c r="G247" i="1"/>
  <c r="K247" i="1"/>
  <c r="L247" i="1" s="1"/>
  <c r="O247" i="1"/>
  <c r="R247" i="1"/>
  <c r="B248" i="1"/>
  <c r="D248" i="1"/>
  <c r="G248" i="1"/>
  <c r="K248" i="1"/>
  <c r="L248" i="1" s="1"/>
  <c r="O248" i="1"/>
  <c r="R248" i="1"/>
  <c r="B249" i="1"/>
  <c r="D249" i="1"/>
  <c r="G249" i="1"/>
  <c r="K249" i="1"/>
  <c r="L249" i="1" s="1"/>
  <c r="O249" i="1"/>
  <c r="R249" i="1"/>
  <c r="B250" i="1"/>
  <c r="D250" i="1"/>
  <c r="G250" i="1"/>
  <c r="K250" i="1"/>
  <c r="L250" i="1" s="1"/>
  <c r="O250" i="1"/>
  <c r="R250" i="1"/>
  <c r="B251" i="1"/>
  <c r="D251" i="1"/>
  <c r="G251" i="1"/>
  <c r="K251" i="1"/>
  <c r="L251" i="1" s="1"/>
  <c r="O251" i="1"/>
  <c r="R251" i="1"/>
  <c r="B252" i="1"/>
  <c r="D252" i="1"/>
  <c r="G252" i="1"/>
  <c r="K252" i="1"/>
  <c r="L252" i="1" s="1"/>
  <c r="O252" i="1"/>
  <c r="R252" i="1"/>
  <c r="B253" i="1"/>
  <c r="D253" i="1"/>
  <c r="G253" i="1"/>
  <c r="K253" i="1"/>
  <c r="L253" i="1" s="1"/>
  <c r="O253" i="1"/>
  <c r="R253" i="1"/>
  <c r="B254" i="1"/>
  <c r="D254" i="1"/>
  <c r="G254" i="1"/>
  <c r="K254" i="1"/>
  <c r="L254" i="1" s="1"/>
  <c r="O254" i="1"/>
  <c r="R254" i="1"/>
  <c r="B255" i="1"/>
  <c r="D255" i="1"/>
  <c r="G255" i="1"/>
  <c r="K255" i="1"/>
  <c r="L255" i="1" s="1"/>
  <c r="O255" i="1"/>
  <c r="R255" i="1"/>
  <c r="B256" i="1"/>
  <c r="D256" i="1"/>
  <c r="G256" i="1"/>
  <c r="K256" i="1"/>
  <c r="L256" i="1" s="1"/>
  <c r="O256" i="1"/>
  <c r="R256" i="1"/>
  <c r="B257" i="1"/>
  <c r="D257" i="1"/>
  <c r="G257" i="1"/>
  <c r="K257" i="1"/>
  <c r="L257" i="1" s="1"/>
  <c r="O257" i="1"/>
  <c r="R257" i="1"/>
  <c r="B258" i="1"/>
  <c r="D258" i="1"/>
  <c r="G258" i="1"/>
  <c r="K258" i="1"/>
  <c r="L258" i="1" s="1"/>
  <c r="O258" i="1"/>
  <c r="R258" i="1"/>
  <c r="B259" i="1"/>
  <c r="D259" i="1"/>
  <c r="G259" i="1"/>
  <c r="K259" i="1"/>
  <c r="L259" i="1" s="1"/>
  <c r="O259" i="1"/>
  <c r="R259" i="1"/>
  <c r="B260" i="1"/>
  <c r="D260" i="1"/>
  <c r="G260" i="1"/>
  <c r="K260" i="1"/>
  <c r="L260" i="1" s="1"/>
  <c r="O260" i="1"/>
  <c r="R260" i="1"/>
  <c r="B261" i="1"/>
  <c r="D261" i="1"/>
  <c r="G261" i="1"/>
  <c r="K261" i="1"/>
  <c r="L261" i="1" s="1"/>
  <c r="O261" i="1"/>
  <c r="R261" i="1"/>
  <c r="B262" i="1"/>
  <c r="D262" i="1"/>
  <c r="G262" i="1"/>
  <c r="K262" i="1"/>
  <c r="L262" i="1" s="1"/>
  <c r="O262" i="1"/>
  <c r="R262" i="1"/>
  <c r="B263" i="1"/>
  <c r="D263" i="1"/>
  <c r="G263" i="1"/>
  <c r="K263" i="1"/>
  <c r="L263" i="1" s="1"/>
  <c r="O263" i="1"/>
  <c r="R263" i="1"/>
  <c r="B264" i="1"/>
  <c r="D264" i="1"/>
  <c r="G264" i="1"/>
  <c r="K264" i="1"/>
  <c r="L264" i="1" s="1"/>
  <c r="O264" i="1"/>
  <c r="R264" i="1"/>
  <c r="B265" i="1"/>
  <c r="D265" i="1"/>
  <c r="G265" i="1"/>
  <c r="K265" i="1"/>
  <c r="L265" i="1" s="1"/>
  <c r="O265" i="1"/>
  <c r="R265" i="1"/>
  <c r="B266" i="1"/>
  <c r="D266" i="1"/>
  <c r="G266" i="1"/>
  <c r="K266" i="1"/>
  <c r="L266" i="1" s="1"/>
  <c r="O266" i="1"/>
  <c r="R266" i="1"/>
  <c r="B267" i="1"/>
  <c r="D267" i="1"/>
  <c r="G267" i="1"/>
  <c r="K267" i="1"/>
  <c r="L267" i="1" s="1"/>
  <c r="O267" i="1"/>
  <c r="R267" i="1"/>
  <c r="B268" i="1"/>
  <c r="D268" i="1"/>
  <c r="G268" i="1"/>
  <c r="K268" i="1"/>
  <c r="L268" i="1" s="1"/>
  <c r="O268" i="1"/>
  <c r="R268" i="1"/>
  <c r="B269" i="1"/>
  <c r="D269" i="1"/>
  <c r="G269" i="1"/>
  <c r="K269" i="1"/>
  <c r="L269" i="1" s="1"/>
  <c r="O269" i="1"/>
  <c r="R269" i="1"/>
  <c r="B270" i="1"/>
  <c r="D270" i="1"/>
  <c r="G270" i="1"/>
  <c r="K270" i="1"/>
  <c r="L270" i="1" s="1"/>
  <c r="O270" i="1"/>
  <c r="R270" i="1"/>
  <c r="B271" i="1"/>
  <c r="D271" i="1"/>
  <c r="G271" i="1"/>
  <c r="K271" i="1"/>
  <c r="L271" i="1" s="1"/>
  <c r="O271" i="1"/>
  <c r="R271" i="1"/>
  <c r="B272" i="1"/>
  <c r="D272" i="1"/>
  <c r="G272" i="1"/>
  <c r="K272" i="1"/>
  <c r="L272" i="1" s="1"/>
  <c r="O272" i="1"/>
  <c r="R272" i="1"/>
  <c r="B273" i="1"/>
  <c r="D273" i="1"/>
  <c r="G273" i="1"/>
  <c r="K273" i="1"/>
  <c r="L273" i="1" s="1"/>
  <c r="O273" i="1"/>
  <c r="R273" i="1"/>
  <c r="B274" i="1"/>
  <c r="D274" i="1"/>
  <c r="G274" i="1"/>
  <c r="K274" i="1"/>
  <c r="L274" i="1" s="1"/>
  <c r="O274" i="1"/>
  <c r="R274" i="1"/>
  <c r="B275" i="1"/>
  <c r="D275" i="1"/>
  <c r="G275" i="1"/>
  <c r="K275" i="1"/>
  <c r="L275" i="1" s="1"/>
  <c r="O275" i="1"/>
  <c r="R275" i="1"/>
  <c r="B276" i="1"/>
  <c r="G276" i="1"/>
  <c r="H276" i="1" s="1"/>
  <c r="K276" i="1"/>
  <c r="L276" i="1" s="1"/>
  <c r="U276" i="1"/>
  <c r="X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H274" i="1" l="1"/>
  <c r="H272" i="1"/>
  <c r="H270" i="1"/>
  <c r="H268" i="1"/>
  <c r="H266" i="1"/>
  <c r="H264" i="1"/>
  <c r="H262" i="1"/>
  <c r="H260" i="1"/>
  <c r="H258" i="1"/>
  <c r="H277" i="1"/>
  <c r="H280" i="1"/>
  <c r="H275" i="1"/>
  <c r="H273" i="1"/>
  <c r="H271" i="1"/>
  <c r="H269" i="1"/>
  <c r="H267" i="1"/>
  <c r="H265" i="1"/>
  <c r="H263" i="1"/>
  <c r="H261" i="1"/>
  <c r="H259" i="1"/>
  <c r="H257" i="1"/>
  <c r="H255" i="1"/>
  <c r="H253" i="1"/>
  <c r="H251" i="1"/>
  <c r="H249" i="1"/>
  <c r="H247" i="1"/>
  <c r="H245" i="1"/>
  <c r="H243" i="1"/>
  <c r="H241" i="1"/>
  <c r="H239" i="1"/>
  <c r="H237" i="1"/>
  <c r="H235" i="1"/>
  <c r="H233" i="1"/>
  <c r="H231" i="1"/>
  <c r="H229" i="1"/>
  <c r="H227" i="1"/>
  <c r="H225" i="1"/>
  <c r="H223" i="1"/>
  <c r="H221" i="1"/>
  <c r="H219" i="1"/>
  <c r="H217" i="1"/>
  <c r="H215" i="1"/>
  <c r="H213" i="1"/>
  <c r="H211" i="1"/>
  <c r="H209" i="1"/>
  <c r="H207" i="1"/>
  <c r="H205" i="1"/>
  <c r="H203" i="1"/>
  <c r="H201" i="1"/>
  <c r="H199" i="1"/>
  <c r="H197" i="1"/>
  <c r="H195" i="1"/>
  <c r="H279" i="1"/>
  <c r="H278" i="1"/>
  <c r="H256" i="1"/>
  <c r="H254" i="1"/>
  <c r="H252" i="1"/>
  <c r="H250" i="1"/>
  <c r="H248" i="1"/>
  <c r="H246" i="1"/>
  <c r="H244" i="1"/>
  <c r="H242" i="1"/>
  <c r="H240" i="1"/>
  <c r="H238" i="1"/>
  <c r="H236" i="1"/>
  <c r="H234" i="1"/>
  <c r="H232" i="1"/>
  <c r="H230" i="1"/>
  <c r="H228" i="1"/>
  <c r="H226" i="1"/>
  <c r="H224" i="1"/>
  <c r="H222" i="1"/>
  <c r="H220" i="1"/>
  <c r="H218" i="1"/>
  <c r="H216" i="1"/>
  <c r="H214" i="1"/>
  <c r="H212" i="1"/>
  <c r="H210" i="1"/>
  <c r="H208" i="1"/>
  <c r="H206" i="1"/>
  <c r="H204" i="1"/>
  <c r="H202" i="1"/>
  <c r="H200" i="1"/>
  <c r="H198" i="1"/>
  <c r="H196" i="1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2" i="6"/>
  <c r="E12" i="6" s="1"/>
  <c r="D11" i="6"/>
  <c r="E11" i="6" s="1"/>
  <c r="D10" i="6"/>
  <c r="E10" i="6" s="1"/>
  <c r="D9" i="6"/>
  <c r="E9" i="6" s="1"/>
  <c r="D8" i="6"/>
  <c r="E8" i="6" s="1"/>
</calcChain>
</file>

<file path=xl/sharedStrings.xml><?xml version="1.0" encoding="utf-8"?>
<sst xmlns="http://schemas.openxmlformats.org/spreadsheetml/2006/main" count="1464" uniqueCount="137">
  <si>
    <t>Mamoré 200</t>
  </si>
  <si>
    <t xml:space="preserve">Bela Cintra </t>
  </si>
  <si>
    <t xml:space="preserve">CALDEIRA </t>
  </si>
  <si>
    <t xml:space="preserve">Leitura </t>
  </si>
  <si>
    <t xml:space="preserve">BELA CINTRA </t>
  </si>
  <si>
    <t>Consumo</t>
  </si>
  <si>
    <t xml:space="preserve">Média/por dia </t>
  </si>
  <si>
    <t>145m³</t>
  </si>
  <si>
    <t>233m³</t>
  </si>
  <si>
    <t>266m³</t>
  </si>
  <si>
    <t>79m³</t>
  </si>
  <si>
    <t>140m³</t>
  </si>
  <si>
    <t>20m³</t>
  </si>
  <si>
    <t>136m³</t>
  </si>
  <si>
    <t>16m³</t>
  </si>
  <si>
    <t>Rodolfo M 476</t>
  </si>
  <si>
    <t>Rodolfo M 494</t>
  </si>
  <si>
    <t>72m³</t>
  </si>
  <si>
    <t>62m³</t>
  </si>
  <si>
    <t>64m³</t>
  </si>
  <si>
    <t>M³</t>
  </si>
  <si>
    <t xml:space="preserve">Confirmado pelo BRÁULIO, 5 dias trabalhado até as 18:30, foi ligado a caldeira todos os sábados </t>
  </si>
  <si>
    <t xml:space="preserve">Junho 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</si>
  <si>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</si>
  <si>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</si>
  <si>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</si>
  <si>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</si>
  <si>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</si>
  <si>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</si>
  <si>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</si>
  <si>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</si>
  <si>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</si>
  <si>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</si>
  <si>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</si>
  <si>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Junho</t>
  </si>
  <si>
    <t xml:space="preserve">Maio </t>
  </si>
  <si>
    <t>dom</t>
  </si>
  <si>
    <t>18m³</t>
  </si>
  <si>
    <t>40m³</t>
  </si>
  <si>
    <t>253m³</t>
  </si>
  <si>
    <t>139m³</t>
  </si>
  <si>
    <t xml:space="preserve"> </t>
  </si>
  <si>
    <t>CALDEIRA</t>
  </si>
  <si>
    <t>LEITURA</t>
  </si>
  <si>
    <t>FECHAMENTO</t>
  </si>
  <si>
    <t>MAMORÉ 200</t>
  </si>
  <si>
    <t>RODOLFO MIRANDA 494</t>
  </si>
  <si>
    <t>RODOLFO MIRANDA 476</t>
  </si>
  <si>
    <t>MÊS</t>
  </si>
  <si>
    <t xml:space="preserve">MÊS/CONSUMO </t>
  </si>
  <si>
    <t>BELVEDERE</t>
  </si>
  <si>
    <t>Leitura</t>
  </si>
  <si>
    <t>Média/diária</t>
  </si>
  <si>
    <t>Belvedere</t>
  </si>
  <si>
    <t>19 m³</t>
  </si>
  <si>
    <t>224m³</t>
  </si>
  <si>
    <t>144m³</t>
  </si>
  <si>
    <t>14m³</t>
  </si>
  <si>
    <t xml:space="preserve">  </t>
  </si>
  <si>
    <t>OBS</t>
  </si>
  <si>
    <t xml:space="preserve"> OBSERVAÇÕES </t>
  </si>
  <si>
    <t>DATA</t>
  </si>
  <si>
    <t xml:space="preserve">MÉDIA </t>
  </si>
  <si>
    <t xml:space="preserve"> m³</t>
  </si>
  <si>
    <t>JAN-FEV</t>
  </si>
  <si>
    <t>FEV-MAR</t>
  </si>
  <si>
    <t>MAR-ABR</t>
  </si>
  <si>
    <t>ABR-MAIO</t>
  </si>
  <si>
    <t>DEZ-JAN</t>
  </si>
  <si>
    <t>5.955 L</t>
  </si>
  <si>
    <t>6.145 L</t>
  </si>
  <si>
    <t>3.526 L</t>
  </si>
  <si>
    <t>6.510 L</t>
  </si>
  <si>
    <t>6.577 L</t>
  </si>
  <si>
    <t>MÉDIA DIÁRIA (L)</t>
  </si>
  <si>
    <t>52m³</t>
  </si>
  <si>
    <t>211m³</t>
  </si>
  <si>
    <t>25m³</t>
  </si>
  <si>
    <t>FEC</t>
  </si>
  <si>
    <t>NÍVEL</t>
  </si>
  <si>
    <t>VOLUME</t>
  </si>
  <si>
    <t>NÍVEL CM</t>
  </si>
  <si>
    <t>TOTAL MENSAL</t>
  </si>
  <si>
    <t>AGOSTO</t>
  </si>
  <si>
    <t>SETEMBRO</t>
  </si>
  <si>
    <t>OUTUBRO</t>
  </si>
  <si>
    <t>NOVEMBRO</t>
  </si>
  <si>
    <t>DEZEMBRO</t>
  </si>
  <si>
    <t>.</t>
  </si>
  <si>
    <t>-</t>
  </si>
  <si>
    <t>GALPÃO 92</t>
  </si>
  <si>
    <t>GALPÃO 116</t>
  </si>
  <si>
    <t>Média/pessoa</t>
  </si>
  <si>
    <t>Galpão 92</t>
  </si>
  <si>
    <t>Galpão 116</t>
  </si>
  <si>
    <t xml:space="preserve">PLANILHA CONTROLE INTERNO CONSUMO ÁGUA </t>
  </si>
  <si>
    <t>TOTAL</t>
  </si>
  <si>
    <t>FECHAMENTO M³</t>
  </si>
  <si>
    <t>Camisaria</t>
  </si>
  <si>
    <t>BC</t>
  </si>
  <si>
    <t>bc</t>
  </si>
  <si>
    <t>janeiro</t>
  </si>
  <si>
    <t>obs</t>
  </si>
  <si>
    <t xml:space="preserve">Março </t>
  </si>
  <si>
    <t>/</t>
  </si>
  <si>
    <t>FECHAMENTO  M³</t>
  </si>
  <si>
    <t>sex</t>
  </si>
  <si>
    <t>sáb</t>
  </si>
  <si>
    <t>seg</t>
  </si>
  <si>
    <t>ter</t>
  </si>
  <si>
    <t>qua</t>
  </si>
  <si>
    <t>qui</t>
  </si>
  <si>
    <t>JUNHO</t>
  </si>
  <si>
    <t>Média/pessoa 40</t>
  </si>
  <si>
    <t>JULHO</t>
  </si>
  <si>
    <t xml:space="preserve">OUTUBRO </t>
  </si>
  <si>
    <t xml:space="preserve">Média/por dia  </t>
  </si>
  <si>
    <t>Média/por dia</t>
  </si>
  <si>
    <t>Sem leitura</t>
  </si>
  <si>
    <t>123l</t>
  </si>
  <si>
    <t>43l</t>
  </si>
  <si>
    <t>FECHAMENTO R$</t>
  </si>
  <si>
    <t>315l</t>
  </si>
  <si>
    <t>85l/3m³</t>
  </si>
  <si>
    <t>181 (correção fator k)</t>
  </si>
  <si>
    <t>Observações gerais do ano de 2024</t>
  </si>
  <si>
    <t>mkt</t>
  </si>
  <si>
    <t>limpeza</t>
  </si>
  <si>
    <t>bazar</t>
  </si>
  <si>
    <t>Média sem conta</t>
  </si>
  <si>
    <t>Média 1</t>
  </si>
  <si>
    <t>1165/média</t>
  </si>
  <si>
    <t>932l/1média sabesp</t>
  </si>
  <si>
    <t>1323l/média sabesp</t>
  </si>
  <si>
    <t xml:space="preserve">ACUMULADO </t>
  </si>
  <si>
    <t>ACUMULADO</t>
  </si>
  <si>
    <t>EXPEDIENTE FERIADO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</si>
</sst>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d"/>
    <numFmt numFmtId="165" formatCode="_-[$R$-416]\ * #,##0.00_-;\-[$R$-416]\ * #,##0.00_-;_-[$R$-416]\ * &quot;-&quot;??_-;_-@_-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10"/>
      <name val="Arial"/>
      <family val="2"/>
    </font>
    <font>
      <sz val="10"/>
      <color rgb="FFFF0000"/>
      <name val="Tahoma"/>
      <family val="2"/>
    </font>
    <font>
      <b/>
      <sz val="1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1"/>
      <name val="Calibri"/>
      <family val="2"/>
      <scheme val="minor"/>
    </font>
    <font>
      <b/>
      <sz val="10"/>
      <color theme="1"/>
      <name val="Tahoma"/>
      <family val="2"/>
    </font>
    <font>
      <sz val="8"/>
      <name val="Calibri"/>
      <family val="2"/>
      <scheme val="minor"/>
    </font>
    <font>
      <sz val="10"/>
      <color theme="1"/>
      <name val="Tahoma"/>
      <family val="2"/>
    </font>
    <font>
      <b/>
      <sz val="11"/>
      <color theme="1"/>
      <name val="Tahoma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Tahoma"/>
      <family val="2"/>
    </font>
    <font>
      <sz val="12"/>
      <name val="Tahoma"/>
      <family val="2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Inherit"/>
    </font>
    <font>
      <b/>
      <sz val="18"/>
      <color rgb="FFFF0000"/>
      <name val="Calibri"/>
      <family val="2"/>
      <scheme val="minor"/>
    </font>
    <font>
      <b/>
      <sz val="11"/>
      <color theme="0"/>
      <name val="Tahoma"/>
      <family val="2"/>
    </font>
    <font>
      <b/>
      <sz val="18"/>
      <color theme="0"/>
      <name val="Calibri"/>
      <family val="2"/>
      <scheme val="minor"/>
    </font>
    <font>
      <b/>
      <sz val="16"/>
      <color rgb="FFFF0000"/>
      <name val="Tahoma"/>
      <family val="2"/>
    </font>
    <font>
      <b/>
      <sz val="12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 Light"/>
      <family val="2"/>
    </font>
    <font>
      <b/>
      <sz val="11"/>
      <color theme="1"/>
      <name val="Calibri Light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6">
    <xf numFmtId="0" fontId="0" fillId="0" borderId="0" xfId="0"/>
    <xf numFmtId="1" fontId="0" fillId="2" borderId="1" xfId="1" applyNumberFormat="1" applyFont="1" applyFill="1" applyBorder="1" applyAlignment="1" applyProtection="1">
      <alignment horizontal="right"/>
    </xf>
    <xf numFmtId="1" fontId="0" fillId="3" borderId="1" xfId="1" applyNumberFormat="1" applyFont="1" applyFill="1" applyBorder="1" applyAlignment="1" applyProtection="1">
      <alignment horizontal="right"/>
    </xf>
    <xf numFmtId="0" fontId="0" fillId="0" borderId="1" xfId="0" applyBorder="1"/>
    <xf numFmtId="0" fontId="0" fillId="5" borderId="1" xfId="0" applyFill="1" applyBorder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1" fontId="0" fillId="2" borderId="4" xfId="1" applyNumberFormat="1" applyFont="1" applyFill="1" applyBorder="1" applyAlignment="1" applyProtection="1">
      <alignment horizontal="right"/>
    </xf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17" fontId="0" fillId="0" borderId="0" xfId="0" applyNumberFormat="1"/>
    <xf numFmtId="14" fontId="0" fillId="7" borderId="1" xfId="0" applyNumberFormat="1" applyFill="1" applyBorder="1"/>
    <xf numFmtId="0" fontId="0" fillId="7" borderId="1" xfId="0" applyFill="1" applyBorder="1"/>
    <xf numFmtId="1" fontId="0" fillId="7" borderId="1" xfId="0" applyNumberFormat="1" applyFill="1" applyBorder="1"/>
    <xf numFmtId="0" fontId="0" fillId="7" borderId="1" xfId="0" applyFill="1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1" fontId="0" fillId="0" borderId="4" xfId="0" applyNumberForma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20" fontId="0" fillId="0" borderId="0" xfId="0" applyNumberFormat="1"/>
    <xf numFmtId="14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10" xfId="0" applyFont="1" applyBorder="1"/>
    <xf numFmtId="0" fontId="0" fillId="0" borderId="14" xfId="0" applyBorder="1"/>
    <xf numFmtId="0" fontId="0" fillId="0" borderId="15" xfId="0" applyBorder="1"/>
    <xf numFmtId="0" fontId="14" fillId="0" borderId="0" xfId="0" applyFont="1"/>
    <xf numFmtId="0" fontId="14" fillId="0" borderId="1" xfId="0" applyFont="1" applyBorder="1" applyAlignment="1">
      <alignment horizontal="right"/>
    </xf>
    <xf numFmtId="1" fontId="16" fillId="2" borderId="1" xfId="1" applyNumberFormat="1" applyFont="1" applyFill="1" applyBorder="1" applyAlignment="1" applyProtection="1">
      <alignment horizontal="right"/>
    </xf>
    <xf numFmtId="1" fontId="16" fillId="3" borderId="1" xfId="1" applyNumberFormat="1" applyFont="1" applyFill="1" applyBorder="1" applyAlignment="1" applyProtection="1">
      <alignment horizontal="right"/>
    </xf>
    <xf numFmtId="17" fontId="6" fillId="0" borderId="11" xfId="0" applyNumberFormat="1" applyFont="1" applyBorder="1"/>
    <xf numFmtId="0" fontId="6" fillId="0" borderId="13" xfId="0" applyFont="1" applyBorder="1"/>
    <xf numFmtId="0" fontId="0" fillId="2" borderId="19" xfId="0" applyFill="1" applyBorder="1"/>
    <xf numFmtId="0" fontId="0" fillId="3" borderId="19" xfId="0" applyFill="1" applyBorder="1"/>
    <xf numFmtId="0" fontId="6" fillId="6" borderId="19" xfId="0" applyFont="1" applyFill="1" applyBorder="1"/>
    <xf numFmtId="0" fontId="0" fillId="0" borderId="19" xfId="0" applyBorder="1"/>
    <xf numFmtId="0" fontId="0" fillId="0" borderId="20" xfId="0" applyBorder="1"/>
    <xf numFmtId="0" fontId="0" fillId="8" borderId="5" xfId="0" applyFill="1" applyBorder="1"/>
    <xf numFmtId="0" fontId="0" fillId="8" borderId="2" xfId="0" applyFill="1" applyBorder="1"/>
    <xf numFmtId="0" fontId="0" fillId="2" borderId="20" xfId="0" applyFill="1" applyBorder="1"/>
    <xf numFmtId="0" fontId="0" fillId="3" borderId="20" xfId="0" applyFill="1" applyBorder="1"/>
    <xf numFmtId="1" fontId="0" fillId="2" borderId="21" xfId="1" applyNumberFormat="1" applyFont="1" applyFill="1" applyBorder="1" applyAlignment="1" applyProtection="1">
      <alignment horizontal="right"/>
    </xf>
    <xf numFmtId="1" fontId="0" fillId="2" borderId="20" xfId="1" applyNumberFormat="1" applyFont="1" applyFill="1" applyBorder="1" applyAlignment="1" applyProtection="1">
      <alignment horizontal="right"/>
    </xf>
    <xf numFmtId="1" fontId="7" fillId="6" borderId="19" xfId="1" applyNumberFormat="1" applyFont="1" applyFill="1" applyBorder="1" applyAlignment="1" applyProtection="1">
      <alignment horizontal="center"/>
    </xf>
    <xf numFmtId="1" fontId="0" fillId="3" borderId="20" xfId="1" applyNumberFormat="1" applyFont="1" applyFill="1" applyBorder="1" applyAlignment="1" applyProtection="1">
      <alignment horizontal="right"/>
    </xf>
    <xf numFmtId="1" fontId="3" fillId="2" borderId="19" xfId="1" applyNumberFormat="1" applyFont="1" applyFill="1" applyBorder="1" applyAlignment="1" applyProtection="1">
      <alignment horizontal="center"/>
    </xf>
    <xf numFmtId="1" fontId="3" fillId="3" borderId="19" xfId="1" applyNumberFormat="1" applyFont="1" applyFill="1" applyBorder="1" applyAlignment="1" applyProtection="1">
      <alignment horizontal="center"/>
    </xf>
    <xf numFmtId="1" fontId="9" fillId="6" borderId="19" xfId="1" applyNumberFormat="1" applyFont="1" applyFill="1" applyBorder="1" applyAlignment="1" applyProtection="1">
      <alignment horizontal="center"/>
    </xf>
    <xf numFmtId="1" fontId="6" fillId="6" borderId="19" xfId="1" applyNumberFormat="1" applyFont="1" applyFill="1" applyBorder="1" applyAlignment="1" applyProtection="1">
      <alignment horizontal="center"/>
    </xf>
    <xf numFmtId="1" fontId="0" fillId="5" borderId="20" xfId="1" applyNumberFormat="1" applyFont="1" applyFill="1" applyBorder="1" applyAlignment="1" applyProtection="1">
      <alignment horizontal="right"/>
    </xf>
    <xf numFmtId="1" fontId="16" fillId="5" borderId="1" xfId="1" applyNumberFormat="1" applyFont="1" applyFill="1" applyBorder="1" applyAlignment="1" applyProtection="1">
      <alignment horizontal="right"/>
    </xf>
    <xf numFmtId="1" fontId="3" fillId="5" borderId="19" xfId="1" applyNumberFormat="1" applyFont="1" applyFill="1" applyBorder="1" applyAlignment="1" applyProtection="1">
      <alignment horizontal="center"/>
    </xf>
    <xf numFmtId="1" fontId="0" fillId="5" borderId="1" xfId="1" applyNumberFormat="1" applyFont="1" applyFill="1" applyBorder="1" applyAlignment="1" applyProtection="1">
      <alignment horizontal="right"/>
    </xf>
    <xf numFmtId="0" fontId="5" fillId="0" borderId="23" xfId="0" applyFont="1" applyBorder="1"/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4" fillId="5" borderId="20" xfId="0" applyFont="1" applyFill="1" applyBorder="1" applyAlignment="1">
      <alignment horizontal="center"/>
    </xf>
    <xf numFmtId="14" fontId="0" fillId="0" borderId="0" xfId="0" applyNumberFormat="1"/>
    <xf numFmtId="0" fontId="0" fillId="3" borderId="1" xfId="0" applyFill="1" applyBorder="1" applyAlignment="1">
      <alignment horizontal="center"/>
    </xf>
    <xf numFmtId="14" fontId="0" fillId="12" borderId="1" xfId="0" applyNumberFormat="1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0" borderId="21" xfId="0" applyBorder="1"/>
    <xf numFmtId="0" fontId="0" fillId="13" borderId="0" xfId="0" applyFill="1"/>
    <xf numFmtId="0" fontId="6" fillId="14" borderId="29" xfId="0" applyFont="1" applyFill="1" applyBorder="1"/>
    <xf numFmtId="0" fontId="6" fillId="14" borderId="24" xfId="0" applyFont="1" applyFill="1" applyBorder="1"/>
    <xf numFmtId="0" fontId="6" fillId="8" borderId="1" xfId="0" applyFont="1" applyFill="1" applyBorder="1" applyAlignment="1">
      <alignment horizontal="right"/>
    </xf>
    <xf numFmtId="0" fontId="0" fillId="8" borderId="1" xfId="0" applyFill="1" applyBorder="1"/>
    <xf numFmtId="0" fontId="14" fillId="8" borderId="1" xfId="0" applyFont="1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1" fontId="1" fillId="3" borderId="20" xfId="1" applyNumberFormat="1" applyFont="1" applyFill="1" applyBorder="1" applyAlignment="1" applyProtection="1">
      <alignment horizontal="right"/>
    </xf>
    <xf numFmtId="0" fontId="6" fillId="3" borderId="10" xfId="0" applyFont="1" applyFill="1" applyBorder="1"/>
    <xf numFmtId="0" fontId="6" fillId="3" borderId="11" xfId="0" applyFont="1" applyFill="1" applyBorder="1"/>
    <xf numFmtId="0" fontId="6" fillId="3" borderId="12" xfId="0" applyFont="1" applyFill="1" applyBorder="1"/>
    <xf numFmtId="14" fontId="0" fillId="0" borderId="20" xfId="0" applyNumberFormat="1" applyBorder="1"/>
    <xf numFmtId="0" fontId="6" fillId="8" borderId="0" xfId="0" applyFont="1" applyFill="1"/>
    <xf numFmtId="0" fontId="6" fillId="0" borderId="1" xfId="0" applyFont="1" applyBorder="1"/>
    <xf numFmtId="0" fontId="6" fillId="3" borderId="19" xfId="0" applyFont="1" applyFill="1" applyBorder="1"/>
    <xf numFmtId="1" fontId="0" fillId="8" borderId="1" xfId="1" applyNumberFormat="1" applyFont="1" applyFill="1" applyBorder="1" applyAlignment="1" applyProtection="1">
      <alignment horizontal="right"/>
    </xf>
    <xf numFmtId="0" fontId="0" fillId="8" borderId="32" xfId="0" applyFill="1" applyBorder="1"/>
    <xf numFmtId="0" fontId="0" fillId="8" borderId="30" xfId="0" applyFill="1" applyBorder="1"/>
    <xf numFmtId="0" fontId="0" fillId="0" borderId="30" xfId="0" applyBorder="1"/>
    <xf numFmtId="2" fontId="0" fillId="0" borderId="0" xfId="0" applyNumberFormat="1"/>
    <xf numFmtId="2" fontId="11" fillId="2" borderId="1" xfId="1" applyNumberFormat="1" applyFont="1" applyFill="1" applyBorder="1" applyAlignment="1" applyProtection="1">
      <alignment horizontal="center"/>
    </xf>
    <xf numFmtId="2" fontId="11" fillId="3" borderId="1" xfId="1" applyNumberFormat="1" applyFont="1" applyFill="1" applyBorder="1" applyAlignment="1" applyProtection="1">
      <alignment horizontal="center"/>
    </xf>
    <xf numFmtId="2" fontId="11" fillId="5" borderId="1" xfId="1" applyNumberFormat="1" applyFont="1" applyFill="1" applyBorder="1" applyAlignment="1" applyProtection="1">
      <alignment horizontal="center"/>
    </xf>
    <xf numFmtId="2" fontId="0" fillId="3" borderId="1" xfId="0" applyNumberFormat="1" applyFill="1" applyBorder="1"/>
    <xf numFmtId="2" fontId="0" fillId="2" borderId="1" xfId="0" applyNumberFormat="1" applyFill="1" applyBorder="1"/>
    <xf numFmtId="2" fontId="6" fillId="6" borderId="1" xfId="0" applyNumberFormat="1" applyFont="1" applyFill="1" applyBorder="1"/>
    <xf numFmtId="2" fontId="0" fillId="0" borderId="1" xfId="0" applyNumberFormat="1" applyBorder="1"/>
    <xf numFmtId="2" fontId="11" fillId="2" borderId="2" xfId="1" applyNumberFormat="1" applyFont="1" applyFill="1" applyBorder="1" applyAlignment="1" applyProtection="1">
      <alignment horizontal="center"/>
    </xf>
    <xf numFmtId="2" fontId="11" fillId="3" borderId="2" xfId="1" applyNumberFormat="1" applyFont="1" applyFill="1" applyBorder="1" applyAlignment="1" applyProtection="1">
      <alignment horizontal="center"/>
    </xf>
    <xf numFmtId="2" fontId="11" fillId="5" borderId="2" xfId="1" applyNumberFormat="1" applyFont="1" applyFill="1" applyBorder="1" applyAlignment="1" applyProtection="1">
      <alignment horizontal="center"/>
    </xf>
    <xf numFmtId="2" fontId="0" fillId="3" borderId="2" xfId="0" applyNumberFormat="1" applyFill="1" applyBorder="1"/>
    <xf numFmtId="2" fontId="0" fillId="2" borderId="2" xfId="0" applyNumberFormat="1" applyFill="1" applyBorder="1"/>
    <xf numFmtId="2" fontId="0" fillId="6" borderId="2" xfId="0" applyNumberFormat="1" applyFill="1" applyBorder="1"/>
    <xf numFmtId="0" fontId="4" fillId="15" borderId="13" xfId="0" applyFont="1" applyFill="1" applyBorder="1" applyAlignment="1">
      <alignment horizontal="center"/>
    </xf>
    <xf numFmtId="0" fontId="4" fillId="15" borderId="14" xfId="0" applyFont="1" applyFill="1" applyBorder="1" applyAlignment="1">
      <alignment horizontal="center"/>
    </xf>
    <xf numFmtId="0" fontId="4" fillId="16" borderId="20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14" borderId="30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17" fontId="5" fillId="5" borderId="11" xfId="0" applyNumberFormat="1" applyFont="1" applyFill="1" applyBorder="1" applyAlignment="1">
      <alignment horizontal="center"/>
    </xf>
    <xf numFmtId="0" fontId="21" fillId="18" borderId="30" xfId="0" applyFont="1" applyFill="1" applyBorder="1" applyAlignment="1">
      <alignment horizontal="center"/>
    </xf>
    <xf numFmtId="0" fontId="21" fillId="18" borderId="2" xfId="0" applyFont="1" applyFill="1" applyBorder="1" applyAlignment="1">
      <alignment horizontal="center"/>
    </xf>
    <xf numFmtId="0" fontId="4" fillId="19" borderId="20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5" fillId="3" borderId="20" xfId="0" applyFont="1" applyFill="1" applyBorder="1"/>
    <xf numFmtId="0" fontId="5" fillId="15" borderId="20" xfId="0" applyFont="1" applyFill="1" applyBorder="1"/>
    <xf numFmtId="0" fontId="5" fillId="16" borderId="20" xfId="0" applyFont="1" applyFill="1" applyBorder="1"/>
    <xf numFmtId="0" fontId="5" fillId="20" borderId="20" xfId="0" applyFont="1" applyFill="1" applyBorder="1"/>
    <xf numFmtId="0" fontId="5" fillId="17" borderId="20" xfId="0" applyFont="1" applyFill="1" applyBorder="1"/>
    <xf numFmtId="0" fontId="5" fillId="14" borderId="20" xfId="0" applyFont="1" applyFill="1" applyBorder="1"/>
    <xf numFmtId="0" fontId="24" fillId="21" borderId="20" xfId="0" applyFont="1" applyFill="1" applyBorder="1"/>
    <xf numFmtId="0" fontId="5" fillId="19" borderId="13" xfId="0" applyFont="1" applyFill="1" applyBorder="1"/>
    <xf numFmtId="2" fontId="6" fillId="6" borderId="2" xfId="0" applyNumberFormat="1" applyFont="1" applyFill="1" applyBorder="1"/>
    <xf numFmtId="2" fontId="6" fillId="8" borderId="1" xfId="0" applyNumberFormat="1" applyFont="1" applyFill="1" applyBorder="1"/>
    <xf numFmtId="2" fontId="6" fillId="8" borderId="2" xfId="0" applyNumberFormat="1" applyFont="1" applyFill="1" applyBorder="1"/>
    <xf numFmtId="2" fontId="6" fillId="2" borderId="1" xfId="0" applyNumberFormat="1" applyFont="1" applyFill="1" applyBorder="1"/>
    <xf numFmtId="2" fontId="6" fillId="2" borderId="2" xfId="0" applyNumberFormat="1" applyFont="1" applyFill="1" applyBorder="1"/>
    <xf numFmtId="0" fontId="0" fillId="2" borderId="32" xfId="0" applyFill="1" applyBorder="1"/>
    <xf numFmtId="0" fontId="0" fillId="2" borderId="30" xfId="0" applyFill="1" applyBorder="1"/>
    <xf numFmtId="0" fontId="8" fillId="2" borderId="19" xfId="0" applyFont="1" applyFill="1" applyBorder="1"/>
    <xf numFmtId="0" fontId="6" fillId="2" borderId="19" xfId="0" applyFont="1" applyFill="1" applyBorder="1"/>
    <xf numFmtId="0" fontId="0" fillId="0" borderId="37" xfId="0" applyBorder="1"/>
    <xf numFmtId="0" fontId="0" fillId="0" borderId="33" xfId="0" applyBorder="1"/>
    <xf numFmtId="1" fontId="0" fillId="2" borderId="10" xfId="1" applyNumberFormat="1" applyFont="1" applyFill="1" applyBorder="1" applyAlignment="1" applyProtection="1">
      <alignment horizontal="right"/>
    </xf>
    <xf numFmtId="1" fontId="3" fillId="2" borderId="12" xfId="1" applyNumberFormat="1" applyFont="1" applyFill="1" applyBorder="1" applyAlignment="1" applyProtection="1">
      <alignment horizontal="center"/>
    </xf>
    <xf numFmtId="1" fontId="0" fillId="2" borderId="11" xfId="1" applyNumberFormat="1" applyFont="1" applyFill="1" applyBorder="1" applyAlignment="1" applyProtection="1">
      <alignment horizontal="right"/>
    </xf>
    <xf numFmtId="2" fontId="12" fillId="2" borderId="40" xfId="0" applyNumberFormat="1" applyFont="1" applyFill="1" applyBorder="1" applyAlignment="1">
      <alignment horizontal="center"/>
    </xf>
    <xf numFmtId="0" fontId="4" fillId="17" borderId="20" xfId="0" applyFont="1" applyFill="1" applyBorder="1" applyAlignment="1">
      <alignment horizontal="center"/>
    </xf>
    <xf numFmtId="0" fontId="0" fillId="2" borderId="21" xfId="0" applyFill="1" applyBorder="1"/>
    <xf numFmtId="0" fontId="0" fillId="2" borderId="22" xfId="0" applyFill="1" applyBorder="1"/>
    <xf numFmtId="0" fontId="0" fillId="5" borderId="20" xfId="0" applyFill="1" applyBorder="1"/>
    <xf numFmtId="0" fontId="0" fillId="5" borderId="19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41" xfId="0" applyBorder="1"/>
    <xf numFmtId="0" fontId="0" fillId="0" borderId="31" xfId="0" applyBorder="1"/>
    <xf numFmtId="14" fontId="6" fillId="8" borderId="1" xfId="0" applyNumberFormat="1" applyFont="1" applyFill="1" applyBorder="1" applyAlignment="1">
      <alignment horizontal="center"/>
    </xf>
    <xf numFmtId="14" fontId="8" fillId="8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4" fillId="5" borderId="40" xfId="0" applyFont="1" applyFill="1" applyBorder="1"/>
    <xf numFmtId="0" fontId="4" fillId="5" borderId="2" xfId="0" applyFont="1" applyFill="1" applyBorder="1"/>
    <xf numFmtId="164" fontId="2" fillId="8" borderId="2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0" fillId="3" borderId="37" xfId="0" applyFill="1" applyBorder="1"/>
    <xf numFmtId="2" fontId="6" fillId="3" borderId="2" xfId="0" applyNumberFormat="1" applyFont="1" applyFill="1" applyBorder="1"/>
    <xf numFmtId="0" fontId="0" fillId="3" borderId="33" xfId="0" applyFill="1" applyBorder="1"/>
    <xf numFmtId="0" fontId="25" fillId="3" borderId="19" xfId="0" applyFont="1" applyFill="1" applyBorder="1" applyAlignment="1">
      <alignment vertical="center"/>
    </xf>
    <xf numFmtId="0" fontId="26" fillId="3" borderId="19" xfId="0" applyFont="1" applyFill="1" applyBorder="1" applyAlignment="1">
      <alignment vertical="center"/>
    </xf>
    <xf numFmtId="2" fontId="6" fillId="3" borderId="1" xfId="0" applyNumberFormat="1" applyFont="1" applyFill="1" applyBorder="1"/>
    <xf numFmtId="0" fontId="25" fillId="3" borderId="20" xfId="0" applyFont="1" applyFill="1" applyBorder="1" applyAlignment="1">
      <alignment vertical="center"/>
    </xf>
    <xf numFmtId="0" fontId="27" fillId="3" borderId="19" xfId="0" applyFont="1" applyFill="1" applyBorder="1" applyAlignment="1">
      <alignment horizontal="justify" vertical="center"/>
    </xf>
    <xf numFmtId="0" fontId="26" fillId="3" borderId="20" xfId="0" applyFont="1" applyFill="1" applyBorder="1" applyAlignment="1">
      <alignment horizontal="right" vertical="center"/>
    </xf>
    <xf numFmtId="8" fontId="28" fillId="3" borderId="19" xfId="0" applyNumberFormat="1" applyFont="1" applyFill="1" applyBorder="1" applyAlignment="1">
      <alignment horizontal="justify" vertical="center"/>
    </xf>
    <xf numFmtId="0" fontId="0" fillId="3" borderId="30" xfId="0" applyFill="1" applyBorder="1"/>
    <xf numFmtId="0" fontId="0" fillId="3" borderId="2" xfId="0" applyFill="1" applyBorder="1"/>
    <xf numFmtId="0" fontId="0" fillId="3" borderId="39" xfId="0" applyFill="1" applyBorder="1"/>
    <xf numFmtId="2" fontId="6" fillId="5" borderId="2" xfId="0" applyNumberFormat="1" applyFont="1" applyFill="1" applyBorder="1"/>
    <xf numFmtId="0" fontId="26" fillId="5" borderId="19" xfId="0" applyFont="1" applyFill="1" applyBorder="1" applyAlignment="1">
      <alignment vertical="center"/>
    </xf>
    <xf numFmtId="2" fontId="6" fillId="5" borderId="1" xfId="0" applyNumberFormat="1" applyFont="1" applyFill="1" applyBorder="1"/>
    <xf numFmtId="8" fontId="28" fillId="5" borderId="19" xfId="0" applyNumberFormat="1" applyFont="1" applyFill="1" applyBorder="1" applyAlignment="1">
      <alignment horizontal="justify" vertical="center"/>
    </xf>
    <xf numFmtId="0" fontId="0" fillId="5" borderId="23" xfId="0" applyFill="1" applyBorder="1"/>
    <xf numFmtId="0" fontId="0" fillId="5" borderId="2" xfId="0" applyFill="1" applyBorder="1"/>
    <xf numFmtId="0" fontId="0" fillId="0" borderId="19" xfId="0" applyBorder="1" applyAlignment="1">
      <alignment horizontal="right"/>
    </xf>
    <xf numFmtId="0" fontId="29" fillId="0" borderId="0" xfId="0" applyFont="1"/>
    <xf numFmtId="4" fontId="29" fillId="0" borderId="0" xfId="0" applyNumberFormat="1" applyFont="1"/>
    <xf numFmtId="44" fontId="29" fillId="0" borderId="0" xfId="2" applyFont="1"/>
    <xf numFmtId="44" fontId="30" fillId="0" borderId="0" xfId="0" applyNumberFormat="1" applyFont="1"/>
    <xf numFmtId="0" fontId="31" fillId="0" borderId="0" xfId="0" applyFont="1"/>
    <xf numFmtId="0" fontId="32" fillId="9" borderId="10" xfId="0" applyFont="1" applyFill="1" applyBorder="1"/>
    <xf numFmtId="17" fontId="33" fillId="5" borderId="11" xfId="0" applyNumberFormat="1" applyFont="1" applyFill="1" applyBorder="1" applyAlignment="1">
      <alignment horizontal="center"/>
    </xf>
    <xf numFmtId="17" fontId="33" fillId="5" borderId="40" xfId="0" applyNumberFormat="1" applyFont="1" applyFill="1" applyBorder="1" applyAlignment="1">
      <alignment horizontal="center"/>
    </xf>
    <xf numFmtId="0" fontId="33" fillId="0" borderId="44" xfId="0" applyFont="1" applyBorder="1"/>
    <xf numFmtId="0" fontId="33" fillId="3" borderId="20" xfId="0" applyFont="1" applyFill="1" applyBorder="1"/>
    <xf numFmtId="0" fontId="31" fillId="0" borderId="1" xfId="0" applyFont="1" applyBorder="1" applyAlignment="1">
      <alignment horizontal="right"/>
    </xf>
    <xf numFmtId="0" fontId="31" fillId="0" borderId="1" xfId="0" applyFont="1" applyBorder="1"/>
    <xf numFmtId="0" fontId="31" fillId="0" borderId="2" xfId="0" applyFont="1" applyBorder="1"/>
    <xf numFmtId="0" fontId="31" fillId="0" borderId="42" xfId="0" applyFont="1" applyBorder="1"/>
    <xf numFmtId="0" fontId="33" fillId="15" borderId="20" xfId="0" applyFont="1" applyFill="1" applyBorder="1"/>
    <xf numFmtId="0" fontId="33" fillId="16" borderId="20" xfId="0" applyFont="1" applyFill="1" applyBorder="1"/>
    <xf numFmtId="0" fontId="33" fillId="8" borderId="1" xfId="0" applyFont="1" applyFill="1" applyBorder="1" applyAlignment="1">
      <alignment horizontal="right"/>
    </xf>
    <xf numFmtId="0" fontId="31" fillId="8" borderId="1" xfId="0" applyFont="1" applyFill="1" applyBorder="1" applyAlignment="1">
      <alignment horizontal="right"/>
    </xf>
    <xf numFmtId="0" fontId="31" fillId="8" borderId="1" xfId="0" applyFont="1" applyFill="1" applyBorder="1"/>
    <xf numFmtId="0" fontId="33" fillId="20" borderId="20" xfId="0" applyFont="1" applyFill="1" applyBorder="1"/>
    <xf numFmtId="0" fontId="31" fillId="0" borderId="2" xfId="0" applyFont="1" applyBorder="1" applyAlignment="1">
      <alignment horizontal="right"/>
    </xf>
    <xf numFmtId="0" fontId="33" fillId="17" borderId="20" xfId="0" applyFont="1" applyFill="1" applyBorder="1"/>
    <xf numFmtId="0" fontId="33" fillId="14" borderId="20" xfId="0" applyFont="1" applyFill="1" applyBorder="1"/>
    <xf numFmtId="0" fontId="34" fillId="21" borderId="20" xfId="0" applyFont="1" applyFill="1" applyBorder="1"/>
    <xf numFmtId="0" fontId="33" fillId="19" borderId="37" xfId="0" applyFont="1" applyFill="1" applyBorder="1"/>
    <xf numFmtId="0" fontId="31" fillId="0" borderId="34" xfId="0" applyFont="1" applyBorder="1" applyAlignment="1">
      <alignment horizontal="right"/>
    </xf>
    <xf numFmtId="0" fontId="31" fillId="0" borderId="34" xfId="0" applyFont="1" applyBorder="1"/>
    <xf numFmtId="0" fontId="31" fillId="0" borderId="38" xfId="0" applyFont="1" applyBorder="1"/>
    <xf numFmtId="0" fontId="33" fillId="0" borderId="45" xfId="0" applyFont="1" applyBorder="1"/>
    <xf numFmtId="0" fontId="31" fillId="0" borderId="46" xfId="0" applyFont="1" applyBorder="1"/>
    <xf numFmtId="0" fontId="31" fillId="0" borderId="47" xfId="0" applyFont="1" applyBorder="1"/>
    <xf numFmtId="0" fontId="33" fillId="0" borderId="43" xfId="0" applyFont="1" applyBorder="1"/>
    <xf numFmtId="0" fontId="31" fillId="0" borderId="1" xfId="0" applyFont="1" applyBorder="1" applyAlignment="1">
      <alignment horizontal="left"/>
    </xf>
    <xf numFmtId="44" fontId="31" fillId="0" borderId="1" xfId="2" applyFont="1" applyBorder="1" applyAlignment="1">
      <alignment horizontal="left"/>
    </xf>
    <xf numFmtId="44" fontId="33" fillId="0" borderId="0" xfId="0" applyNumberFormat="1" applyFont="1"/>
    <xf numFmtId="0" fontId="0" fillId="22" borderId="20" xfId="0" applyFill="1" applyBorder="1"/>
    <xf numFmtId="0" fontId="0" fillId="22" borderId="19" xfId="0" applyFill="1" applyBorder="1"/>
    <xf numFmtId="1" fontId="0" fillId="22" borderId="1" xfId="1" applyNumberFormat="1" applyFont="1" applyFill="1" applyBorder="1" applyAlignment="1" applyProtection="1">
      <alignment horizontal="right"/>
    </xf>
    <xf numFmtId="2" fontId="6" fillId="22" borderId="2" xfId="0" applyNumberFormat="1" applyFont="1" applyFill="1" applyBorder="1"/>
    <xf numFmtId="2" fontId="6" fillId="22" borderId="1" xfId="0" applyNumberFormat="1" applyFont="1" applyFill="1" applyBorder="1"/>
    <xf numFmtId="0" fontId="0" fillId="22" borderId="2" xfId="0" applyFill="1" applyBorder="1"/>
    <xf numFmtId="0" fontId="0" fillId="22" borderId="1" xfId="0" applyFill="1" applyBorder="1"/>
    <xf numFmtId="0" fontId="0" fillId="23" borderId="20" xfId="0" applyFill="1" applyBorder="1"/>
    <xf numFmtId="0" fontId="0" fillId="23" borderId="2" xfId="0" applyFill="1" applyBorder="1"/>
    <xf numFmtId="0" fontId="0" fillId="23" borderId="1" xfId="0" applyFill="1" applyBorder="1"/>
    <xf numFmtId="0" fontId="0" fillId="23" borderId="19" xfId="0" applyFill="1" applyBorder="1"/>
    <xf numFmtId="0" fontId="0" fillId="24" borderId="20" xfId="0" applyFill="1" applyBorder="1"/>
    <xf numFmtId="0" fontId="0" fillId="24" borderId="19" xfId="0" applyFill="1" applyBorder="1"/>
    <xf numFmtId="1" fontId="0" fillId="24" borderId="1" xfId="1" applyNumberFormat="1" applyFont="1" applyFill="1" applyBorder="1" applyAlignment="1" applyProtection="1">
      <alignment horizontal="right"/>
    </xf>
    <xf numFmtId="2" fontId="6" fillId="24" borderId="2" xfId="0" applyNumberFormat="1" applyFont="1" applyFill="1" applyBorder="1"/>
    <xf numFmtId="2" fontId="6" fillId="24" borderId="1" xfId="0" applyNumberFormat="1" applyFont="1" applyFill="1" applyBorder="1"/>
    <xf numFmtId="0" fontId="0" fillId="24" borderId="1" xfId="0" applyFill="1" applyBorder="1"/>
    <xf numFmtId="0" fontId="0" fillId="4" borderId="20" xfId="0" applyFill="1" applyBorder="1"/>
    <xf numFmtId="0" fontId="0" fillId="4" borderId="19" xfId="0" applyFill="1" applyBorder="1"/>
    <xf numFmtId="1" fontId="0" fillId="4" borderId="1" xfId="1" applyNumberFormat="1" applyFont="1" applyFill="1" applyBorder="1" applyAlignment="1" applyProtection="1">
      <alignment horizontal="right"/>
    </xf>
    <xf numFmtId="2" fontId="6" fillId="4" borderId="2" xfId="0" applyNumberFormat="1" applyFont="1" applyFill="1" applyBorder="1"/>
    <xf numFmtId="2" fontId="6" fillId="4" borderId="1" xfId="0" applyNumberFormat="1" applyFont="1" applyFill="1" applyBorder="1"/>
    <xf numFmtId="0" fontId="0" fillId="4" borderId="1" xfId="0" applyFill="1" applyBorder="1"/>
    <xf numFmtId="0" fontId="0" fillId="4" borderId="2" xfId="0" applyFill="1" applyBorder="1"/>
    <xf numFmtId="1" fontId="0" fillId="8" borderId="1" xfId="0" applyNumberFormat="1" applyFill="1" applyBorder="1"/>
    <xf numFmtId="14" fontId="0" fillId="0" borderId="34" xfId="0" applyNumberFormat="1" applyBorder="1"/>
    <xf numFmtId="0" fontId="0" fillId="0" borderId="34" xfId="0" applyBorder="1"/>
    <xf numFmtId="1" fontId="0" fillId="0" borderId="34" xfId="0" applyNumberFormat="1" applyBorder="1"/>
    <xf numFmtId="0" fontId="0" fillId="0" borderId="34" xfId="0" applyBorder="1" applyAlignment="1">
      <alignment horizontal="center"/>
    </xf>
    <xf numFmtId="1" fontId="0" fillId="8" borderId="4" xfId="0" applyNumberFormat="1" applyFill="1" applyBorder="1"/>
    <xf numFmtId="0" fontId="35" fillId="3" borderId="20" xfId="0" applyFont="1" applyFill="1" applyBorder="1"/>
    <xf numFmtId="0" fontId="35" fillId="3" borderId="1" xfId="0" applyFont="1" applyFill="1" applyBorder="1"/>
    <xf numFmtId="0" fontId="36" fillId="9" borderId="10" xfId="0" applyFont="1" applyFill="1" applyBorder="1"/>
    <xf numFmtId="0" fontId="0" fillId="0" borderId="3" xfId="0" applyBorder="1"/>
    <xf numFmtId="0" fontId="0" fillId="4" borderId="49" xfId="0" applyFill="1" applyBorder="1"/>
    <xf numFmtId="0" fontId="8" fillId="6" borderId="49" xfId="0" applyFont="1" applyFill="1" applyBorder="1"/>
    <xf numFmtId="0" fontId="6" fillId="6" borderId="49" xfId="0" applyFont="1" applyFill="1" applyBorder="1"/>
    <xf numFmtId="0" fontId="0" fillId="4" borderId="49" xfId="0" applyFill="1" applyBorder="1" applyAlignment="1">
      <alignment horizontal="left"/>
    </xf>
    <xf numFmtId="0" fontId="8" fillId="11" borderId="49" xfId="0" applyFont="1" applyFill="1" applyBorder="1"/>
    <xf numFmtId="0" fontId="6" fillId="11" borderId="49" xfId="0" applyFont="1" applyFill="1" applyBorder="1"/>
    <xf numFmtId="0" fontId="6" fillId="10" borderId="49" xfId="0" applyFont="1" applyFill="1" applyBorder="1"/>
    <xf numFmtId="0" fontId="6" fillId="5" borderId="49" xfId="0" applyFont="1" applyFill="1" applyBorder="1"/>
    <xf numFmtId="0" fontId="0" fillId="4" borderId="50" xfId="0" applyFill="1" applyBorder="1"/>
    <xf numFmtId="0" fontId="0" fillId="0" borderId="49" xfId="0" applyBorder="1"/>
    <xf numFmtId="0" fontId="0" fillId="0" borderId="50" xfId="0" applyBorder="1"/>
    <xf numFmtId="0" fontId="0" fillId="8" borderId="1" xfId="1" applyNumberFormat="1" applyFont="1" applyFill="1" applyBorder="1" applyAlignment="1" applyProtection="1">
      <alignment horizontal="right"/>
    </xf>
    <xf numFmtId="0" fontId="0" fillId="16" borderId="20" xfId="0" applyFill="1" applyBorder="1"/>
    <xf numFmtId="0" fontId="0" fillId="16" borderId="1" xfId="0" applyFill="1" applyBorder="1"/>
    <xf numFmtId="0" fontId="0" fillId="16" borderId="19" xfId="0" applyFill="1" applyBorder="1"/>
    <xf numFmtId="0" fontId="0" fillId="16" borderId="37" xfId="0" applyFill="1" applyBorder="1"/>
    <xf numFmtId="0" fontId="0" fillId="16" borderId="33" xfId="0" applyFill="1" applyBorder="1"/>
    <xf numFmtId="1" fontId="0" fillId="16" borderId="1" xfId="1" applyNumberFormat="1" applyFont="1" applyFill="1" applyBorder="1" applyAlignment="1" applyProtection="1">
      <alignment horizontal="right"/>
    </xf>
    <xf numFmtId="2" fontId="6" fillId="16" borderId="1" xfId="0" applyNumberFormat="1" applyFont="1" applyFill="1" applyBorder="1"/>
    <xf numFmtId="0" fontId="0" fillId="16" borderId="20" xfId="2" applyNumberFormat="1" applyFont="1" applyFill="1" applyBorder="1"/>
    <xf numFmtId="44" fontId="0" fillId="16" borderId="19" xfId="2" applyFont="1" applyFill="1" applyBorder="1"/>
    <xf numFmtId="2" fontId="6" fillId="16" borderId="2" xfId="0" applyNumberFormat="1" applyFont="1" applyFill="1" applyBorder="1"/>
    <xf numFmtId="1" fontId="0" fillId="16" borderId="34" xfId="1" applyNumberFormat="1" applyFont="1" applyFill="1" applyBorder="1" applyAlignment="1" applyProtection="1">
      <alignment horizontal="right"/>
    </xf>
    <xf numFmtId="0" fontId="0" fillId="16" borderId="1" xfId="1" applyNumberFormat="1" applyFont="1" applyFill="1" applyBorder="1" applyAlignment="1" applyProtection="1">
      <alignment horizontal="right"/>
    </xf>
    <xf numFmtId="0" fontId="6" fillId="25" borderId="19" xfId="0" applyFont="1" applyFill="1" applyBorder="1"/>
    <xf numFmtId="0" fontId="0" fillId="5" borderId="37" xfId="0" applyFill="1" applyBorder="1"/>
    <xf numFmtId="2" fontId="0" fillId="16" borderId="19" xfId="0" applyNumberFormat="1" applyFill="1" applyBorder="1"/>
    <xf numFmtId="1" fontId="0" fillId="16" borderId="19" xfId="0" applyNumberFormat="1" applyFill="1" applyBorder="1"/>
    <xf numFmtId="0" fontId="0" fillId="8" borderId="20" xfId="0" applyFill="1" applyBorder="1"/>
    <xf numFmtId="0" fontId="0" fillId="3" borderId="1" xfId="1" applyNumberFormat="1" applyFont="1" applyFill="1" applyBorder="1" applyAlignment="1" applyProtection="1">
      <alignment horizontal="right"/>
    </xf>
    <xf numFmtId="0" fontId="0" fillId="2" borderId="1" xfId="1" applyNumberFormat="1" applyFont="1" applyFill="1" applyBorder="1" applyAlignment="1" applyProtection="1">
      <alignment horizontal="right"/>
    </xf>
    <xf numFmtId="0" fontId="0" fillId="4" borderId="1" xfId="1" applyNumberFormat="1" applyFont="1" applyFill="1" applyBorder="1" applyAlignment="1" applyProtection="1">
      <alignment horizontal="right"/>
    </xf>
    <xf numFmtId="0" fontId="37" fillId="6" borderId="3" xfId="0" applyFont="1" applyFill="1" applyBorder="1"/>
    <xf numFmtId="0" fontId="0" fillId="3" borderId="23" xfId="0" applyFill="1" applyBorder="1"/>
    <xf numFmtId="0" fontId="0" fillId="13" borderId="19" xfId="0" applyFill="1" applyBorder="1"/>
    <xf numFmtId="0" fontId="0" fillId="26" borderId="1" xfId="0" applyFill="1" applyBorder="1" applyAlignment="1">
      <alignment horizontal="right"/>
    </xf>
    <xf numFmtId="0" fontId="14" fillId="26" borderId="1" xfId="0" applyFont="1" applyFill="1" applyBorder="1" applyAlignment="1">
      <alignment horizontal="right"/>
    </xf>
    <xf numFmtId="0" fontId="0" fillId="26" borderId="1" xfId="0" applyFill="1" applyBorder="1"/>
    <xf numFmtId="0" fontId="0" fillId="26" borderId="14" xfId="0" applyFill="1" applyBorder="1" applyAlignment="1">
      <alignment horizontal="right"/>
    </xf>
    <xf numFmtId="0" fontId="14" fillId="26" borderId="14" xfId="0" applyFont="1" applyFill="1" applyBorder="1" applyAlignment="1">
      <alignment horizontal="right"/>
    </xf>
    <xf numFmtId="0" fontId="0" fillId="26" borderId="14" xfId="0" applyFill="1" applyBorder="1"/>
    <xf numFmtId="0" fontId="0" fillId="26" borderId="19" xfId="0" applyFill="1" applyBorder="1"/>
    <xf numFmtId="0" fontId="0" fillId="26" borderId="15" xfId="0" applyFill="1" applyBorder="1"/>
    <xf numFmtId="165" fontId="31" fillId="0" borderId="1" xfId="0" applyNumberFormat="1" applyFont="1" applyBorder="1" applyAlignment="1">
      <alignment horizontal="right"/>
    </xf>
    <xf numFmtId="165" fontId="31" fillId="0" borderId="1" xfId="0" applyNumberFormat="1" applyFont="1" applyBorder="1"/>
    <xf numFmtId="165" fontId="31" fillId="0" borderId="2" xfId="0" applyNumberFormat="1" applyFont="1" applyBorder="1"/>
    <xf numFmtId="165" fontId="33" fillId="8" borderId="1" xfId="0" applyNumberFormat="1" applyFont="1" applyFill="1" applyBorder="1" applyAlignment="1">
      <alignment horizontal="right"/>
    </xf>
    <xf numFmtId="165" fontId="31" fillId="8" borderId="1" xfId="0" applyNumberFormat="1" applyFont="1" applyFill="1" applyBorder="1" applyAlignment="1">
      <alignment horizontal="right"/>
    </xf>
    <xf numFmtId="165" fontId="31" fillId="8" borderId="1" xfId="0" applyNumberFormat="1" applyFont="1" applyFill="1" applyBorder="1"/>
    <xf numFmtId="165" fontId="31" fillId="0" borderId="2" xfId="0" applyNumberFormat="1" applyFont="1" applyBorder="1" applyAlignment="1">
      <alignment horizontal="right"/>
    </xf>
    <xf numFmtId="165" fontId="31" fillId="0" borderId="34" xfId="0" applyNumberFormat="1" applyFont="1" applyBorder="1" applyAlignment="1">
      <alignment horizontal="right"/>
    </xf>
    <xf numFmtId="165" fontId="31" fillId="0" borderId="34" xfId="0" applyNumberFormat="1" applyFont="1" applyBorder="1"/>
    <xf numFmtId="165" fontId="31" fillId="0" borderId="38" xfId="0" applyNumberFormat="1" applyFont="1" applyBorder="1"/>
    <xf numFmtId="165" fontId="38" fillId="0" borderId="1" xfId="0" applyNumberFormat="1" applyFont="1" applyBorder="1" applyAlignment="1">
      <alignment horizontal="right"/>
    </xf>
    <xf numFmtId="165" fontId="39" fillId="0" borderId="46" xfId="0" applyNumberFormat="1" applyFont="1" applyBorder="1"/>
    <xf numFmtId="165" fontId="39" fillId="0" borderId="47" xfId="0" applyNumberFormat="1" applyFont="1" applyBorder="1"/>
    <xf numFmtId="165" fontId="39" fillId="0" borderId="43" xfId="0" applyNumberFormat="1" applyFont="1" applyBorder="1"/>
    <xf numFmtId="4" fontId="0" fillId="0" borderId="0" xfId="0" applyNumberFormat="1"/>
    <xf numFmtId="0" fontId="31" fillId="0" borderId="0" xfId="0" applyFont="1" applyAlignment="1">
      <alignment horizontal="left"/>
    </xf>
    <xf numFmtId="44" fontId="31" fillId="0" borderId="0" xfId="2" applyFont="1" applyBorder="1" applyAlignment="1">
      <alignment horizontal="left"/>
    </xf>
    <xf numFmtId="165" fontId="33" fillId="0" borderId="42" xfId="0" applyNumberFormat="1" applyFont="1" applyBorder="1"/>
    <xf numFmtId="0" fontId="0" fillId="7" borderId="20" xfId="0" applyFill="1" applyBorder="1"/>
    <xf numFmtId="0" fontId="0" fillId="7" borderId="19" xfId="0" applyFill="1" applyBorder="1"/>
    <xf numFmtId="0" fontId="0" fillId="7" borderId="1" xfId="1" applyNumberFormat="1" applyFont="1" applyFill="1" applyBorder="1" applyAlignment="1" applyProtection="1">
      <alignment horizontal="right"/>
    </xf>
    <xf numFmtId="2" fontId="6" fillId="7" borderId="2" xfId="0" applyNumberFormat="1" applyFont="1" applyFill="1" applyBorder="1"/>
    <xf numFmtId="1" fontId="0" fillId="7" borderId="1" xfId="1" applyNumberFormat="1" applyFont="1" applyFill="1" applyBorder="1" applyAlignment="1" applyProtection="1">
      <alignment horizontal="right"/>
    </xf>
    <xf numFmtId="2" fontId="6" fillId="7" borderId="1" xfId="0" applyNumberFormat="1" applyFont="1" applyFill="1" applyBorder="1"/>
    <xf numFmtId="0" fontId="0" fillId="8" borderId="34" xfId="1" applyNumberFormat="1" applyFont="1" applyFill="1" applyBorder="1" applyAlignment="1" applyProtection="1">
      <alignment horizontal="right"/>
    </xf>
    <xf numFmtId="2" fontId="6" fillId="8" borderId="38" xfId="0" applyNumberFormat="1" applyFont="1" applyFill="1" applyBorder="1"/>
    <xf numFmtId="1" fontId="0" fillId="8" borderId="34" xfId="1" applyNumberFormat="1" applyFont="1" applyFill="1" applyBorder="1" applyAlignment="1" applyProtection="1">
      <alignment horizontal="right"/>
    </xf>
    <xf numFmtId="0" fontId="0" fillId="8" borderId="38" xfId="0" applyFill="1" applyBorder="1"/>
    <xf numFmtId="0" fontId="16" fillId="8" borderId="1" xfId="1" applyNumberFormat="1" applyFont="1" applyFill="1" applyBorder="1" applyAlignment="1" applyProtection="1">
      <alignment horizontal="right"/>
    </xf>
    <xf numFmtId="0" fontId="15" fillId="3" borderId="1" xfId="0" applyFont="1" applyFill="1" applyBorder="1" applyAlignment="1">
      <alignment horizontal="center"/>
    </xf>
    <xf numFmtId="1" fontId="16" fillId="22" borderId="1" xfId="1" applyNumberFormat="1" applyFont="1" applyFill="1" applyBorder="1" applyAlignment="1" applyProtection="1">
      <alignment horizontal="right"/>
    </xf>
    <xf numFmtId="1" fontId="16" fillId="24" borderId="1" xfId="1" applyNumberFormat="1" applyFont="1" applyFill="1" applyBorder="1" applyAlignment="1" applyProtection="1">
      <alignment horizontal="right"/>
    </xf>
    <xf numFmtId="1" fontId="16" fillId="4" borderId="1" xfId="1" applyNumberFormat="1" applyFont="1" applyFill="1" applyBorder="1" applyAlignment="1" applyProtection="1">
      <alignment horizontal="right"/>
    </xf>
    <xf numFmtId="1" fontId="16" fillId="16" borderId="1" xfId="1" applyNumberFormat="1" applyFont="1" applyFill="1" applyBorder="1" applyAlignment="1" applyProtection="1">
      <alignment horizontal="right"/>
    </xf>
    <xf numFmtId="0" fontId="16" fillId="16" borderId="1" xfId="1" applyNumberFormat="1" applyFont="1" applyFill="1" applyBorder="1" applyAlignment="1" applyProtection="1">
      <alignment horizontal="right"/>
    </xf>
    <xf numFmtId="0" fontId="16" fillId="3" borderId="1" xfId="1" applyNumberFormat="1" applyFont="1" applyFill="1" applyBorder="1" applyAlignment="1" applyProtection="1">
      <alignment horizontal="right"/>
    </xf>
    <xf numFmtId="0" fontId="16" fillId="2" borderId="1" xfId="1" applyNumberFormat="1" applyFont="1" applyFill="1" applyBorder="1" applyAlignment="1" applyProtection="1">
      <alignment horizontal="right"/>
    </xf>
    <xf numFmtId="0" fontId="16" fillId="4" borderId="1" xfId="1" applyNumberFormat="1" applyFont="1" applyFill="1" applyBorder="1" applyAlignment="1" applyProtection="1">
      <alignment horizontal="right"/>
    </xf>
    <xf numFmtId="0" fontId="16" fillId="7" borderId="1" xfId="1" applyNumberFormat="1" applyFont="1" applyFill="1" applyBorder="1" applyAlignment="1" applyProtection="1">
      <alignment horizontal="right"/>
    </xf>
    <xf numFmtId="0" fontId="4" fillId="3" borderId="20" xfId="0" applyFont="1" applyFill="1" applyBorder="1" applyAlignment="1">
      <alignment horizontal="center"/>
    </xf>
    <xf numFmtId="0" fontId="0" fillId="27" borderId="20" xfId="0" applyFill="1" applyBorder="1"/>
    <xf numFmtId="0" fontId="16" fillId="27" borderId="1" xfId="1" applyNumberFormat="1" applyFont="1" applyFill="1" applyBorder="1" applyAlignment="1" applyProtection="1">
      <alignment horizontal="right"/>
    </xf>
    <xf numFmtId="0" fontId="0" fillId="27" borderId="19" xfId="0" applyFill="1" applyBorder="1"/>
    <xf numFmtId="0" fontId="0" fillId="27" borderId="1" xfId="1" applyNumberFormat="1" applyFont="1" applyFill="1" applyBorder="1" applyAlignment="1" applyProtection="1">
      <alignment horizontal="right"/>
    </xf>
    <xf numFmtId="2" fontId="6" fillId="27" borderId="2" xfId="0" applyNumberFormat="1" applyFont="1" applyFill="1" applyBorder="1"/>
    <xf numFmtId="1" fontId="0" fillId="27" borderId="1" xfId="1" applyNumberFormat="1" applyFont="1" applyFill="1" applyBorder="1" applyAlignment="1" applyProtection="1">
      <alignment horizontal="right"/>
    </xf>
    <xf numFmtId="2" fontId="6" fillId="27" borderId="1" xfId="0" applyNumberFormat="1" applyFont="1" applyFill="1" applyBorder="1"/>
    <xf numFmtId="0" fontId="0" fillId="27" borderId="37" xfId="0" applyFill="1" applyBorder="1"/>
    <xf numFmtId="0" fontId="0" fillId="27" borderId="34" xfId="1" applyNumberFormat="1" applyFont="1" applyFill="1" applyBorder="1" applyAlignment="1" applyProtection="1">
      <alignment horizontal="right"/>
    </xf>
    <xf numFmtId="2" fontId="6" fillId="27" borderId="38" xfId="0" applyNumberFormat="1" applyFont="1" applyFill="1" applyBorder="1"/>
    <xf numFmtId="0" fontId="0" fillId="27" borderId="33" xfId="0" applyFill="1" applyBorder="1"/>
    <xf numFmtId="1" fontId="0" fillId="27" borderId="34" xfId="1" applyNumberFormat="1" applyFont="1" applyFill="1" applyBorder="1" applyAlignment="1" applyProtection="1">
      <alignment horizontal="right"/>
    </xf>
    <xf numFmtId="2" fontId="6" fillId="27" borderId="34" xfId="0" applyNumberFormat="1" applyFont="1" applyFill="1" applyBorder="1"/>
    <xf numFmtId="0" fontId="0" fillId="27" borderId="1" xfId="0" applyFill="1" applyBorder="1"/>
    <xf numFmtId="0" fontId="0" fillId="27" borderId="34" xfId="0" applyFill="1" applyBorder="1"/>
    <xf numFmtId="0" fontId="0" fillId="27" borderId="2" xfId="0" applyFill="1" applyBorder="1"/>
    <xf numFmtId="0" fontId="0" fillId="27" borderId="38" xfId="0" applyFill="1" applyBorder="1"/>
    <xf numFmtId="0" fontId="0" fillId="2" borderId="34" xfId="1" applyNumberFormat="1" applyFont="1" applyFill="1" applyBorder="1" applyAlignment="1" applyProtection="1">
      <alignment horizontal="right"/>
    </xf>
    <xf numFmtId="2" fontId="6" fillId="2" borderId="38" xfId="0" applyNumberFormat="1" applyFont="1" applyFill="1" applyBorder="1"/>
    <xf numFmtId="1" fontId="0" fillId="2" borderId="34" xfId="1" applyNumberFormat="1" applyFont="1" applyFill="1" applyBorder="1" applyAlignment="1" applyProtection="1">
      <alignment horizontal="right"/>
    </xf>
    <xf numFmtId="2" fontId="6" fillId="2" borderId="34" xfId="0" applyNumberFormat="1" applyFont="1" applyFill="1" applyBorder="1"/>
    <xf numFmtId="0" fontId="0" fillId="2" borderId="38" xfId="0" applyFill="1" applyBorder="1"/>
    <xf numFmtId="0" fontId="0" fillId="2" borderId="34" xfId="0" applyFill="1" applyBorder="1"/>
    <xf numFmtId="164" fontId="2" fillId="0" borderId="38" xfId="0" applyNumberFormat="1" applyFont="1" applyBorder="1" applyAlignment="1">
      <alignment horizontal="center"/>
    </xf>
    <xf numFmtId="0" fontId="16" fillId="8" borderId="34" xfId="1" applyNumberFormat="1" applyFont="1" applyFill="1" applyBorder="1" applyAlignment="1" applyProtection="1">
      <alignment horizontal="right"/>
    </xf>
    <xf numFmtId="0" fontId="0" fillId="0" borderId="51" xfId="0" applyBorder="1"/>
    <xf numFmtId="0" fontId="14" fillId="0" borderId="1" xfId="0" applyFont="1" applyBorder="1"/>
    <xf numFmtId="0" fontId="0" fillId="3" borderId="34" xfId="1" applyNumberFormat="1" applyFont="1" applyFill="1" applyBorder="1" applyAlignment="1" applyProtection="1">
      <alignment horizontal="right"/>
    </xf>
    <xf numFmtId="2" fontId="6" fillId="3" borderId="38" xfId="0" applyNumberFormat="1" applyFont="1" applyFill="1" applyBorder="1"/>
    <xf numFmtId="1" fontId="0" fillId="3" borderId="34" xfId="1" applyNumberFormat="1" applyFont="1" applyFill="1" applyBorder="1" applyAlignment="1" applyProtection="1">
      <alignment horizontal="right"/>
    </xf>
    <xf numFmtId="2" fontId="6" fillId="3" borderId="34" xfId="0" applyNumberFormat="1" applyFont="1" applyFill="1" applyBorder="1"/>
    <xf numFmtId="0" fontId="0" fillId="0" borderId="2" xfId="0" applyBorder="1"/>
    <xf numFmtId="0" fontId="0" fillId="0" borderId="52" xfId="0" applyBorder="1"/>
    <xf numFmtId="0" fontId="14" fillId="0" borderId="53" xfId="0" applyFont="1" applyBorder="1"/>
    <xf numFmtId="0" fontId="0" fillId="0" borderId="54" xfId="0" applyBorder="1"/>
    <xf numFmtId="0" fontId="0" fillId="0" borderId="53" xfId="0" applyBorder="1"/>
    <xf numFmtId="2" fontId="0" fillId="0" borderId="53" xfId="0" applyNumberFormat="1" applyBorder="1"/>
    <xf numFmtId="0" fontId="8" fillId="6" borderId="2" xfId="0" applyFont="1" applyFill="1" applyBorder="1"/>
    <xf numFmtId="0" fontId="6" fillId="6" borderId="2" xfId="0" applyFont="1" applyFill="1" applyBorder="1"/>
    <xf numFmtId="0" fontId="0" fillId="3" borderId="38" xfId="0" applyFill="1" applyBorder="1"/>
    <xf numFmtId="0" fontId="0" fillId="22" borderId="30" xfId="0" applyFill="1" applyBorder="1"/>
    <xf numFmtId="0" fontId="0" fillId="24" borderId="2" xfId="0" applyFill="1" applyBorder="1"/>
    <xf numFmtId="0" fontId="35" fillId="3" borderId="2" xfId="0" applyFont="1" applyFill="1" applyBorder="1"/>
    <xf numFmtId="0" fontId="0" fillId="16" borderId="2" xfId="0" applyFill="1" applyBorder="1"/>
    <xf numFmtId="0" fontId="0" fillId="16" borderId="38" xfId="0" applyFill="1" applyBorder="1"/>
    <xf numFmtId="0" fontId="0" fillId="0" borderId="38" xfId="0" applyBorder="1"/>
    <xf numFmtId="0" fontId="0" fillId="5" borderId="38" xfId="0" applyFill="1" applyBorder="1"/>
    <xf numFmtId="2" fontId="6" fillId="8" borderId="34" xfId="0" applyNumberFormat="1" applyFont="1" applyFill="1" applyBorder="1"/>
    <xf numFmtId="0" fontId="0" fillId="3" borderId="34" xfId="0" applyFill="1" applyBorder="1"/>
    <xf numFmtId="0" fontId="0" fillId="0" borderId="23" xfId="0" applyBorder="1"/>
    <xf numFmtId="164" fontId="2" fillId="0" borderId="19" xfId="0" applyNumberFormat="1" applyFont="1" applyBorder="1" applyAlignment="1">
      <alignment horizontal="center"/>
    </xf>
    <xf numFmtId="0" fontId="13" fillId="5" borderId="7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6" fillId="6" borderId="50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2" fontId="12" fillId="15" borderId="34" xfId="0" applyNumberFormat="1" applyFont="1" applyFill="1" applyBorder="1" applyAlignment="1">
      <alignment horizontal="center" vertical="center"/>
    </xf>
    <xf numFmtId="2" fontId="12" fillId="15" borderId="35" xfId="0" applyNumberFormat="1" applyFont="1" applyFill="1" applyBorder="1" applyAlignment="1">
      <alignment horizontal="center" vertical="center"/>
    </xf>
    <xf numFmtId="2" fontId="4" fillId="16" borderId="34" xfId="0" applyNumberFormat="1" applyFont="1" applyFill="1" applyBorder="1" applyAlignment="1">
      <alignment horizontal="center" vertical="center"/>
    </xf>
    <xf numFmtId="2" fontId="4" fillId="16" borderId="4" xfId="0" applyNumberFormat="1" applyFont="1" applyFill="1" applyBorder="1" applyAlignment="1">
      <alignment horizontal="center" vertical="center"/>
    </xf>
    <xf numFmtId="0" fontId="19" fillId="16" borderId="33" xfId="0" applyFont="1" applyFill="1" applyBorder="1" applyAlignment="1">
      <alignment horizontal="center" vertical="center"/>
    </xf>
    <xf numFmtId="0" fontId="19" fillId="16" borderId="22" xfId="0" applyFont="1" applyFill="1" applyBorder="1" applyAlignment="1">
      <alignment horizontal="center" vertical="center"/>
    </xf>
    <xf numFmtId="0" fontId="20" fillId="15" borderId="33" xfId="0" applyFont="1" applyFill="1" applyBorder="1" applyAlignment="1">
      <alignment horizontal="center" vertical="center"/>
    </xf>
    <xf numFmtId="0" fontId="20" fillId="15" borderId="36" xfId="0" applyFont="1" applyFill="1" applyBorder="1" applyAlignment="1">
      <alignment horizontal="center" vertical="center"/>
    </xf>
    <xf numFmtId="0" fontId="21" fillId="18" borderId="30" xfId="0" applyFont="1" applyFill="1" applyBorder="1" applyAlignment="1">
      <alignment horizontal="center"/>
    </xf>
    <xf numFmtId="0" fontId="21" fillId="18" borderId="3" xfId="0" applyFont="1" applyFill="1" applyBorder="1" applyAlignment="1">
      <alignment horizontal="center"/>
    </xf>
    <xf numFmtId="0" fontId="4" fillId="19" borderId="20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20" fillId="17" borderId="38" xfId="0" applyFont="1" applyFill="1" applyBorder="1" applyAlignment="1">
      <alignment horizontal="center" vertical="center"/>
    </xf>
    <xf numFmtId="0" fontId="20" fillId="17" borderId="5" xfId="0" applyFont="1" applyFill="1" applyBorder="1" applyAlignment="1">
      <alignment horizontal="center" vertical="center"/>
    </xf>
    <xf numFmtId="0" fontId="23" fillId="18" borderId="33" xfId="0" applyFont="1" applyFill="1" applyBorder="1" applyAlignment="1">
      <alignment horizontal="center" vertical="center"/>
    </xf>
    <xf numFmtId="0" fontId="23" fillId="18" borderId="22" xfId="0" applyFont="1" applyFill="1" applyBorder="1" applyAlignment="1">
      <alignment horizontal="center" vertical="center"/>
    </xf>
    <xf numFmtId="0" fontId="22" fillId="19" borderId="33" xfId="0" applyFont="1" applyFill="1" applyBorder="1" applyAlignment="1">
      <alignment horizontal="center" vertical="center"/>
    </xf>
    <xf numFmtId="0" fontId="22" fillId="19" borderId="22" xfId="0" applyFont="1" applyFill="1" applyBorder="1" applyAlignment="1">
      <alignment horizontal="center" vertical="center"/>
    </xf>
    <xf numFmtId="0" fontId="23" fillId="14" borderId="38" xfId="0" applyFont="1" applyFill="1" applyBorder="1" applyAlignment="1">
      <alignment horizontal="center" vertical="center"/>
    </xf>
    <xf numFmtId="0" fontId="23" fillId="14" borderId="5" xfId="0" applyFont="1" applyFill="1" applyBorder="1" applyAlignment="1">
      <alignment horizontal="center" vertical="center"/>
    </xf>
    <xf numFmtId="0" fontId="17" fillId="10" borderId="26" xfId="0" applyFont="1" applyFill="1" applyBorder="1" applyAlignment="1">
      <alignment horizontal="center"/>
    </xf>
    <xf numFmtId="0" fontId="17" fillId="10" borderId="27" xfId="0" applyFont="1" applyFill="1" applyBorder="1" applyAlignment="1">
      <alignment horizontal="center"/>
    </xf>
    <xf numFmtId="0" fontId="17" fillId="10" borderId="8" xfId="0" applyFont="1" applyFill="1" applyBorder="1" applyAlignment="1">
      <alignment horizontal="center"/>
    </xf>
    <xf numFmtId="0" fontId="17" fillId="10" borderId="9" xfId="0" applyFont="1" applyFill="1" applyBorder="1" applyAlignment="1">
      <alignment horizontal="center"/>
    </xf>
    <xf numFmtId="0" fontId="18" fillId="4" borderId="24" xfId="0" applyFont="1" applyFill="1" applyBorder="1" applyAlignment="1">
      <alignment horizontal="center" textRotation="255"/>
    </xf>
    <xf numFmtId="0" fontId="18" fillId="4" borderId="25" xfId="0" applyFont="1" applyFill="1" applyBorder="1" applyAlignment="1">
      <alignment horizontal="center" textRotation="255"/>
    </xf>
    <xf numFmtId="0" fontId="18" fillId="4" borderId="31" xfId="0" applyFont="1" applyFill="1" applyBorder="1" applyAlignment="1">
      <alignment horizontal="center" textRotation="255"/>
    </xf>
    <xf numFmtId="0" fontId="18" fillId="4" borderId="48" xfId="0" applyFont="1" applyFill="1" applyBorder="1" applyAlignment="1">
      <alignment horizontal="center" textRotation="255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15" borderId="16" xfId="0" applyFont="1" applyFill="1" applyBorder="1" applyAlignment="1">
      <alignment horizontal="center"/>
    </xf>
    <xf numFmtId="0" fontId="4" fillId="15" borderId="17" xfId="0" applyFont="1" applyFill="1" applyBorder="1" applyAlignment="1">
      <alignment horizontal="center"/>
    </xf>
    <xf numFmtId="0" fontId="4" fillId="15" borderId="18" xfId="0" applyFont="1" applyFill="1" applyBorder="1" applyAlignment="1">
      <alignment horizontal="center"/>
    </xf>
    <xf numFmtId="0" fontId="4" fillId="16" borderId="16" xfId="0" applyFont="1" applyFill="1" applyBorder="1" applyAlignment="1">
      <alignment horizontal="center"/>
    </xf>
    <xf numFmtId="0" fontId="4" fillId="16" borderId="17" xfId="0" applyFont="1" applyFill="1" applyBorder="1" applyAlignment="1">
      <alignment horizontal="center"/>
    </xf>
    <xf numFmtId="0" fontId="4" fillId="16" borderId="18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15" borderId="30" xfId="0" applyFont="1" applyFill="1" applyBorder="1" applyAlignment="1">
      <alignment horizontal="left"/>
    </xf>
    <xf numFmtId="0" fontId="4" fillId="15" borderId="3" xfId="0" applyFont="1" applyFill="1" applyBorder="1" applyAlignment="1">
      <alignment horizontal="left"/>
    </xf>
    <xf numFmtId="0" fontId="4" fillId="16" borderId="30" xfId="0" applyFont="1" applyFill="1" applyBorder="1" applyAlignment="1">
      <alignment horizontal="left"/>
    </xf>
    <xf numFmtId="0" fontId="4" fillId="16" borderId="3" xfId="0" applyFont="1" applyFill="1" applyBorder="1" applyAlignment="1">
      <alignment horizontal="left"/>
    </xf>
    <xf numFmtId="0" fontId="4" fillId="17" borderId="30" xfId="0" applyFont="1" applyFill="1" applyBorder="1" applyAlignment="1">
      <alignment horizontal="left"/>
    </xf>
    <xf numFmtId="0" fontId="4" fillId="17" borderId="3" xfId="0" applyFont="1" applyFill="1" applyBorder="1" applyAlignment="1">
      <alignment horizontal="left"/>
    </xf>
    <xf numFmtId="0" fontId="4" fillId="17" borderId="16" xfId="0" applyFont="1" applyFill="1" applyBorder="1" applyAlignment="1">
      <alignment horizontal="center"/>
    </xf>
    <xf numFmtId="0" fontId="4" fillId="17" borderId="17" xfId="0" applyFont="1" applyFill="1" applyBorder="1" applyAlignment="1">
      <alignment horizontal="center"/>
    </xf>
    <xf numFmtId="0" fontId="4" fillId="14" borderId="30" xfId="0" applyFont="1" applyFill="1" applyBorder="1" applyAlignment="1">
      <alignment horizontal="left"/>
    </xf>
    <xf numFmtId="0" fontId="4" fillId="14" borderId="3" xfId="0" applyFont="1" applyFill="1" applyBorder="1" applyAlignment="1">
      <alignment horizontal="left"/>
    </xf>
    <xf numFmtId="0" fontId="21" fillId="18" borderId="16" xfId="0" applyFont="1" applyFill="1" applyBorder="1" applyAlignment="1">
      <alignment horizontal="center"/>
    </xf>
    <xf numFmtId="0" fontId="21" fillId="18" borderId="17" xfId="0" applyFont="1" applyFill="1" applyBorder="1" applyAlignment="1">
      <alignment horizontal="center"/>
    </xf>
    <xf numFmtId="0" fontId="21" fillId="18" borderId="18" xfId="0" applyFont="1" applyFill="1" applyBorder="1" applyAlignment="1">
      <alignment horizontal="center"/>
    </xf>
    <xf numFmtId="0" fontId="4" fillId="14" borderId="16" xfId="0" applyFont="1" applyFill="1" applyBorder="1" applyAlignment="1">
      <alignment horizontal="center"/>
    </xf>
    <xf numFmtId="0" fontId="4" fillId="14" borderId="17" xfId="0" applyFont="1" applyFill="1" applyBorder="1" applyAlignment="1">
      <alignment horizontal="center"/>
    </xf>
    <xf numFmtId="0" fontId="4" fillId="19" borderId="10" xfId="0" applyFont="1" applyFill="1" applyBorder="1" applyAlignment="1">
      <alignment horizontal="center"/>
    </xf>
    <xf numFmtId="0" fontId="4" fillId="19" borderId="11" xfId="0" applyFont="1" applyFill="1" applyBorder="1" applyAlignment="1">
      <alignment horizontal="center"/>
    </xf>
    <xf numFmtId="0" fontId="4" fillId="19" borderId="12" xfId="0" applyFont="1" applyFill="1" applyBorder="1" applyAlignment="1">
      <alignment horizontal="center"/>
    </xf>
    <xf numFmtId="0" fontId="20" fillId="3" borderId="19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8" fillId="10" borderId="26" xfId="0" applyFont="1" applyFill="1" applyBorder="1" applyAlignment="1">
      <alignment horizontal="center"/>
    </xf>
    <xf numFmtId="0" fontId="8" fillId="10" borderId="27" xfId="0" applyFont="1" applyFill="1" applyBorder="1" applyAlignment="1">
      <alignment horizontal="center"/>
    </xf>
    <xf numFmtId="0" fontId="8" fillId="10" borderId="28" xfId="0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6"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colors>
    <mruColors>
      <color rgb="FFE5C7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'Caldeira '!$A$2</c:f>
              <c:strCache>
                <c:ptCount val="1"/>
                <c:pt idx="0">
                  <c:v>M³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'Caldeira '!$B$1:$M$1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'Caldeira '!$B$2:$M$2</c:f>
              <c:numCache>
                <c:formatCode>General</c:formatCode>
                <c:ptCount val="12"/>
                <c:pt idx="0">
                  <c:v>48</c:v>
                </c:pt>
                <c:pt idx="1">
                  <c:v>42</c:v>
                </c:pt>
                <c:pt idx="2">
                  <c:v>54</c:v>
                </c:pt>
                <c:pt idx="3">
                  <c:v>54</c:v>
                </c:pt>
                <c:pt idx="4">
                  <c:v>38</c:v>
                </c:pt>
                <c:pt idx="5">
                  <c:v>51</c:v>
                </c:pt>
                <c:pt idx="6">
                  <c:v>52</c:v>
                </c:pt>
                <c:pt idx="7">
                  <c:v>43</c:v>
                </c:pt>
                <c:pt idx="8">
                  <c:v>43</c:v>
                </c:pt>
                <c:pt idx="9">
                  <c:v>39</c:v>
                </c:pt>
                <c:pt idx="1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6-490B-8EFA-739FA1291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527740895"/>
        <c:axId val="1183165295"/>
      </c:barChart>
      <c:dateAx>
        <c:axId val="152774089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solidFill>
            <a:schemeClr val="tx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3165295"/>
        <c:crosses val="autoZero"/>
        <c:auto val="1"/>
        <c:lblOffset val="100"/>
        <c:baseTimeUnit val="months"/>
      </c:dateAx>
      <c:valAx>
        <c:axId val="118316529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774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58354736024456E-2"/>
          <c:y val="0.1975157637821052"/>
          <c:w val="0.90878494790420006"/>
          <c:h val="0.6380975795350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SABESP_2024!$A$3</c:f>
              <c:strCache>
                <c:ptCount val="1"/>
                <c:pt idx="0">
                  <c:v>Rodolfo M 476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numRef>
              <c:f>SABESP_2024!$B$2:$M$2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SABESP_2024!$B$3:$M$3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B383-4797-8F0B-E53C416FD48C}"/>
            </c:ext>
          </c:extLst>
        </c:ser>
        <c:ser>
          <c:idx val="1"/>
          <c:order val="1"/>
          <c:tx>
            <c:strRef>
              <c:f>SABESP_2024!$A$4</c:f>
              <c:strCache>
                <c:ptCount val="1"/>
                <c:pt idx="0">
                  <c:v>Rodolfo M 494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numRef>
              <c:f>SABESP_2024!$B$2:$M$2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SABESP_2024!$B$4:$M$4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B383-4797-8F0B-E53C416FD48C}"/>
            </c:ext>
          </c:extLst>
        </c:ser>
        <c:ser>
          <c:idx val="2"/>
          <c:order val="2"/>
          <c:tx>
            <c:strRef>
              <c:f>SABESP_2024!$A$5</c:f>
              <c:strCache>
                <c:ptCount val="1"/>
                <c:pt idx="0">
                  <c:v>Mamoré 200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numRef>
              <c:f>SABESP_2024!$B$2:$M$2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SABESP_2024!$B$5:$M$5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B383-4797-8F0B-E53C416FD48C}"/>
            </c:ext>
          </c:extLst>
        </c:ser>
        <c:ser>
          <c:idx val="3"/>
          <c:order val="3"/>
          <c:tx>
            <c:strRef>
              <c:f>SABESP_2024!$A$6</c:f>
              <c:strCache>
                <c:ptCount val="1"/>
                <c:pt idx="0">
                  <c:v>CALDEIRA 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numRef>
              <c:f>SABESP_2024!$B$2:$M$2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SABESP_2024!$B$6:$M$6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B383-4797-8F0B-E53C416FD48C}"/>
            </c:ext>
          </c:extLst>
        </c:ser>
        <c:ser>
          <c:idx val="4"/>
          <c:order val="4"/>
          <c:tx>
            <c:strRef>
              <c:f>SABESP_2024!$A$7</c:f>
              <c:strCache>
                <c:ptCount val="1"/>
                <c:pt idx="0">
                  <c:v>Bela Cintra 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numRef>
              <c:f>SABESP_2024!$B$2:$M$2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SABESP_2024!$B$7:$M$7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B383-4797-8F0B-E53C416FD48C}"/>
            </c:ext>
          </c:extLst>
        </c:ser>
        <c:ser>
          <c:idx val="5"/>
          <c:order val="5"/>
          <c:tx>
            <c:strRef>
              <c:f>SABESP_2024!$A$8</c:f>
              <c:strCache>
                <c:ptCount val="1"/>
                <c:pt idx="0">
                  <c:v>Belvedere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SABESP_2024!$B$2:$M$2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SABESP_2024!$B$8:$M$8</c:f>
            </c:numRef>
          </c:val>
          <c:extLst>
            <c:ext xmlns:c16="http://schemas.microsoft.com/office/drawing/2014/chart" uri="{C3380CC4-5D6E-409C-BE32-E72D297353CC}">
              <c16:uniqueId val="{00000001-8776-41A0-AD71-6092B42927B4}"/>
            </c:ext>
          </c:extLst>
        </c:ser>
        <c:ser>
          <c:idx val="6"/>
          <c:order val="6"/>
          <c:tx>
            <c:strRef>
              <c:f>SABESP_2024!$A$9</c:f>
              <c:strCache>
                <c:ptCount val="1"/>
                <c:pt idx="0">
                  <c:v>Galpão 92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SABESP_2024!$B$2:$M$2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SABESP_2024!$B$9:$M$9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49A5-4DCB-9BD0-22C8DD5CF79F}"/>
            </c:ext>
          </c:extLst>
        </c:ser>
        <c:ser>
          <c:idx val="7"/>
          <c:order val="7"/>
          <c:tx>
            <c:strRef>
              <c:f>SABESP_2024!$A$10</c:f>
              <c:strCache>
                <c:ptCount val="1"/>
                <c:pt idx="0">
                  <c:v>Galpão 116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SABESP_2024!$B$2:$M$2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SABESP_2024!$B$10:$M$10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49A5-4DCB-9BD0-22C8DD5CF7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16190671"/>
        <c:axId val="116195663"/>
      </c:barChart>
      <c:dateAx>
        <c:axId val="11619067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195663"/>
        <c:crosses val="autoZero"/>
        <c:auto val="1"/>
        <c:lblOffset val="100"/>
        <c:baseTimeUnit val="months"/>
      </c:dateAx>
      <c:valAx>
        <c:axId val="1161956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19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/>
              <a:t>FECHAMENTO MENSAL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SABESP_2022!$A$3</c:f>
              <c:strCache>
                <c:ptCount val="1"/>
                <c:pt idx="0">
                  <c:v>Rodolfo M 476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SABESP_2022!$B$2:$M$2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SABESP_2022!$B$3:$M$3</c:f>
              <c:numCache>
                <c:formatCode>General</c:formatCode>
                <c:ptCount val="12"/>
                <c:pt idx="0">
                  <c:v>64</c:v>
                </c:pt>
                <c:pt idx="1">
                  <c:v>62</c:v>
                </c:pt>
                <c:pt idx="2">
                  <c:v>79</c:v>
                </c:pt>
                <c:pt idx="3">
                  <c:v>40</c:v>
                </c:pt>
                <c:pt idx="4">
                  <c:v>14</c:v>
                </c:pt>
                <c:pt idx="5">
                  <c:v>52</c:v>
                </c:pt>
                <c:pt idx="6">
                  <c:v>79</c:v>
                </c:pt>
                <c:pt idx="7">
                  <c:v>93</c:v>
                </c:pt>
                <c:pt idx="8">
                  <c:v>71</c:v>
                </c:pt>
                <c:pt idx="9">
                  <c:v>116</c:v>
                </c:pt>
                <c:pt idx="10">
                  <c:v>124</c:v>
                </c:pt>
                <c:pt idx="1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7-48ED-9C4D-510509FFA560}"/>
            </c:ext>
          </c:extLst>
        </c:ser>
        <c:ser>
          <c:idx val="1"/>
          <c:order val="1"/>
          <c:tx>
            <c:strRef>
              <c:f>SABESP_2022!$A$4</c:f>
              <c:strCache>
                <c:ptCount val="1"/>
                <c:pt idx="0">
                  <c:v>Rodolfo M 494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SABESP_2022!$B$2:$M$2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SABESP_2022!$B$4:$M$4</c:f>
              <c:numCache>
                <c:formatCode>General</c:formatCode>
                <c:ptCount val="12"/>
                <c:pt idx="0">
                  <c:v>145</c:v>
                </c:pt>
                <c:pt idx="1">
                  <c:v>233</c:v>
                </c:pt>
                <c:pt idx="2">
                  <c:v>266</c:v>
                </c:pt>
                <c:pt idx="3">
                  <c:v>253</c:v>
                </c:pt>
                <c:pt idx="4">
                  <c:v>224</c:v>
                </c:pt>
                <c:pt idx="5">
                  <c:v>211</c:v>
                </c:pt>
                <c:pt idx="6">
                  <c:v>262</c:v>
                </c:pt>
                <c:pt idx="7">
                  <c:v>241</c:v>
                </c:pt>
                <c:pt idx="8">
                  <c:v>249</c:v>
                </c:pt>
                <c:pt idx="9">
                  <c:v>247</c:v>
                </c:pt>
                <c:pt idx="10">
                  <c:v>218</c:v>
                </c:pt>
                <c:pt idx="11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B7-48ED-9C4D-510509FFA560}"/>
            </c:ext>
          </c:extLst>
        </c:ser>
        <c:ser>
          <c:idx val="2"/>
          <c:order val="2"/>
          <c:tx>
            <c:strRef>
              <c:f>SABESP_2022!$A$5</c:f>
              <c:strCache>
                <c:ptCount val="1"/>
                <c:pt idx="0">
                  <c:v>Mamoré 200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SABESP_2022!$B$2:$M$2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SABESP_2022!$B$5:$M$5</c:f>
              <c:numCache>
                <c:formatCode>General</c:formatCode>
                <c:ptCount val="12"/>
                <c:pt idx="0">
                  <c:v>72</c:v>
                </c:pt>
                <c:pt idx="1">
                  <c:v>136</c:v>
                </c:pt>
                <c:pt idx="2">
                  <c:v>140</c:v>
                </c:pt>
                <c:pt idx="3">
                  <c:v>139</c:v>
                </c:pt>
                <c:pt idx="4">
                  <c:v>144</c:v>
                </c:pt>
                <c:pt idx="5">
                  <c:v>139</c:v>
                </c:pt>
                <c:pt idx="6">
                  <c:v>145</c:v>
                </c:pt>
                <c:pt idx="7">
                  <c:v>174</c:v>
                </c:pt>
                <c:pt idx="8">
                  <c:v>172</c:v>
                </c:pt>
                <c:pt idx="9">
                  <c:v>169</c:v>
                </c:pt>
                <c:pt idx="10">
                  <c:v>142</c:v>
                </c:pt>
                <c:pt idx="11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B7-48ED-9C4D-510509FFA560}"/>
            </c:ext>
          </c:extLst>
        </c:ser>
        <c:ser>
          <c:idx val="3"/>
          <c:order val="3"/>
          <c:tx>
            <c:strRef>
              <c:f>SABESP_2022!$A$6</c:f>
              <c:strCache>
                <c:ptCount val="1"/>
                <c:pt idx="0">
                  <c:v>CALDEIRA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SABESP_2022!$B$2:$M$2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SABESP_2022!$B$6:$M$6</c:f>
              <c:numCache>
                <c:formatCode>General</c:formatCode>
                <c:ptCount val="12"/>
                <c:pt idx="0">
                  <c:v>38</c:v>
                </c:pt>
                <c:pt idx="1">
                  <c:v>40</c:v>
                </c:pt>
                <c:pt idx="2">
                  <c:v>49</c:v>
                </c:pt>
                <c:pt idx="3">
                  <c:v>43</c:v>
                </c:pt>
                <c:pt idx="4">
                  <c:v>43</c:v>
                </c:pt>
                <c:pt idx="5">
                  <c:v>51</c:v>
                </c:pt>
                <c:pt idx="6">
                  <c:v>43</c:v>
                </c:pt>
                <c:pt idx="7">
                  <c:v>47</c:v>
                </c:pt>
                <c:pt idx="8">
                  <c:v>44</c:v>
                </c:pt>
                <c:pt idx="9">
                  <c:v>51</c:v>
                </c:pt>
                <c:pt idx="10">
                  <c:v>58</c:v>
                </c:pt>
                <c:pt idx="1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B7-48ED-9C4D-510509FFA560}"/>
            </c:ext>
          </c:extLst>
        </c:ser>
        <c:ser>
          <c:idx val="4"/>
          <c:order val="4"/>
          <c:tx>
            <c:strRef>
              <c:f>SABESP_2022!$A$7</c:f>
              <c:strCache>
                <c:ptCount val="1"/>
                <c:pt idx="0">
                  <c:v>Bela Cintra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SABESP_2022!$B$2:$M$2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SABESP_2022!$B$7:$M$7</c:f>
              <c:numCache>
                <c:formatCode>General</c:formatCode>
                <c:ptCount val="12"/>
                <c:pt idx="0">
                  <c:v>16</c:v>
                </c:pt>
                <c:pt idx="1">
                  <c:v>16</c:v>
                </c:pt>
                <c:pt idx="2">
                  <c:v>20</c:v>
                </c:pt>
                <c:pt idx="3">
                  <c:v>18</c:v>
                </c:pt>
                <c:pt idx="4">
                  <c:v>19</c:v>
                </c:pt>
                <c:pt idx="5">
                  <c:v>25</c:v>
                </c:pt>
                <c:pt idx="6">
                  <c:v>24</c:v>
                </c:pt>
                <c:pt idx="7">
                  <c:v>22</c:v>
                </c:pt>
                <c:pt idx="8">
                  <c:v>23</c:v>
                </c:pt>
                <c:pt idx="9">
                  <c:v>21</c:v>
                </c:pt>
                <c:pt idx="10">
                  <c:v>19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B7-48ED-9C4D-510509FFA560}"/>
            </c:ext>
          </c:extLst>
        </c:ser>
        <c:ser>
          <c:idx val="5"/>
          <c:order val="5"/>
          <c:tx>
            <c:strRef>
              <c:f>SABESP_2022!$A$8</c:f>
              <c:strCache>
                <c:ptCount val="1"/>
                <c:pt idx="0">
                  <c:v>Belvedere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f>SABESP_2022!$B$2:$M$2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SABESP_2022!$B$8:$M$8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B7-48ED-9C4D-510509FFA560}"/>
            </c:ext>
          </c:extLst>
        </c:ser>
        <c:ser>
          <c:idx val="6"/>
          <c:order val="6"/>
          <c:tx>
            <c:strRef>
              <c:f>SABESP_2022!$A$9</c:f>
              <c:strCache>
                <c:ptCount val="1"/>
                <c:pt idx="0">
                  <c:v>Galpão 92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SABESP_2022!$B$2:$M$2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SABESP_2022!$B$9:$M$9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15</c:v>
                </c:pt>
                <c:pt idx="10">
                  <c:v>8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B7-48ED-9C4D-510509FFA560}"/>
            </c:ext>
          </c:extLst>
        </c:ser>
        <c:ser>
          <c:idx val="7"/>
          <c:order val="7"/>
          <c:tx>
            <c:strRef>
              <c:f>SABESP_2022!$A$10</c:f>
              <c:strCache>
                <c:ptCount val="1"/>
                <c:pt idx="0">
                  <c:v>Galpão 116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SABESP_2022!$B$2:$M$2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SABESP_2022!$B$10:$M$10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B7-48ED-9C4D-510509FFA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6125840"/>
        <c:axId val="1896134992"/>
        <c:axId val="0"/>
      </c:bar3DChart>
      <c:dateAx>
        <c:axId val="18961258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134992"/>
        <c:crosses val="autoZero"/>
        <c:auto val="1"/>
        <c:lblOffset val="100"/>
        <c:baseTimeUnit val="months"/>
      </c:dateAx>
      <c:valAx>
        <c:axId val="189613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125840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8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800"/>
              <a:t>Consumo</a:t>
            </a:r>
            <a:r>
              <a:rPr lang="pt-BR" sz="2800" baseline="0"/>
              <a:t> anual por local </a:t>
            </a:r>
          </a:p>
          <a:p>
            <a:pPr>
              <a:defRPr sz="2800"/>
            </a:pPr>
            <a:r>
              <a:rPr lang="pt-BR" sz="2800"/>
              <a:t>6.237.000</a:t>
            </a:r>
            <a:r>
              <a:rPr lang="pt-BR" sz="2800" baseline="0"/>
              <a:t> LITROS (totais)</a:t>
            </a:r>
            <a:endParaRPr lang="pt-BR" sz="2800"/>
          </a:p>
        </c:rich>
      </c:tx>
      <c:layout>
        <c:manualLayout>
          <c:xMode val="edge"/>
          <c:yMode val="edge"/>
          <c:x val="1.4499878204443843E-2"/>
          <c:y val="1.8276970944653158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640721900913E-2"/>
          <c:y val="9.2056699116870797E-2"/>
          <c:w val="0.93888888888888888"/>
          <c:h val="0.7210637212015165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C7E-4C36-9536-251E492711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C7E-4C36-9536-251E492711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C7E-4C36-9536-251E492711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4C7E-4C36-9536-251E492711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4C7E-4C36-9536-251E4927112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4C7E-4C36-9536-251E4927112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4C7E-4C36-9536-251E4927112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4C7E-4C36-9536-251E492711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SABESP_2022!$A$3:$A$10</c:f>
              <c:strCache>
                <c:ptCount val="8"/>
                <c:pt idx="0">
                  <c:v>Rodolfo M 476</c:v>
                </c:pt>
                <c:pt idx="1">
                  <c:v>Rodolfo M 494</c:v>
                </c:pt>
                <c:pt idx="2">
                  <c:v>Mamoré 200</c:v>
                </c:pt>
                <c:pt idx="3">
                  <c:v>CALDEIRA </c:v>
                </c:pt>
                <c:pt idx="4">
                  <c:v>Bela Cintra </c:v>
                </c:pt>
                <c:pt idx="5">
                  <c:v>Belvedere</c:v>
                </c:pt>
                <c:pt idx="6">
                  <c:v>Galpão 92</c:v>
                </c:pt>
                <c:pt idx="7">
                  <c:v>Galpão 116</c:v>
                </c:pt>
              </c:strCache>
            </c:strRef>
          </c:cat>
          <c:val>
            <c:numRef>
              <c:f>SABESP_2022!$N$3:$N$10</c:f>
              <c:numCache>
                <c:formatCode>General</c:formatCode>
                <c:ptCount val="8"/>
                <c:pt idx="0">
                  <c:v>914</c:v>
                </c:pt>
                <c:pt idx="1">
                  <c:v>2736</c:v>
                </c:pt>
                <c:pt idx="2">
                  <c:v>1710</c:v>
                </c:pt>
                <c:pt idx="3">
                  <c:v>558</c:v>
                </c:pt>
                <c:pt idx="4">
                  <c:v>242</c:v>
                </c:pt>
                <c:pt idx="5">
                  <c:v>0</c:v>
                </c:pt>
                <c:pt idx="6">
                  <c:v>54</c:v>
                </c:pt>
                <c:pt idx="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D-49AF-973E-404466F6710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41380143655E-2"/>
          <c:y val="0.85416464288789573"/>
          <c:w val="0.89999991723971273"/>
          <c:h val="0.1275583861674510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/>
              <a:t>Gasto</a:t>
            </a:r>
            <a:r>
              <a:rPr lang="pt-BR" sz="2400" baseline="0"/>
              <a:t> anual por local</a:t>
            </a:r>
          </a:p>
        </c:rich>
      </c:tx>
      <c:layout>
        <c:manualLayout>
          <c:xMode val="edge"/>
          <c:yMode val="edge"/>
          <c:x val="1.4361393316687078E-2"/>
          <c:y val="2.8429748859358929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9495516542100967E-2"/>
          <c:y val="0.18044010892847084"/>
          <c:w val="0.77889829396325461"/>
          <c:h val="0.7547451881014872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787-4152-9DAB-7D5E4A9ED1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787-4152-9DAB-7D5E4A9ED1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787-4152-9DAB-7D5E4A9ED1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787-4152-9DAB-7D5E4A9ED11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SABESP_2022!$Z$21:$AC$21</c:f>
              <c:strCache>
                <c:ptCount val="4"/>
                <c:pt idx="0">
                  <c:v>476</c:v>
                </c:pt>
                <c:pt idx="1">
                  <c:v>494</c:v>
                </c:pt>
                <c:pt idx="2">
                  <c:v>Camisaria</c:v>
                </c:pt>
                <c:pt idx="3">
                  <c:v>bc</c:v>
                </c:pt>
              </c:strCache>
            </c:strRef>
          </c:cat>
          <c:val>
            <c:numRef>
              <c:f>SABESP_2022!$Z$22:$AC$22</c:f>
              <c:numCache>
                <c:formatCode>_("R$"* #,##0.00_);_("R$"* \(#,##0.00\);_("R$"* "-"??_);_(@_)</c:formatCode>
                <c:ptCount val="4"/>
                <c:pt idx="0">
                  <c:v>32930.480000000003</c:v>
                </c:pt>
                <c:pt idx="1">
                  <c:v>137787.82</c:v>
                </c:pt>
                <c:pt idx="2">
                  <c:v>76159.350000000006</c:v>
                </c:pt>
                <c:pt idx="3">
                  <c:v>4517.78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70-40C9-99CD-C625F72AD32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15079380652391"/>
          <c:y val="0.24288743274517577"/>
          <c:w val="0.15439327977575468"/>
          <c:h val="0.4904154063868438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/>
              <a:t>FECHAMENTO MENSAL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SABESP_2023!$A$3</c:f>
              <c:strCache>
                <c:ptCount val="1"/>
                <c:pt idx="0">
                  <c:v>Rodolfo M 476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SABESP_2023!$B$2:$M$2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SABESP_2023!$B$3:$M$3</c:f>
              <c:numCache>
                <c:formatCode>General</c:formatCode>
                <c:ptCount val="12"/>
                <c:pt idx="0">
                  <c:v>53</c:v>
                </c:pt>
                <c:pt idx="1">
                  <c:v>90</c:v>
                </c:pt>
                <c:pt idx="2">
                  <c:v>130</c:v>
                </c:pt>
                <c:pt idx="3">
                  <c:v>124</c:v>
                </c:pt>
                <c:pt idx="4">
                  <c:v>105</c:v>
                </c:pt>
                <c:pt idx="5">
                  <c:v>116</c:v>
                </c:pt>
                <c:pt idx="6">
                  <c:v>114</c:v>
                </c:pt>
                <c:pt idx="7">
                  <c:v>99</c:v>
                </c:pt>
                <c:pt idx="8">
                  <c:v>267</c:v>
                </c:pt>
                <c:pt idx="9">
                  <c:v>355</c:v>
                </c:pt>
                <c:pt idx="10">
                  <c:v>97</c:v>
                </c:pt>
                <c:pt idx="11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1-457A-9E8C-3B664A9D5062}"/>
            </c:ext>
          </c:extLst>
        </c:ser>
        <c:ser>
          <c:idx val="1"/>
          <c:order val="1"/>
          <c:tx>
            <c:strRef>
              <c:f>SABESP_2023!$A$4</c:f>
              <c:strCache>
                <c:ptCount val="1"/>
                <c:pt idx="0">
                  <c:v>Rodolfo M 494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SABESP_2023!$B$2:$M$2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SABESP_2023!$B$4:$M$4</c:f>
              <c:numCache>
                <c:formatCode>General</c:formatCode>
                <c:ptCount val="12"/>
                <c:pt idx="0">
                  <c:v>208</c:v>
                </c:pt>
                <c:pt idx="1">
                  <c:v>216</c:v>
                </c:pt>
                <c:pt idx="2">
                  <c:v>238</c:v>
                </c:pt>
                <c:pt idx="3">
                  <c:v>271</c:v>
                </c:pt>
                <c:pt idx="4">
                  <c:v>253</c:v>
                </c:pt>
                <c:pt idx="5">
                  <c:v>245</c:v>
                </c:pt>
                <c:pt idx="6">
                  <c:v>217</c:v>
                </c:pt>
                <c:pt idx="7">
                  <c:v>257</c:v>
                </c:pt>
                <c:pt idx="8">
                  <c:v>36</c:v>
                </c:pt>
                <c:pt idx="9">
                  <c:v>2</c:v>
                </c:pt>
                <c:pt idx="10">
                  <c:v>184</c:v>
                </c:pt>
                <c:pt idx="11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B1-457A-9E8C-3B664A9D5062}"/>
            </c:ext>
          </c:extLst>
        </c:ser>
        <c:ser>
          <c:idx val="2"/>
          <c:order val="2"/>
          <c:tx>
            <c:strRef>
              <c:f>SABESP_2023!$A$5</c:f>
              <c:strCache>
                <c:ptCount val="1"/>
                <c:pt idx="0">
                  <c:v>Mamoré 200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SABESP_2023!$B$2:$M$2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SABESP_2023!$B$5:$M$5</c:f>
              <c:numCache>
                <c:formatCode>General</c:formatCode>
                <c:ptCount val="12"/>
                <c:pt idx="0">
                  <c:v>73</c:v>
                </c:pt>
                <c:pt idx="1">
                  <c:v>132</c:v>
                </c:pt>
                <c:pt idx="2">
                  <c:v>151</c:v>
                </c:pt>
                <c:pt idx="3">
                  <c:v>141</c:v>
                </c:pt>
                <c:pt idx="4">
                  <c:v>140</c:v>
                </c:pt>
                <c:pt idx="5">
                  <c:v>135</c:v>
                </c:pt>
                <c:pt idx="6">
                  <c:v>116</c:v>
                </c:pt>
                <c:pt idx="7">
                  <c:v>134</c:v>
                </c:pt>
                <c:pt idx="8">
                  <c:v>115</c:v>
                </c:pt>
                <c:pt idx="9">
                  <c:v>138</c:v>
                </c:pt>
                <c:pt idx="10">
                  <c:v>124</c:v>
                </c:pt>
                <c:pt idx="11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B1-457A-9E8C-3B664A9D5062}"/>
            </c:ext>
          </c:extLst>
        </c:ser>
        <c:ser>
          <c:idx val="3"/>
          <c:order val="3"/>
          <c:tx>
            <c:strRef>
              <c:f>SABESP_2023!$A$6</c:f>
              <c:strCache>
                <c:ptCount val="1"/>
                <c:pt idx="0">
                  <c:v>CALDEIRA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SABESP_2023!$B$2:$M$2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SABESP_2023!$B$6:$M$6</c:f>
              <c:numCache>
                <c:formatCode>General</c:formatCode>
                <c:ptCount val="12"/>
                <c:pt idx="0">
                  <c:v>48</c:v>
                </c:pt>
                <c:pt idx="1">
                  <c:v>42</c:v>
                </c:pt>
                <c:pt idx="2">
                  <c:v>54</c:v>
                </c:pt>
                <c:pt idx="3">
                  <c:v>54</c:v>
                </c:pt>
                <c:pt idx="4">
                  <c:v>38</c:v>
                </c:pt>
                <c:pt idx="5">
                  <c:v>51</c:v>
                </c:pt>
                <c:pt idx="6">
                  <c:v>52</c:v>
                </c:pt>
                <c:pt idx="7">
                  <c:v>43</c:v>
                </c:pt>
                <c:pt idx="8">
                  <c:v>43</c:v>
                </c:pt>
                <c:pt idx="9">
                  <c:v>39</c:v>
                </c:pt>
                <c:pt idx="10">
                  <c:v>39</c:v>
                </c:pt>
                <c:pt idx="1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B1-457A-9E8C-3B664A9D5062}"/>
            </c:ext>
          </c:extLst>
        </c:ser>
        <c:ser>
          <c:idx val="4"/>
          <c:order val="4"/>
          <c:tx>
            <c:strRef>
              <c:f>SABESP_2023!$A$7</c:f>
              <c:strCache>
                <c:ptCount val="1"/>
                <c:pt idx="0">
                  <c:v>Bela Cintra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SABESP_2023!$B$2:$M$2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SABESP_2023!$B$7:$M$7</c:f>
              <c:numCache>
                <c:formatCode>General</c:formatCode>
                <c:ptCount val="12"/>
                <c:pt idx="0">
                  <c:v>20</c:v>
                </c:pt>
                <c:pt idx="1">
                  <c:v>17</c:v>
                </c:pt>
                <c:pt idx="2">
                  <c:v>19</c:v>
                </c:pt>
                <c:pt idx="3">
                  <c:v>23</c:v>
                </c:pt>
                <c:pt idx="4">
                  <c:v>20</c:v>
                </c:pt>
                <c:pt idx="5">
                  <c:v>20</c:v>
                </c:pt>
                <c:pt idx="6">
                  <c:v>22</c:v>
                </c:pt>
                <c:pt idx="7">
                  <c:v>23</c:v>
                </c:pt>
                <c:pt idx="8">
                  <c:v>22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B1-457A-9E8C-3B664A9D5062}"/>
            </c:ext>
          </c:extLst>
        </c:ser>
        <c:ser>
          <c:idx val="5"/>
          <c:order val="5"/>
          <c:tx>
            <c:strRef>
              <c:f>SABESP_2023!$A$8</c:f>
              <c:strCache>
                <c:ptCount val="1"/>
                <c:pt idx="0">
                  <c:v>Belvedere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f>SABESP_2023!$B$2:$M$2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SABESP_2023!$B$8:$M$8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36</c:v>
                </c:pt>
                <c:pt idx="4">
                  <c:v>46</c:v>
                </c:pt>
                <c:pt idx="6">
                  <c:v>79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B1-457A-9E8C-3B664A9D5062}"/>
            </c:ext>
          </c:extLst>
        </c:ser>
        <c:ser>
          <c:idx val="6"/>
          <c:order val="6"/>
          <c:tx>
            <c:strRef>
              <c:f>SABESP_2023!$A$9</c:f>
              <c:strCache>
                <c:ptCount val="1"/>
                <c:pt idx="0">
                  <c:v>Galpão 92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SABESP_2023!$B$2:$M$2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SABESP_2023!$B$9:$M$9</c:f>
              <c:numCache>
                <c:formatCode>General</c:formatCode>
                <c:ptCount val="12"/>
                <c:pt idx="0">
                  <c:v>15</c:v>
                </c:pt>
                <c:pt idx="1">
                  <c:v>13</c:v>
                </c:pt>
                <c:pt idx="2">
                  <c:v>11</c:v>
                </c:pt>
                <c:pt idx="3">
                  <c:v>15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0</c:v>
                </c:pt>
                <c:pt idx="8">
                  <c:v>20</c:v>
                </c:pt>
                <c:pt idx="9">
                  <c:v>21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B1-457A-9E8C-3B664A9D5062}"/>
            </c:ext>
          </c:extLst>
        </c:ser>
        <c:ser>
          <c:idx val="7"/>
          <c:order val="7"/>
          <c:tx>
            <c:strRef>
              <c:f>SABESP_2023!$A$10</c:f>
              <c:strCache>
                <c:ptCount val="1"/>
                <c:pt idx="0">
                  <c:v>Galpão 116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SABESP_2023!$B$2:$M$2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SABESP_2023!$B$10:$M$10</c:f>
              <c:numCache>
                <c:formatCode>General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6</c:v>
                </c:pt>
                <c:pt idx="9">
                  <c:v>5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B1-457A-9E8C-3B664A9D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6125840"/>
        <c:axId val="1896134992"/>
        <c:axId val="0"/>
      </c:bar3DChart>
      <c:dateAx>
        <c:axId val="18961258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134992"/>
        <c:crosses val="autoZero"/>
        <c:auto val="1"/>
        <c:lblOffset val="100"/>
        <c:baseTimeUnit val="months"/>
      </c:dateAx>
      <c:valAx>
        <c:axId val="189613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125840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8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800"/>
              <a:t>Consumo</a:t>
            </a:r>
            <a:r>
              <a:rPr lang="pt-BR" sz="2800" baseline="0"/>
              <a:t> anual por local </a:t>
            </a:r>
          </a:p>
          <a:p>
            <a:pPr>
              <a:defRPr sz="2800"/>
            </a:pPr>
            <a:r>
              <a:rPr lang="pt-BR" sz="2800"/>
              <a:t>6.707.000</a:t>
            </a:r>
            <a:r>
              <a:rPr lang="pt-BR" sz="2800" baseline="0"/>
              <a:t> LITROS (totais)</a:t>
            </a:r>
            <a:endParaRPr lang="pt-BR" sz="2800"/>
          </a:p>
        </c:rich>
      </c:tx>
      <c:layout>
        <c:manualLayout>
          <c:xMode val="edge"/>
          <c:yMode val="edge"/>
          <c:x val="1.4499878204443843E-2"/>
          <c:y val="1.8276970944653158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640721900913E-2"/>
          <c:y val="9.2056699116870797E-2"/>
          <c:w val="0.93888888888888888"/>
          <c:h val="0.7210637212015165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2B2-4EB5-BAB8-E05FF0E9D0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2B2-4EB5-BAB8-E05FF0E9D0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2B2-4EB5-BAB8-E05FF0E9D0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C2B2-4EB5-BAB8-E05FF0E9D0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C2B2-4EB5-BAB8-E05FF0E9D0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C2B2-4EB5-BAB8-E05FF0E9D0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C2B2-4EB5-BAB8-E05FF0E9D0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C2B2-4EB5-BAB8-E05FF0E9D0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SABESP_2023!$A$3:$A$10</c:f>
              <c:strCache>
                <c:ptCount val="8"/>
                <c:pt idx="0">
                  <c:v>Rodolfo M 476</c:v>
                </c:pt>
                <c:pt idx="1">
                  <c:v>Rodolfo M 494</c:v>
                </c:pt>
                <c:pt idx="2">
                  <c:v>Mamoré 200</c:v>
                </c:pt>
                <c:pt idx="3">
                  <c:v>CALDEIRA </c:v>
                </c:pt>
                <c:pt idx="4">
                  <c:v>Bela Cintra </c:v>
                </c:pt>
                <c:pt idx="5">
                  <c:v>Belvedere</c:v>
                </c:pt>
                <c:pt idx="6">
                  <c:v>Galpão 92</c:v>
                </c:pt>
                <c:pt idx="7">
                  <c:v>Galpão 116</c:v>
                </c:pt>
              </c:strCache>
            </c:strRef>
          </c:cat>
          <c:val>
            <c:numRef>
              <c:f>SABESP_2023!$N$3:$N$10</c:f>
              <c:numCache>
                <c:formatCode>General</c:formatCode>
                <c:ptCount val="8"/>
                <c:pt idx="0">
                  <c:v>1657</c:v>
                </c:pt>
                <c:pt idx="1">
                  <c:v>2380</c:v>
                </c:pt>
                <c:pt idx="2">
                  <c:v>1510</c:v>
                </c:pt>
                <c:pt idx="3">
                  <c:v>542</c:v>
                </c:pt>
                <c:pt idx="4">
                  <c:v>252</c:v>
                </c:pt>
                <c:pt idx="5">
                  <c:v>161</c:v>
                </c:pt>
                <c:pt idx="6">
                  <c:v>177</c:v>
                </c:pt>
                <c:pt idx="7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2B2-4EB5-BAB8-E05FF0E9D0A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41380143655E-2"/>
          <c:y val="0.85416464288789573"/>
          <c:w val="0.89999991723971273"/>
          <c:h val="0.1275583861674510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500" baseline="0"/>
              <a:t>GASTO ANUAL POR LOCAL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98F-4F45-953E-6EBAB6D2257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98F-4F45-953E-6EBAB6D2257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98F-4F45-953E-6EBAB6D2257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98F-4F45-953E-6EBAB6D225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SABESP_2023!$Z$33:$Z$36</c:f>
              <c:strCache>
                <c:ptCount val="4"/>
                <c:pt idx="0">
                  <c:v>476</c:v>
                </c:pt>
                <c:pt idx="1">
                  <c:v>494</c:v>
                </c:pt>
                <c:pt idx="2">
                  <c:v>Camisaria</c:v>
                </c:pt>
                <c:pt idx="3">
                  <c:v>BC</c:v>
                </c:pt>
              </c:strCache>
            </c:strRef>
          </c:cat>
          <c:val>
            <c:numRef>
              <c:f>SABESP_2023!$AA$33:$AA$36</c:f>
              <c:numCache>
                <c:formatCode>#,##0.00</c:formatCode>
                <c:ptCount val="4"/>
                <c:pt idx="0">
                  <c:v>89510.95</c:v>
                </c:pt>
                <c:pt idx="1">
                  <c:v>131270.56</c:v>
                </c:pt>
                <c:pt idx="2">
                  <c:v>72795.520000000004</c:v>
                </c:pt>
                <c:pt idx="3">
                  <c:v>6215.08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1-44C1-8508-33CD04273B9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57151</xdr:colOff>
      <xdr:row>0</xdr:row>
      <xdr:rowOff>9526</xdr:rowOff>
    </xdr:from>
    <xdr:to>
      <xdr:col>18</xdr:col>
      <xdr:colOff>476251</xdr:colOff>
      <xdr:row>6</xdr:row>
      <xdr:rowOff>180975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D142778-79AF-4802-B49E-42FEB5250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313646</xdr:colOff>
      <xdr:row>0</xdr:row>
      <xdr:rowOff>524053</xdr:rowOff>
    </xdr:from>
    <xdr:to>
      <xdr:col>24</xdr:col>
      <xdr:colOff>362970</xdr:colOff>
      <xdr:row>10</xdr:row>
      <xdr:rowOff>208135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3C9529-0E04-4A77-A06B-9F6ED290E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0</xdr:colOff>
      <xdr:row>251</xdr:row>
      <xdr:rowOff>0</xdr:rowOff>
    </xdr:from>
    <xdr:to>
      <xdr:col>27</xdr:col>
      <xdr:colOff>304800</xdr:colOff>
      <xdr:row>252</xdr:row>
      <xdr:rowOff>104775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91D260F3-3EFE-278D-98BA-613AFE695D0B}"/>
            </a:ext>
          </a:extLst>
        </xdr:cNvPr>
        <xdr:cNvSpPr>
          <a:spLocks noChangeAspect="1" noChangeArrowheads="1"/>
        </xdr:cNvSpPr>
      </xdr:nvSpPr>
      <xdr:spPr bwMode="auto">
        <a:xfrm>
          <a:off x="17973675" y="501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12</xdr:row>
      <xdr:rowOff>80962</xdr:rowOff>
    </xdr:from>
    <xdr:to>
      <xdr:col>12</xdr:col>
      <xdr:colOff>504825</xdr:colOff>
      <xdr:row>26</xdr:row>
      <xdr:rowOff>157162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BBC469-7977-4AFA-5F6F-F367885E7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104774</xdr:colOff>
      <xdr:row>0</xdr:row>
      <xdr:rowOff>142875</xdr:rowOff>
    </xdr:from>
    <xdr:to>
      <xdr:col>22</xdr:col>
      <xdr:colOff>609599</xdr:colOff>
      <xdr:row>21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19842D-7AD1-73F5-224A-C71D66B24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55377</xdr:colOff>
      <xdr:row>21</xdr:row>
      <xdr:rowOff>177209</xdr:rowOff>
    </xdr:from>
    <xdr:to>
      <xdr:col>22</xdr:col>
      <xdr:colOff>598081</xdr:colOff>
      <xdr:row>36</xdr:row>
      <xdr:rowOff>33227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98302D-D7E9-6AAE-37C6-C5E5A3B92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12</xdr:row>
      <xdr:rowOff>80962</xdr:rowOff>
    </xdr:from>
    <xdr:to>
      <xdr:col>12</xdr:col>
      <xdr:colOff>504825</xdr:colOff>
      <xdr:row>26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E89D90-8EAA-4E06-9A03-864A5AB80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104774</xdr:colOff>
      <xdr:row>0</xdr:row>
      <xdr:rowOff>142875</xdr:rowOff>
    </xdr:from>
    <xdr:to>
      <xdr:col>22</xdr:col>
      <xdr:colOff>609599</xdr:colOff>
      <xdr:row>21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EC764A-E113-47E3-BE3B-EC0D35415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230909</xdr:colOff>
      <xdr:row>22</xdr:row>
      <xdr:rowOff>259773</xdr:rowOff>
    </xdr:from>
    <xdr:to>
      <xdr:col>22</xdr:col>
      <xdr:colOff>606137</xdr:colOff>
      <xdr:row>42</xdr:row>
      <xdr:rowOff>245919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3E1461-27DD-FBFF-8E81-128A8F0A0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0B51-E910-46C9-BE5C-CEC45AE56119}">
  <sheetPr codeName="Planilha2"/>
  <dimension ref="A1:O45"/>
  <sheetViews>
    <sheetView zoomScale="84" zoomScaleNormal="84" workbookViewId="0">
      <pane ySplit="7" topLeftCell="A30" activePane="bottomLeft" state="frozen"/>
      <selection pane="bottomLeft" activeCell="C39" sqref="C39"/>
    </sheetView>
  </sheetViews>
  <sheetFormatPr defaultRowHeight="15"/>
  <cols>
    <col min="1" max="2" width="11.140625" customWidth="1"/>
    <col min="5" max="5" width="7.140625" bestFit="1" customWidth="1"/>
    <col min="6" max="6" width="15" bestFit="1" customWidth="1"/>
    <col min="7" max="7" width="10.28515625" customWidth="1"/>
    <col min="11" max="11" width="6.85546875" bestFit="1" customWidth="1"/>
  </cols>
  <sheetData>
    <row r="1" spans="1:15">
      <c r="A1" s="29" t="s">
        <v>42</v>
      </c>
      <c r="B1" s="36">
        <v>44927</v>
      </c>
      <c r="C1" s="36">
        <v>44958</v>
      </c>
      <c r="D1" s="36">
        <v>44986</v>
      </c>
      <c r="E1" s="36">
        <v>45017</v>
      </c>
      <c r="F1" s="36">
        <v>45047</v>
      </c>
      <c r="G1" s="36">
        <v>45078</v>
      </c>
      <c r="H1" s="36">
        <v>45108</v>
      </c>
      <c r="I1" s="36">
        <v>45139</v>
      </c>
      <c r="J1" s="36">
        <v>45170</v>
      </c>
      <c r="K1" s="36">
        <v>45200</v>
      </c>
      <c r="L1" s="36">
        <v>45231</v>
      </c>
      <c r="M1" s="36">
        <v>45261</v>
      </c>
    </row>
    <row r="2" spans="1:15" ht="15.75" thickBot="1">
      <c r="A2" s="37" t="s">
        <v>20</v>
      </c>
      <c r="B2" s="30">
        <v>48</v>
      </c>
      <c r="C2" s="30">
        <v>42</v>
      </c>
      <c r="D2" s="30">
        <v>54</v>
      </c>
      <c r="E2" s="30">
        <v>54</v>
      </c>
      <c r="F2" s="30">
        <v>38</v>
      </c>
      <c r="G2" s="30">
        <v>51</v>
      </c>
      <c r="H2" s="30">
        <v>52</v>
      </c>
      <c r="I2" s="30">
        <v>43</v>
      </c>
      <c r="J2" s="30">
        <v>43</v>
      </c>
      <c r="K2" s="30">
        <v>39</v>
      </c>
      <c r="L2" s="30">
        <v>39</v>
      </c>
      <c r="M2" s="31"/>
    </row>
    <row r="3" spans="1:15">
      <c r="N3" s="15"/>
    </row>
    <row r="4" spans="1:15">
      <c r="A4">
        <v>100</v>
      </c>
    </row>
    <row r="5" spans="1:15" ht="15.75" thickBot="1"/>
    <row r="6" spans="1:15" ht="15.75" thickBot="1">
      <c r="A6" s="378" t="s">
        <v>42</v>
      </c>
      <c r="B6" s="379"/>
      <c r="C6" s="379"/>
      <c r="D6" s="379"/>
      <c r="E6" s="379"/>
      <c r="F6" s="380"/>
    </row>
    <row r="7" spans="1:15">
      <c r="A7" s="20">
        <v>44328</v>
      </c>
      <c r="B7" s="26" t="s">
        <v>48</v>
      </c>
      <c r="C7" s="21">
        <v>0</v>
      </c>
      <c r="D7" s="27" t="s">
        <v>43</v>
      </c>
      <c r="E7" s="28" t="s">
        <v>20</v>
      </c>
      <c r="F7" s="28" t="s">
        <v>49</v>
      </c>
    </row>
    <row r="8" spans="1:15">
      <c r="A8" s="6">
        <v>44359</v>
      </c>
      <c r="B8" s="6" t="s">
        <v>22</v>
      </c>
      <c r="C8" s="3">
        <v>4827</v>
      </c>
      <c r="D8" s="14">
        <f>C8-C7</f>
        <v>4827</v>
      </c>
      <c r="E8" s="14">
        <f>D8/A4</f>
        <v>48.27</v>
      </c>
      <c r="F8" s="13" t="s">
        <v>35</v>
      </c>
    </row>
    <row r="9" spans="1:15">
      <c r="A9" s="6">
        <v>44389</v>
      </c>
      <c r="B9" s="6" t="s">
        <v>23</v>
      </c>
      <c r="C9" s="3">
        <v>9046</v>
      </c>
      <c r="D9" s="14">
        <f>C9-C8</f>
        <v>4219</v>
      </c>
      <c r="E9" s="14">
        <f>D9/A4</f>
        <v>42.19</v>
      </c>
      <c r="F9" s="13" t="s">
        <v>34</v>
      </c>
    </row>
    <row r="10" spans="1:15">
      <c r="A10" s="6">
        <v>44420</v>
      </c>
      <c r="B10" s="6" t="s">
        <v>24</v>
      </c>
      <c r="C10" s="3">
        <v>13955</v>
      </c>
      <c r="D10" s="14">
        <f>C10-C9</f>
        <v>4909</v>
      </c>
      <c r="E10" s="14">
        <f>D10/A4</f>
        <v>49.09</v>
      </c>
      <c r="F10" s="13" t="s">
        <v>23</v>
      </c>
    </row>
    <row r="11" spans="1:15">
      <c r="A11" s="6">
        <v>44451</v>
      </c>
      <c r="B11" s="6" t="s">
        <v>25</v>
      </c>
      <c r="C11" s="3">
        <v>19144</v>
      </c>
      <c r="D11" s="14">
        <f>C11-C10</f>
        <v>5189</v>
      </c>
      <c r="E11" s="14">
        <f>D11/A4</f>
        <v>51.89</v>
      </c>
      <c r="F11" s="13" t="s">
        <v>24</v>
      </c>
    </row>
    <row r="12" spans="1:15">
      <c r="A12" s="6">
        <v>44481</v>
      </c>
      <c r="B12" s="6" t="s">
        <v>26</v>
      </c>
      <c r="C12" s="3">
        <v>25633</v>
      </c>
      <c r="D12" s="14">
        <f>C12-C11</f>
        <v>6489</v>
      </c>
      <c r="E12" s="14">
        <f>D12/A4</f>
        <v>64.89</v>
      </c>
      <c r="F12" s="13" t="s">
        <v>25</v>
      </c>
      <c r="G12" s="24" t="s">
        <v>21</v>
      </c>
      <c r="H12" s="23"/>
      <c r="I12" s="23"/>
      <c r="J12" s="23"/>
      <c r="K12" s="23"/>
      <c r="L12" s="23"/>
      <c r="M12" s="23"/>
    </row>
    <row r="13" spans="1:15">
      <c r="A13" s="6">
        <v>44512</v>
      </c>
      <c r="B13" s="6" t="s">
        <v>27</v>
      </c>
      <c r="C13" s="3">
        <v>29100</v>
      </c>
      <c r="D13" s="14">
        <f t="shared" ref="D13:D28" si="0">C13-C12</f>
        <v>3467</v>
      </c>
      <c r="E13" s="14">
        <v>34</v>
      </c>
      <c r="F13" s="13" t="s">
        <v>26</v>
      </c>
    </row>
    <row r="14" spans="1:15">
      <c r="A14" s="235">
        <v>44542</v>
      </c>
      <c r="B14" s="235" t="s">
        <v>28</v>
      </c>
      <c r="C14" s="236">
        <v>33220</v>
      </c>
      <c r="D14" s="237">
        <f t="shared" si="0"/>
        <v>4120</v>
      </c>
      <c r="E14" s="237">
        <v>41</v>
      </c>
      <c r="F14" s="238" t="s">
        <v>27</v>
      </c>
      <c r="N14" s="23"/>
      <c r="O14" s="23"/>
    </row>
    <row r="15" spans="1:15">
      <c r="A15" s="16">
        <v>44573</v>
      </c>
      <c r="B15" s="16" t="s">
        <v>29</v>
      </c>
      <c r="C15" s="17">
        <v>37027</v>
      </c>
      <c r="D15" s="18">
        <f t="shared" si="0"/>
        <v>3807</v>
      </c>
      <c r="E15" s="18">
        <v>37</v>
      </c>
      <c r="F15" s="19" t="s">
        <v>28</v>
      </c>
    </row>
    <row r="16" spans="1:15">
      <c r="A16" s="16">
        <v>44604</v>
      </c>
      <c r="B16" s="16" t="s">
        <v>30</v>
      </c>
      <c r="C16" s="17">
        <v>41097</v>
      </c>
      <c r="D16" s="18">
        <f t="shared" si="0"/>
        <v>4070</v>
      </c>
      <c r="E16" s="18">
        <v>40</v>
      </c>
      <c r="F16" s="19" t="s">
        <v>29</v>
      </c>
    </row>
    <row r="17" spans="1:6">
      <c r="A17" s="16">
        <v>44632</v>
      </c>
      <c r="B17" s="16" t="s">
        <v>31</v>
      </c>
      <c r="C17" s="17">
        <v>46067</v>
      </c>
      <c r="D17" s="18">
        <f t="shared" si="0"/>
        <v>4970</v>
      </c>
      <c r="E17" s="18">
        <v>49</v>
      </c>
      <c r="F17" s="19" t="s">
        <v>30</v>
      </c>
    </row>
    <row r="18" spans="1:6">
      <c r="A18" s="16">
        <v>44663</v>
      </c>
      <c r="B18" s="16" t="s">
        <v>32</v>
      </c>
      <c r="C18" s="17">
        <v>50403</v>
      </c>
      <c r="D18" s="18">
        <f t="shared" si="0"/>
        <v>4336</v>
      </c>
      <c r="E18" s="18">
        <v>43</v>
      </c>
      <c r="F18" s="19" t="s">
        <v>31</v>
      </c>
    </row>
    <row r="19" spans="1:6">
      <c r="A19" s="16">
        <v>44693</v>
      </c>
      <c r="B19" s="16" t="s">
        <v>33</v>
      </c>
      <c r="C19" s="17">
        <v>54768</v>
      </c>
      <c r="D19" s="18">
        <f t="shared" si="0"/>
        <v>4365</v>
      </c>
      <c r="E19" s="18">
        <v>43</v>
      </c>
      <c r="F19" s="19" t="s">
        <v>32</v>
      </c>
    </row>
    <row r="20" spans="1:6">
      <c r="A20" s="16">
        <v>44724</v>
      </c>
      <c r="B20" s="16" t="s">
        <v>34</v>
      </c>
      <c r="C20" s="17">
        <v>59896</v>
      </c>
      <c r="D20" s="18">
        <f t="shared" si="0"/>
        <v>5128</v>
      </c>
      <c r="E20" s="18">
        <v>51</v>
      </c>
      <c r="F20" s="19" t="s">
        <v>33</v>
      </c>
    </row>
    <row r="21" spans="1:6">
      <c r="A21" s="16">
        <v>44754</v>
      </c>
      <c r="B21" s="16" t="s">
        <v>23</v>
      </c>
      <c r="C21" s="17">
        <v>64252</v>
      </c>
      <c r="D21" s="18">
        <f t="shared" si="0"/>
        <v>4356</v>
      </c>
      <c r="E21" s="18">
        <v>43</v>
      </c>
      <c r="F21" s="19" t="s">
        <v>34</v>
      </c>
    </row>
    <row r="22" spans="1:6">
      <c r="A22" s="16">
        <v>44785</v>
      </c>
      <c r="B22" s="16" t="s">
        <v>24</v>
      </c>
      <c r="C22" s="17">
        <v>68960</v>
      </c>
      <c r="D22" s="18">
        <f t="shared" si="0"/>
        <v>4708</v>
      </c>
      <c r="E22" s="18">
        <v>47</v>
      </c>
      <c r="F22" s="19" t="s">
        <v>23</v>
      </c>
    </row>
    <row r="23" spans="1:6">
      <c r="A23" s="16">
        <v>44816</v>
      </c>
      <c r="B23" s="16" t="s">
        <v>25</v>
      </c>
      <c r="C23" s="17">
        <v>73427</v>
      </c>
      <c r="D23" s="18">
        <f t="shared" si="0"/>
        <v>4467</v>
      </c>
      <c r="E23" s="18">
        <v>44</v>
      </c>
      <c r="F23" s="19" t="s">
        <v>24</v>
      </c>
    </row>
    <row r="24" spans="1:6">
      <c r="A24" s="16">
        <v>44846</v>
      </c>
      <c r="B24" s="16" t="s">
        <v>26</v>
      </c>
      <c r="C24" s="17">
        <v>78528</v>
      </c>
      <c r="D24" s="18">
        <f t="shared" si="0"/>
        <v>5101</v>
      </c>
      <c r="E24" s="18">
        <v>51</v>
      </c>
      <c r="F24" s="19" t="s">
        <v>25</v>
      </c>
    </row>
    <row r="25" spans="1:6">
      <c r="A25" s="16">
        <v>44877</v>
      </c>
      <c r="B25" s="16" t="s">
        <v>27</v>
      </c>
      <c r="C25" s="17">
        <v>84407</v>
      </c>
      <c r="D25" s="18">
        <f t="shared" si="0"/>
        <v>5879</v>
      </c>
      <c r="E25" s="18">
        <v>58</v>
      </c>
      <c r="F25" s="19" t="s">
        <v>26</v>
      </c>
    </row>
    <row r="26" spans="1:6">
      <c r="A26" s="16">
        <v>44907</v>
      </c>
      <c r="B26" s="16" t="s">
        <v>28</v>
      </c>
      <c r="C26" s="17">
        <v>89511</v>
      </c>
      <c r="D26" s="18">
        <f t="shared" si="0"/>
        <v>5104</v>
      </c>
      <c r="E26" s="18">
        <v>51</v>
      </c>
      <c r="F26" s="19" t="s">
        <v>27</v>
      </c>
    </row>
    <row r="27" spans="1:6">
      <c r="A27" s="16">
        <v>44938</v>
      </c>
      <c r="B27" s="16" t="s">
        <v>29</v>
      </c>
      <c r="C27" s="17">
        <v>94112</v>
      </c>
      <c r="D27" s="18">
        <f t="shared" si="0"/>
        <v>4601</v>
      </c>
      <c r="E27" s="18">
        <v>46</v>
      </c>
      <c r="F27" s="19" t="s">
        <v>28</v>
      </c>
    </row>
    <row r="28" spans="1:6">
      <c r="A28" s="20">
        <v>44969</v>
      </c>
      <c r="B28" s="20" t="s">
        <v>30</v>
      </c>
      <c r="C28" s="21">
        <v>98948</v>
      </c>
      <c r="D28" s="239">
        <f t="shared" si="0"/>
        <v>4836</v>
      </c>
      <c r="E28" s="22">
        <v>48</v>
      </c>
      <c r="F28" s="21" t="s">
        <v>101</v>
      </c>
    </row>
    <row r="29" spans="1:6">
      <c r="A29" s="6">
        <v>44997</v>
      </c>
      <c r="B29" s="6" t="s">
        <v>103</v>
      </c>
      <c r="C29" s="3">
        <v>103218</v>
      </c>
      <c r="D29" s="234">
        <f>C29-C28</f>
        <v>4270</v>
      </c>
      <c r="E29" s="14">
        <v>42</v>
      </c>
      <c r="F29" s="3" t="s">
        <v>30</v>
      </c>
    </row>
    <row r="30" spans="1:6">
      <c r="A30" s="6">
        <v>45028</v>
      </c>
      <c r="B30" s="6" t="s">
        <v>32</v>
      </c>
      <c r="C30" s="3">
        <v>114098</v>
      </c>
      <c r="D30" s="234">
        <v>5400</v>
      </c>
      <c r="E30" s="14">
        <v>54</v>
      </c>
      <c r="F30" s="3" t="s">
        <v>31</v>
      </c>
    </row>
    <row r="31" spans="1:6">
      <c r="A31" s="6">
        <v>45058</v>
      </c>
      <c r="B31" s="6" t="s">
        <v>33</v>
      </c>
      <c r="C31" s="3">
        <v>114098</v>
      </c>
      <c r="D31" s="3">
        <v>5400</v>
      </c>
      <c r="E31" s="3">
        <v>54</v>
      </c>
      <c r="F31" s="3" t="s">
        <v>32</v>
      </c>
    </row>
    <row r="32" spans="1:6">
      <c r="A32" s="6">
        <v>45089</v>
      </c>
      <c r="B32" s="3" t="s">
        <v>34</v>
      </c>
      <c r="C32" s="3">
        <v>117996</v>
      </c>
      <c r="D32" s="3">
        <f>C32-C31</f>
        <v>3898</v>
      </c>
      <c r="E32" s="3">
        <v>38</v>
      </c>
      <c r="F32" s="3" t="s">
        <v>33</v>
      </c>
    </row>
    <row r="33" spans="1:8">
      <c r="A33" s="6">
        <v>45119</v>
      </c>
      <c r="B33" s="3" t="s">
        <v>23</v>
      </c>
      <c r="C33" s="3">
        <v>123119</v>
      </c>
      <c r="D33" s="3">
        <f>C33-C32</f>
        <v>5123</v>
      </c>
      <c r="E33" s="3">
        <v>51</v>
      </c>
      <c r="F33" s="3" t="s">
        <v>112</v>
      </c>
    </row>
    <row r="34" spans="1:8">
      <c r="A34" s="6">
        <v>45150</v>
      </c>
      <c r="B34" s="3" t="s">
        <v>24</v>
      </c>
      <c r="C34" s="3">
        <v>128391</v>
      </c>
      <c r="D34" s="3">
        <f>C34-C33</f>
        <v>5272</v>
      </c>
      <c r="E34" s="3">
        <v>52</v>
      </c>
      <c r="F34" s="3" t="s">
        <v>114</v>
      </c>
    </row>
    <row r="35" spans="1:8">
      <c r="A35" s="6">
        <v>45181</v>
      </c>
      <c r="B35" s="3" t="s">
        <v>25</v>
      </c>
      <c r="C35" s="3">
        <v>132708</v>
      </c>
      <c r="D35" s="3">
        <f>C35-C34</f>
        <v>4317</v>
      </c>
      <c r="E35" s="3">
        <v>43</v>
      </c>
      <c r="F35" s="3" t="s">
        <v>83</v>
      </c>
    </row>
    <row r="36" spans="1:8">
      <c r="A36" s="6">
        <v>45211</v>
      </c>
      <c r="B36" s="3" t="s">
        <v>26</v>
      </c>
      <c r="C36" s="3">
        <v>137024</v>
      </c>
      <c r="D36" s="3">
        <f>C36-C35</f>
        <v>4316</v>
      </c>
      <c r="E36" s="3">
        <v>43</v>
      </c>
      <c r="F36" s="3" t="s">
        <v>84</v>
      </c>
      <c r="H36" s="3"/>
    </row>
    <row r="37" spans="1:8">
      <c r="A37" s="6">
        <v>45242</v>
      </c>
      <c r="B37" s="3" t="s">
        <v>27</v>
      </c>
      <c r="C37" s="3">
        <v>144933</v>
      </c>
      <c r="D37" s="3">
        <v>3954</v>
      </c>
      <c r="E37" s="3">
        <v>39</v>
      </c>
      <c r="F37" s="3" t="s">
        <v>115</v>
      </c>
      <c r="G37" t="s">
        <v>118</v>
      </c>
    </row>
    <row r="38" spans="1:8">
      <c r="A38" s="6">
        <v>45272</v>
      </c>
      <c r="B38" s="3" t="s">
        <v>28</v>
      </c>
      <c r="C38" s="3">
        <v>144933</v>
      </c>
      <c r="D38" s="3">
        <v>3954</v>
      </c>
      <c r="E38" s="3">
        <v>39</v>
      </c>
      <c r="F38" s="3" t="s">
        <v>86</v>
      </c>
    </row>
    <row r="39" spans="1:8">
      <c r="A39" s="6">
        <v>45303</v>
      </c>
      <c r="B39" s="3" t="s">
        <v>29</v>
      </c>
      <c r="C39" s="3">
        <v>148893</v>
      </c>
      <c r="D39" s="3">
        <f>C39-C38</f>
        <v>3960</v>
      </c>
      <c r="E39" s="3">
        <v>39</v>
      </c>
      <c r="F39" s="3" t="s">
        <v>87</v>
      </c>
    </row>
    <row r="40" spans="1:8">
      <c r="A40" s="6">
        <v>45334</v>
      </c>
      <c r="B40" s="3" t="s">
        <v>30</v>
      </c>
      <c r="C40" s="3">
        <v>148893</v>
      </c>
      <c r="D40" s="3"/>
      <c r="E40" s="3"/>
      <c r="F40" s="3" t="s">
        <v>30</v>
      </c>
    </row>
    <row r="41" spans="1:8">
      <c r="A41" s="6">
        <v>45363</v>
      </c>
      <c r="B41" s="3" t="s">
        <v>103</v>
      </c>
      <c r="C41" s="3">
        <v>148893</v>
      </c>
      <c r="D41" s="3">
        <v>1578</v>
      </c>
      <c r="E41" s="3"/>
      <c r="F41" s="3" t="s">
        <v>31</v>
      </c>
    </row>
    <row r="42" spans="1:8">
      <c r="A42" s="6">
        <v>45394</v>
      </c>
      <c r="B42" s="3"/>
      <c r="C42" s="3"/>
      <c r="D42" s="3"/>
      <c r="E42" s="3"/>
      <c r="F42" s="3" t="s">
        <v>32</v>
      </c>
    </row>
    <row r="43" spans="1:8">
      <c r="A43" s="6">
        <v>45424</v>
      </c>
      <c r="B43" s="3" t="s">
        <v>35</v>
      </c>
      <c r="C43" s="3">
        <v>167201</v>
      </c>
      <c r="D43" s="3"/>
      <c r="E43" s="3"/>
      <c r="F43" s="3" t="s">
        <v>33</v>
      </c>
    </row>
    <row r="44" spans="1:8">
      <c r="A44" s="6">
        <v>45455</v>
      </c>
      <c r="B44" s="3" t="s">
        <v>34</v>
      </c>
      <c r="C44" s="3"/>
      <c r="D44" s="3"/>
      <c r="E44" s="3"/>
      <c r="F44" s="3" t="s">
        <v>34</v>
      </c>
    </row>
    <row r="45" spans="1:8">
      <c r="A45" s="6">
        <v>45485</v>
      </c>
      <c r="B45" s="3" t="s">
        <v>23</v>
      </c>
      <c r="C45" s="3">
        <v>177121</v>
      </c>
      <c r="D45" s="3"/>
      <c r="E45" s="3"/>
      <c r="F45" s="3" t="s">
        <v>23</v>
      </c>
    </row>
  </sheetData>
  <mergeCells count="1">
    <mergeCell ref="A6:F6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0245-2D66-44CD-BA91-9C3A721B836C}">
  <sheetPr codeName="Planilha1"/>
  <dimension ref="A1:AD7582"/>
  <sheetViews>
    <sheetView tabSelected="1" zoomScale="80" zoomScaleNormal="80" workbookViewId="0">
      <pane ySplit="14" topLeftCell="A1312" activePane="bottomLeft" state="frozen"/>
      <selection pane="bottomLeft" activeCell="A14" sqref="A14"/>
    </sheetView>
  </sheetViews>
  <sheetFormatPr defaultRowHeight="15.75"/>
  <cols>
    <col min="1" max="1" width="25" customWidth="1"/>
    <col min="2" max="2" width="10" customWidth="1"/>
    <col min="3" max="3" width="14.5703125" bestFit="1" customWidth="1"/>
    <col min="4" max="4" width="14.28515625" style="32" bestFit="1" customWidth="1"/>
    <col min="5" max="5" width="21.7109375" bestFit="1" customWidth="1"/>
    <col min="6" max="6" width="16" bestFit="1" customWidth="1"/>
    <col min="7" max="7" width="17.5703125" customWidth="1"/>
    <col min="8" max="8" width="25.5703125" style="89" bestFit="1" customWidth="1"/>
    <col min="9" max="9" width="21.42578125" bestFit="1" customWidth="1"/>
    <col min="10" max="10" width="22" bestFit="1" customWidth="1"/>
    <col min="11" max="11" width="13" customWidth="1"/>
    <col min="12" max="12" width="18.28515625" style="89" bestFit="1" customWidth="1"/>
    <col min="13" max="13" width="21.42578125" bestFit="1" customWidth="1"/>
    <col min="14" max="14" width="18.7109375" customWidth="1"/>
    <col min="15" max="15" width="17" customWidth="1"/>
    <col min="17" max="17" width="15.42578125" customWidth="1"/>
    <col min="18" max="18" width="17.42578125" customWidth="1"/>
    <col min="19" max="19" width="7.140625" customWidth="1"/>
    <col min="20" max="20" width="9" bestFit="1" customWidth="1"/>
    <col min="21" max="21" width="11.5703125" bestFit="1" customWidth="1"/>
    <col min="22" max="22" width="18.140625" bestFit="1" customWidth="1"/>
    <col min="23" max="23" width="10.85546875" bestFit="1" customWidth="1"/>
    <col min="24" max="24" width="11.5703125" bestFit="1" customWidth="1"/>
    <col min="25" max="25" width="8.7109375" bestFit="1" customWidth="1"/>
    <col min="26" max="26" width="14" customWidth="1"/>
    <col min="27" max="27" width="61.140625" bestFit="1" customWidth="1"/>
    <col min="29" max="29" width="14.7109375" bestFit="1" customWidth="1"/>
    <col min="30" max="30" width="24.85546875" bestFit="1" customWidth="1"/>
  </cols>
  <sheetData>
    <row r="1" spans="1:27" ht="42.75" customHeight="1" thickBot="1">
      <c r="A1" s="404" t="s">
        <v>95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7"/>
      <c r="Z1" s="408" t="s">
        <v>60</v>
      </c>
      <c r="AA1" s="276" t="s">
        <v>125</v>
      </c>
    </row>
    <row r="2" spans="1:27" ht="21">
      <c r="A2" s="242" t="s">
        <v>105</v>
      </c>
      <c r="B2" s="110">
        <v>45292</v>
      </c>
      <c r="C2" s="110">
        <v>45323</v>
      </c>
      <c r="D2" s="110">
        <v>45352</v>
      </c>
      <c r="E2" s="110">
        <v>45383</v>
      </c>
      <c r="F2" s="110">
        <v>45413</v>
      </c>
      <c r="G2" s="110">
        <v>45444</v>
      </c>
      <c r="H2" s="110">
        <v>45474</v>
      </c>
      <c r="I2" s="110">
        <v>45505</v>
      </c>
      <c r="J2" s="110">
        <v>45536</v>
      </c>
      <c r="K2" s="110">
        <v>45566</v>
      </c>
      <c r="L2" s="110">
        <v>45597</v>
      </c>
      <c r="M2" s="110">
        <v>45627</v>
      </c>
      <c r="Z2" s="409"/>
    </row>
    <row r="3" spans="1:27">
      <c r="A3" s="115" t="s">
        <v>15</v>
      </c>
      <c r="B3" s="5"/>
      <c r="C3" s="3"/>
      <c r="D3" s="33"/>
      <c r="E3" s="3"/>
      <c r="F3" s="3"/>
      <c r="G3" s="3"/>
      <c r="H3" s="3"/>
      <c r="I3" s="3"/>
      <c r="J3" s="3"/>
      <c r="K3" s="3"/>
      <c r="L3" s="3"/>
      <c r="M3" s="41"/>
      <c r="Z3" s="409"/>
    </row>
    <row r="4" spans="1:27">
      <c r="A4" s="116" t="s">
        <v>16</v>
      </c>
      <c r="B4" s="5"/>
      <c r="C4" s="5"/>
      <c r="D4" s="33"/>
      <c r="E4" s="3"/>
      <c r="F4" s="3"/>
      <c r="G4" s="3"/>
      <c r="H4" s="3"/>
      <c r="I4" s="3"/>
      <c r="J4" s="3"/>
      <c r="K4" s="3"/>
      <c r="L4" s="3"/>
      <c r="M4" s="41"/>
      <c r="Z4" s="409"/>
    </row>
    <row r="5" spans="1:27">
      <c r="A5" s="117" t="s">
        <v>0</v>
      </c>
      <c r="B5" s="73"/>
      <c r="C5" s="76"/>
      <c r="D5" s="75"/>
      <c r="E5" s="74"/>
      <c r="F5" s="74"/>
      <c r="G5" s="3"/>
      <c r="H5" s="3"/>
      <c r="I5" s="3"/>
      <c r="J5" s="3"/>
      <c r="K5" s="3"/>
      <c r="L5" s="3"/>
      <c r="M5" s="41"/>
      <c r="Z5" s="409"/>
    </row>
    <row r="6" spans="1:27">
      <c r="A6" s="118" t="s">
        <v>2</v>
      </c>
      <c r="B6" s="5"/>
      <c r="C6" s="5"/>
      <c r="D6" s="33"/>
      <c r="E6" s="3"/>
      <c r="F6" s="5"/>
      <c r="G6" s="3"/>
      <c r="H6" s="3"/>
      <c r="I6" s="3"/>
      <c r="J6" s="3"/>
      <c r="K6" s="3"/>
      <c r="L6" s="3"/>
      <c r="M6" s="174"/>
      <c r="Z6" s="409"/>
    </row>
    <row r="7" spans="1:27" ht="16.5" thickBot="1">
      <c r="A7" s="119" t="s">
        <v>1</v>
      </c>
      <c r="B7" s="5"/>
      <c r="C7" s="5"/>
      <c r="D7" s="33"/>
      <c r="E7" s="3"/>
      <c r="F7" s="3"/>
      <c r="G7" s="3"/>
      <c r="H7" s="3"/>
      <c r="I7" s="3"/>
      <c r="J7" s="3"/>
      <c r="K7" s="3"/>
      <c r="L7" s="3"/>
      <c r="M7" s="41"/>
      <c r="Z7" s="409"/>
    </row>
    <row r="8" spans="1:27" ht="16.5" hidden="1" thickBot="1">
      <c r="A8" s="120" t="s">
        <v>53</v>
      </c>
      <c r="B8" s="5" t="s">
        <v>104</v>
      </c>
      <c r="C8" s="5" t="s">
        <v>104</v>
      </c>
      <c r="D8" s="33" t="s">
        <v>104</v>
      </c>
      <c r="E8" s="3">
        <v>36</v>
      </c>
      <c r="F8" s="3">
        <v>46</v>
      </c>
      <c r="G8" s="3"/>
      <c r="H8" s="3">
        <v>79</v>
      </c>
      <c r="I8" s="3" t="s">
        <v>104</v>
      </c>
      <c r="J8" s="3" t="s">
        <v>104</v>
      </c>
      <c r="K8" s="3" t="s">
        <v>104</v>
      </c>
      <c r="L8" s="3" t="s">
        <v>104</v>
      </c>
      <c r="M8" s="41"/>
      <c r="Z8" s="409"/>
    </row>
    <row r="9" spans="1:27">
      <c r="A9" s="121" t="s">
        <v>93</v>
      </c>
      <c r="B9" s="279"/>
      <c r="C9" s="279"/>
      <c r="D9" s="280"/>
      <c r="E9" s="281"/>
      <c r="F9" s="281"/>
      <c r="G9" s="281"/>
      <c r="H9" s="281"/>
      <c r="I9" s="281"/>
      <c r="J9" s="281"/>
      <c r="K9" s="281"/>
      <c r="L9" s="281"/>
      <c r="M9" s="285"/>
      <c r="W9" s="143"/>
      <c r="X9" s="144"/>
      <c r="Y9" s="145"/>
      <c r="Z9" s="409"/>
    </row>
    <row r="10" spans="1:27" ht="16.5" thickBot="1">
      <c r="A10" s="122" t="s">
        <v>94</v>
      </c>
      <c r="B10" s="282"/>
      <c r="C10" s="282"/>
      <c r="D10" s="283"/>
      <c r="E10" s="284"/>
      <c r="F10" s="284"/>
      <c r="G10" s="284"/>
      <c r="H10" s="284"/>
      <c r="I10" s="284"/>
      <c r="J10" s="284"/>
      <c r="K10" s="284"/>
      <c r="L10" s="284"/>
      <c r="M10" s="286"/>
      <c r="W10" s="146"/>
      <c r="Y10" s="147"/>
      <c r="Z10" s="409"/>
    </row>
    <row r="11" spans="1:27" ht="16.5" thickBot="1">
      <c r="A11" s="59"/>
      <c r="B11" s="60"/>
      <c r="C11" s="61"/>
      <c r="D11" s="62"/>
      <c r="W11" s="146"/>
      <c r="Y11" s="147"/>
      <c r="Z11" s="409"/>
    </row>
    <row r="12" spans="1:27" ht="15" customHeight="1">
      <c r="A12" s="63"/>
      <c r="B12" s="151"/>
      <c r="C12" s="412" t="s">
        <v>47</v>
      </c>
      <c r="D12" s="413"/>
      <c r="E12" s="414"/>
      <c r="F12" s="415" t="s">
        <v>46</v>
      </c>
      <c r="G12" s="416"/>
      <c r="H12" s="416"/>
      <c r="I12" s="417"/>
      <c r="J12" s="418" t="s">
        <v>45</v>
      </c>
      <c r="K12" s="419"/>
      <c r="L12" s="419"/>
      <c r="M12" s="420"/>
      <c r="N12" s="429" t="s">
        <v>4</v>
      </c>
      <c r="O12" s="430"/>
      <c r="P12" s="430"/>
      <c r="Q12" s="436" t="s">
        <v>50</v>
      </c>
      <c r="R12" s="437"/>
      <c r="S12" s="437"/>
      <c r="T12" s="433" t="s">
        <v>90</v>
      </c>
      <c r="U12" s="434"/>
      <c r="V12" s="435"/>
      <c r="W12" s="438" t="s">
        <v>91</v>
      </c>
      <c r="X12" s="439"/>
      <c r="Y12" s="440"/>
      <c r="Z12" s="410"/>
    </row>
    <row r="13" spans="1:27" ht="15" customHeight="1">
      <c r="A13" s="63"/>
      <c r="B13" s="152"/>
      <c r="C13" s="421" t="s">
        <v>6</v>
      </c>
      <c r="D13" s="422"/>
      <c r="E13" s="441" t="s">
        <v>78</v>
      </c>
      <c r="F13" s="423" t="s">
        <v>116</v>
      </c>
      <c r="G13" s="424"/>
      <c r="H13" s="384" t="s">
        <v>113</v>
      </c>
      <c r="I13" s="390" t="s">
        <v>78</v>
      </c>
      <c r="J13" s="425" t="s">
        <v>117</v>
      </c>
      <c r="K13" s="426"/>
      <c r="L13" s="386" t="s">
        <v>92</v>
      </c>
      <c r="M13" s="388" t="s">
        <v>78</v>
      </c>
      <c r="N13" s="427" t="s">
        <v>6</v>
      </c>
      <c r="O13" s="428"/>
      <c r="P13" s="396" t="s">
        <v>78</v>
      </c>
      <c r="Q13" s="431" t="s">
        <v>52</v>
      </c>
      <c r="R13" s="432"/>
      <c r="S13" s="402" t="s">
        <v>78</v>
      </c>
      <c r="T13" s="392" t="s">
        <v>52</v>
      </c>
      <c r="U13" s="393"/>
      <c r="V13" s="398" t="s">
        <v>78</v>
      </c>
      <c r="W13" s="394" t="s">
        <v>52</v>
      </c>
      <c r="X13" s="395"/>
      <c r="Y13" s="400" t="s">
        <v>78</v>
      </c>
      <c r="Z13" s="410"/>
    </row>
    <row r="14" spans="1:27" ht="16.5" thickBot="1">
      <c r="A14" s="63" t="s">
        <v>61</v>
      </c>
      <c r="B14" s="152"/>
      <c r="C14" s="326" t="s">
        <v>3</v>
      </c>
      <c r="D14" s="316" t="s">
        <v>5</v>
      </c>
      <c r="E14" s="441"/>
      <c r="F14" s="103" t="s">
        <v>3</v>
      </c>
      <c r="G14" s="104" t="s">
        <v>5</v>
      </c>
      <c r="H14" s="385"/>
      <c r="I14" s="391"/>
      <c r="J14" s="105" t="s">
        <v>3</v>
      </c>
      <c r="K14" s="106" t="s">
        <v>5</v>
      </c>
      <c r="L14" s="387"/>
      <c r="M14" s="389"/>
      <c r="N14" s="138" t="s">
        <v>3</v>
      </c>
      <c r="O14" s="107" t="s">
        <v>5</v>
      </c>
      <c r="P14" s="397"/>
      <c r="Q14" s="108" t="s">
        <v>51</v>
      </c>
      <c r="R14" s="109" t="s">
        <v>5</v>
      </c>
      <c r="S14" s="403"/>
      <c r="T14" s="111" t="s">
        <v>51</v>
      </c>
      <c r="U14" s="112" t="s">
        <v>5</v>
      </c>
      <c r="V14" s="399"/>
      <c r="W14" s="113" t="s">
        <v>51</v>
      </c>
      <c r="X14" s="114" t="s">
        <v>5</v>
      </c>
      <c r="Y14" s="401"/>
      <c r="Z14" s="411"/>
    </row>
    <row r="15" spans="1:27">
      <c r="A15" s="148">
        <v>44544</v>
      </c>
      <c r="B15" s="153">
        <f t="shared" ref="B15:B77" si="0">+A15</f>
        <v>44544</v>
      </c>
      <c r="C15" s="48">
        <v>610147</v>
      </c>
      <c r="D15" s="34">
        <f t="shared" ref="D15:D77" si="1">IF(C16&gt;0,C16-C15," ")</f>
        <v>1405</v>
      </c>
      <c r="E15" s="51"/>
      <c r="F15" s="134">
        <v>1917610</v>
      </c>
      <c r="G15" s="136">
        <f t="shared" ref="G15:G77" si="2">IF(F16&gt;0,F16-F15," ")</f>
        <v>7195</v>
      </c>
      <c r="H15" s="137"/>
      <c r="I15" s="135"/>
      <c r="J15" s="47">
        <v>866246</v>
      </c>
      <c r="K15" s="7">
        <f t="shared" ref="K15:K77" si="3">IF(J16&gt;0,J16-J15," ")</f>
        <v>5591</v>
      </c>
      <c r="L15" s="90"/>
      <c r="M15" s="51"/>
      <c r="N15" s="139">
        <v>219705</v>
      </c>
      <c r="O15" s="10">
        <f t="shared" ref="O15:O78" si="4">N16-N15</f>
        <v>833</v>
      </c>
      <c r="P15" s="11"/>
      <c r="Q15" s="86"/>
      <c r="R15" s="43"/>
      <c r="S15" s="43"/>
      <c r="T15" s="128"/>
      <c r="U15" s="11"/>
      <c r="V15" s="140"/>
      <c r="W15" s="45"/>
      <c r="X15" s="8"/>
      <c r="Y15" s="38"/>
      <c r="Z15" s="244"/>
    </row>
    <row r="16" spans="1:27">
      <c r="A16" s="148">
        <v>44545</v>
      </c>
      <c r="B16" s="153">
        <f t="shared" si="0"/>
        <v>44545</v>
      </c>
      <c r="C16" s="48">
        <v>611552</v>
      </c>
      <c r="D16" s="34">
        <f t="shared" si="1"/>
        <v>1711</v>
      </c>
      <c r="E16" s="51"/>
      <c r="F16" s="48">
        <v>1924805</v>
      </c>
      <c r="G16" s="1">
        <f t="shared" si="2"/>
        <v>7700</v>
      </c>
      <c r="H16" s="97"/>
      <c r="I16" s="51"/>
      <c r="J16" s="48">
        <v>871837</v>
      </c>
      <c r="K16" s="1">
        <f t="shared" si="3"/>
        <v>4976</v>
      </c>
      <c r="L16" s="90"/>
      <c r="M16" s="51"/>
      <c r="N16" s="45">
        <v>220538</v>
      </c>
      <c r="O16" s="8">
        <f t="shared" si="4"/>
        <v>753</v>
      </c>
      <c r="P16" s="9"/>
      <c r="Q16" s="87"/>
      <c r="R16" s="44"/>
      <c r="S16" s="44"/>
      <c r="T16" s="129"/>
      <c r="U16" s="9"/>
      <c r="V16" s="38"/>
      <c r="W16" s="45"/>
      <c r="X16" s="8"/>
      <c r="Y16" s="38"/>
      <c r="Z16" s="244"/>
    </row>
    <row r="17" spans="1:26">
      <c r="A17" s="148">
        <v>44546</v>
      </c>
      <c r="B17" s="153">
        <f t="shared" si="0"/>
        <v>44546</v>
      </c>
      <c r="C17" s="48">
        <v>613263</v>
      </c>
      <c r="D17" s="34">
        <f t="shared" si="1"/>
        <v>2522</v>
      </c>
      <c r="E17" s="51"/>
      <c r="F17" s="48">
        <v>1932505</v>
      </c>
      <c r="G17" s="1">
        <f t="shared" si="2"/>
        <v>9182</v>
      </c>
      <c r="H17" s="97"/>
      <c r="I17" s="51"/>
      <c r="J17" s="48">
        <v>876813</v>
      </c>
      <c r="K17" s="1">
        <f t="shared" si="3"/>
        <v>4836</v>
      </c>
      <c r="L17" s="90"/>
      <c r="M17" s="51"/>
      <c r="N17" s="45">
        <v>221291</v>
      </c>
      <c r="O17" s="8">
        <f t="shared" si="4"/>
        <v>627</v>
      </c>
      <c r="P17" s="9"/>
      <c r="Q17" s="87"/>
      <c r="R17" s="44"/>
      <c r="S17" s="44"/>
      <c r="T17" s="129"/>
      <c r="U17" s="9"/>
      <c r="V17" s="38"/>
      <c r="W17" s="45"/>
      <c r="X17" s="8"/>
      <c r="Y17" s="38"/>
      <c r="Z17" s="244"/>
    </row>
    <row r="18" spans="1:26">
      <c r="A18" s="148">
        <v>44547</v>
      </c>
      <c r="B18" s="153">
        <f t="shared" si="0"/>
        <v>44547</v>
      </c>
      <c r="C18" s="48">
        <v>615785</v>
      </c>
      <c r="D18" s="34">
        <f t="shared" si="1"/>
        <v>5155</v>
      </c>
      <c r="E18" s="51"/>
      <c r="F18" s="48">
        <v>1941687</v>
      </c>
      <c r="G18" s="1">
        <f t="shared" si="2"/>
        <v>15073</v>
      </c>
      <c r="H18" s="97"/>
      <c r="I18" s="51"/>
      <c r="J18" s="48">
        <v>881649</v>
      </c>
      <c r="K18" s="1">
        <f t="shared" si="3"/>
        <v>5153</v>
      </c>
      <c r="L18" s="90"/>
      <c r="M18" s="51"/>
      <c r="N18" s="45">
        <v>221918</v>
      </c>
      <c r="O18" s="8">
        <f t="shared" si="4"/>
        <v>764</v>
      </c>
      <c r="P18" s="9"/>
      <c r="Q18" s="87"/>
      <c r="R18" s="44"/>
      <c r="S18" s="44"/>
      <c r="T18" s="129"/>
      <c r="U18" s="9"/>
      <c r="V18" s="38"/>
      <c r="W18" s="45"/>
      <c r="X18" s="8"/>
      <c r="Y18" s="38"/>
      <c r="Z18" s="244"/>
    </row>
    <row r="19" spans="1:26">
      <c r="A19" s="148">
        <v>44548</v>
      </c>
      <c r="B19" s="153">
        <f t="shared" si="0"/>
        <v>44548</v>
      </c>
      <c r="C19" s="48">
        <v>620940</v>
      </c>
      <c r="D19" s="34">
        <f t="shared" si="1"/>
        <v>1217</v>
      </c>
      <c r="E19" s="51"/>
      <c r="F19" s="48">
        <v>1956760</v>
      </c>
      <c r="G19" s="1">
        <f t="shared" si="2"/>
        <v>5662</v>
      </c>
      <c r="H19" s="97"/>
      <c r="I19" s="51"/>
      <c r="J19" s="48">
        <v>886802</v>
      </c>
      <c r="K19" s="1">
        <f t="shared" si="3"/>
        <v>0</v>
      </c>
      <c r="L19" s="90"/>
      <c r="M19" s="51"/>
      <c r="N19" s="45">
        <v>222682</v>
      </c>
      <c r="O19" s="8">
        <f t="shared" si="4"/>
        <v>1317</v>
      </c>
      <c r="P19" s="9"/>
      <c r="Q19" s="87"/>
      <c r="R19" s="44"/>
      <c r="S19" s="44"/>
      <c r="T19" s="129"/>
      <c r="U19" s="9"/>
      <c r="V19" s="38"/>
      <c r="W19" s="45"/>
      <c r="X19" s="8"/>
      <c r="Y19" s="38"/>
      <c r="Z19" s="245" t="s">
        <v>59</v>
      </c>
    </row>
    <row r="20" spans="1:26">
      <c r="A20" s="148">
        <v>44549</v>
      </c>
      <c r="B20" s="153">
        <f t="shared" si="0"/>
        <v>44549</v>
      </c>
      <c r="C20" s="48">
        <v>622157</v>
      </c>
      <c r="D20" s="34">
        <f t="shared" si="1"/>
        <v>567</v>
      </c>
      <c r="E20" s="51"/>
      <c r="F20" s="48">
        <v>1962422</v>
      </c>
      <c r="G20" s="1">
        <f t="shared" si="2"/>
        <v>2792</v>
      </c>
      <c r="H20" s="97"/>
      <c r="I20" s="51"/>
      <c r="J20" s="48">
        <v>886802</v>
      </c>
      <c r="K20" s="1">
        <f t="shared" si="3"/>
        <v>0</v>
      </c>
      <c r="L20" s="90"/>
      <c r="M20" s="51"/>
      <c r="N20" s="45">
        <v>223999</v>
      </c>
      <c r="O20" s="8">
        <f t="shared" si="4"/>
        <v>0</v>
      </c>
      <c r="P20" s="9"/>
      <c r="Q20" s="87"/>
      <c r="R20" s="44"/>
      <c r="S20" s="44"/>
      <c r="T20" s="129"/>
      <c r="U20" s="9"/>
      <c r="V20" s="38"/>
      <c r="W20" s="45"/>
      <c r="X20" s="8"/>
      <c r="Y20" s="38"/>
      <c r="Z20" s="244"/>
    </row>
    <row r="21" spans="1:26">
      <c r="A21" s="148">
        <v>44550</v>
      </c>
      <c r="B21" s="153">
        <f t="shared" si="0"/>
        <v>44550</v>
      </c>
      <c r="C21" s="48">
        <v>622724</v>
      </c>
      <c r="D21" s="34">
        <f t="shared" si="1"/>
        <v>1972</v>
      </c>
      <c r="E21" s="51"/>
      <c r="F21" s="48">
        <v>1965214</v>
      </c>
      <c r="G21" s="1">
        <f t="shared" si="2"/>
        <v>6114</v>
      </c>
      <c r="H21" s="97"/>
      <c r="I21" s="51"/>
      <c r="J21" s="48">
        <v>886802</v>
      </c>
      <c r="K21" s="1">
        <f t="shared" si="3"/>
        <v>4803</v>
      </c>
      <c r="L21" s="90"/>
      <c r="M21" s="51"/>
      <c r="N21" s="45">
        <v>223999</v>
      </c>
      <c r="O21" s="8">
        <f t="shared" si="4"/>
        <v>690</v>
      </c>
      <c r="P21" s="9"/>
      <c r="Q21" s="87"/>
      <c r="R21" s="44"/>
      <c r="S21" s="44"/>
      <c r="T21" s="129"/>
      <c r="U21" s="9"/>
      <c r="V21" s="38"/>
      <c r="W21" s="45"/>
      <c r="X21" s="8"/>
      <c r="Y21" s="38"/>
      <c r="Z21" s="244"/>
    </row>
    <row r="22" spans="1:26">
      <c r="A22" s="148">
        <v>44551</v>
      </c>
      <c r="B22" s="153">
        <f t="shared" si="0"/>
        <v>44551</v>
      </c>
      <c r="C22" s="48">
        <v>624696</v>
      </c>
      <c r="D22" s="34">
        <f t="shared" si="1"/>
        <v>1945</v>
      </c>
      <c r="E22" s="51"/>
      <c r="F22" s="48">
        <v>1971328</v>
      </c>
      <c r="G22" s="1">
        <f t="shared" si="2"/>
        <v>6048</v>
      </c>
      <c r="H22" s="97"/>
      <c r="I22" s="51"/>
      <c r="J22" s="48">
        <v>891605</v>
      </c>
      <c r="K22" s="1">
        <f t="shared" si="3"/>
        <v>277</v>
      </c>
      <c r="L22" s="90"/>
      <c r="M22" s="51"/>
      <c r="N22" s="45">
        <v>224689</v>
      </c>
      <c r="O22" s="8">
        <f t="shared" si="4"/>
        <v>647</v>
      </c>
      <c r="P22" s="9"/>
      <c r="Q22" s="87"/>
      <c r="R22" s="44"/>
      <c r="S22" s="44"/>
      <c r="T22" s="129"/>
      <c r="U22" s="9"/>
      <c r="V22" s="38"/>
      <c r="W22" s="45"/>
      <c r="X22" s="8"/>
      <c r="Y22" s="38"/>
      <c r="Z22" s="244"/>
    </row>
    <row r="23" spans="1:26">
      <c r="A23" s="148">
        <v>44552</v>
      </c>
      <c r="B23" s="153">
        <f t="shared" si="0"/>
        <v>44552</v>
      </c>
      <c r="C23" s="48">
        <v>626641</v>
      </c>
      <c r="D23" s="34">
        <f t="shared" si="1"/>
        <v>2111</v>
      </c>
      <c r="E23" s="51"/>
      <c r="F23" s="48">
        <v>1977376</v>
      </c>
      <c r="G23" s="1">
        <f t="shared" si="2"/>
        <v>5853</v>
      </c>
      <c r="H23" s="97"/>
      <c r="I23" s="51"/>
      <c r="J23" s="48">
        <v>891882</v>
      </c>
      <c r="K23" s="1">
        <f t="shared" si="3"/>
        <v>4725</v>
      </c>
      <c r="L23" s="90"/>
      <c r="M23" s="51"/>
      <c r="N23" s="45">
        <v>225336</v>
      </c>
      <c r="O23" s="8">
        <f t="shared" si="4"/>
        <v>537</v>
      </c>
      <c r="P23" s="9"/>
      <c r="Q23" s="87"/>
      <c r="R23" s="44"/>
      <c r="S23" s="44"/>
      <c r="T23" s="129"/>
      <c r="U23" s="9"/>
      <c r="V23" s="38"/>
      <c r="W23" s="45"/>
      <c r="X23" s="8"/>
      <c r="Y23" s="38"/>
      <c r="Z23" s="244"/>
    </row>
    <row r="24" spans="1:26">
      <c r="A24" s="148">
        <v>44553</v>
      </c>
      <c r="B24" s="153">
        <f t="shared" si="0"/>
        <v>44553</v>
      </c>
      <c r="C24" s="48">
        <v>628752</v>
      </c>
      <c r="D24" s="34">
        <f t="shared" si="1"/>
        <v>747</v>
      </c>
      <c r="E24" s="51"/>
      <c r="F24" s="48">
        <v>1983229</v>
      </c>
      <c r="G24" s="1">
        <f t="shared" si="2"/>
        <v>4948</v>
      </c>
      <c r="H24" s="97"/>
      <c r="I24" s="51"/>
      <c r="J24" s="48">
        <v>896607</v>
      </c>
      <c r="K24" s="1">
        <f t="shared" si="3"/>
        <v>4027</v>
      </c>
      <c r="L24" s="90"/>
      <c r="M24" s="51"/>
      <c r="N24" s="45">
        <v>225873</v>
      </c>
      <c r="O24" s="8">
        <f t="shared" si="4"/>
        <v>762</v>
      </c>
      <c r="P24" s="9"/>
      <c r="Q24" s="87"/>
      <c r="R24" s="44"/>
      <c r="S24" s="44"/>
      <c r="T24" s="129"/>
      <c r="U24" s="9"/>
      <c r="V24" s="38"/>
      <c r="W24" s="45"/>
      <c r="X24" s="8"/>
      <c r="Y24" s="38"/>
      <c r="Z24" s="244"/>
    </row>
    <row r="25" spans="1:26">
      <c r="A25" s="148">
        <v>44554</v>
      </c>
      <c r="B25" s="153">
        <f t="shared" si="0"/>
        <v>44554</v>
      </c>
      <c r="C25" s="48">
        <v>629499</v>
      </c>
      <c r="D25" s="34">
        <f t="shared" si="1"/>
        <v>0</v>
      </c>
      <c r="E25" s="51"/>
      <c r="F25" s="48">
        <v>1988177</v>
      </c>
      <c r="G25" s="1">
        <f t="shared" si="2"/>
        <v>2134</v>
      </c>
      <c r="H25" s="97"/>
      <c r="I25" s="51"/>
      <c r="J25" s="48">
        <v>900634</v>
      </c>
      <c r="K25" s="1">
        <f t="shared" si="3"/>
        <v>0</v>
      </c>
      <c r="L25" s="90"/>
      <c r="M25" s="51"/>
      <c r="N25" s="45">
        <v>226635</v>
      </c>
      <c r="O25" s="8">
        <f t="shared" si="4"/>
        <v>754</v>
      </c>
      <c r="P25" s="9"/>
      <c r="Q25" s="87"/>
      <c r="R25" s="44"/>
      <c r="S25" s="44"/>
      <c r="T25" s="129"/>
      <c r="U25" s="9"/>
      <c r="V25" s="38"/>
      <c r="W25" s="45"/>
      <c r="X25" s="8"/>
      <c r="Y25" s="38"/>
      <c r="Z25" s="244"/>
    </row>
    <row r="26" spans="1:26">
      <c r="A26" s="148">
        <v>44555</v>
      </c>
      <c r="B26" s="153">
        <f t="shared" si="0"/>
        <v>44555</v>
      </c>
      <c r="C26" s="48">
        <v>629499</v>
      </c>
      <c r="D26" s="34">
        <f t="shared" si="1"/>
        <v>0</v>
      </c>
      <c r="E26" s="51"/>
      <c r="F26" s="48">
        <v>1990311</v>
      </c>
      <c r="G26" s="1">
        <f t="shared" si="2"/>
        <v>0</v>
      </c>
      <c r="H26" s="97"/>
      <c r="I26" s="51"/>
      <c r="J26" s="48">
        <v>900634</v>
      </c>
      <c r="K26" s="1">
        <f t="shared" si="3"/>
        <v>0</v>
      </c>
      <c r="L26" s="90"/>
      <c r="M26" s="51"/>
      <c r="N26" s="45">
        <v>227389</v>
      </c>
      <c r="O26" s="8">
        <f t="shared" si="4"/>
        <v>0</v>
      </c>
      <c r="P26" s="9"/>
      <c r="Q26" s="87"/>
      <c r="R26" s="44"/>
      <c r="S26" s="44"/>
      <c r="T26" s="129"/>
      <c r="U26" s="9"/>
      <c r="V26" s="38"/>
      <c r="W26" s="45"/>
      <c r="X26" s="8"/>
      <c r="Y26" s="38"/>
      <c r="Z26" s="244"/>
    </row>
    <row r="27" spans="1:26">
      <c r="A27" s="148">
        <v>44556</v>
      </c>
      <c r="B27" s="153">
        <f t="shared" si="0"/>
        <v>44556</v>
      </c>
      <c r="C27" s="48">
        <v>629499</v>
      </c>
      <c r="D27" s="34">
        <f t="shared" si="1"/>
        <v>0</v>
      </c>
      <c r="E27" s="51"/>
      <c r="F27" s="48">
        <v>1990311</v>
      </c>
      <c r="G27" s="1">
        <f t="shared" si="2"/>
        <v>0</v>
      </c>
      <c r="H27" s="97"/>
      <c r="I27" s="51"/>
      <c r="J27" s="48">
        <v>900634</v>
      </c>
      <c r="K27" s="1">
        <f t="shared" si="3"/>
        <v>0</v>
      </c>
      <c r="L27" s="90"/>
      <c r="M27" s="51"/>
      <c r="N27" s="45">
        <v>227389</v>
      </c>
      <c r="O27" s="8">
        <f t="shared" si="4"/>
        <v>0</v>
      </c>
      <c r="P27" s="9"/>
      <c r="Q27" s="87"/>
      <c r="R27" s="44"/>
      <c r="S27" s="44"/>
      <c r="T27" s="129"/>
      <c r="U27" s="9"/>
      <c r="V27" s="38"/>
      <c r="W27" s="45"/>
      <c r="X27" s="8"/>
      <c r="Y27" s="38"/>
      <c r="Z27" s="244"/>
    </row>
    <row r="28" spans="1:26">
      <c r="A28" s="148">
        <v>44557</v>
      </c>
      <c r="B28" s="153">
        <f t="shared" si="0"/>
        <v>44557</v>
      </c>
      <c r="C28" s="48">
        <v>629499</v>
      </c>
      <c r="D28" s="34">
        <f t="shared" si="1"/>
        <v>1154</v>
      </c>
      <c r="E28" s="51"/>
      <c r="F28" s="48">
        <v>1990311</v>
      </c>
      <c r="G28" s="1">
        <f t="shared" si="2"/>
        <v>5046</v>
      </c>
      <c r="H28" s="97"/>
      <c r="I28" s="51"/>
      <c r="J28" s="48">
        <v>900634</v>
      </c>
      <c r="K28" s="1">
        <f t="shared" si="3"/>
        <v>196</v>
      </c>
      <c r="L28" s="90"/>
      <c r="M28" s="51"/>
      <c r="N28" s="45">
        <v>227389</v>
      </c>
      <c r="O28" s="8">
        <f t="shared" si="4"/>
        <v>786</v>
      </c>
      <c r="P28" s="9"/>
      <c r="Q28" s="87"/>
      <c r="R28" s="44"/>
      <c r="S28" s="44"/>
      <c r="T28" s="129"/>
      <c r="U28" s="9"/>
      <c r="V28" s="38"/>
      <c r="W28" s="45"/>
      <c r="X28" s="8"/>
      <c r="Y28" s="38"/>
      <c r="Z28" s="244"/>
    </row>
    <row r="29" spans="1:26">
      <c r="A29" s="148">
        <v>44558</v>
      </c>
      <c r="B29" s="153">
        <f t="shared" si="0"/>
        <v>44558</v>
      </c>
      <c r="C29" s="48">
        <v>630653</v>
      </c>
      <c r="D29" s="34">
        <f t="shared" si="1"/>
        <v>1191</v>
      </c>
      <c r="E29" s="51"/>
      <c r="F29" s="48">
        <v>1995357</v>
      </c>
      <c r="G29" s="1">
        <f t="shared" si="2"/>
        <v>5142</v>
      </c>
      <c r="H29" s="97"/>
      <c r="I29" s="51"/>
      <c r="J29" s="48">
        <v>900830</v>
      </c>
      <c r="K29" s="1">
        <f t="shared" si="3"/>
        <v>4793</v>
      </c>
      <c r="L29" s="90"/>
      <c r="M29" s="51"/>
      <c r="N29" s="45">
        <v>228175</v>
      </c>
      <c r="O29" s="8">
        <f t="shared" si="4"/>
        <v>746</v>
      </c>
      <c r="P29" s="9"/>
      <c r="Q29" s="87"/>
      <c r="R29" s="44"/>
      <c r="S29" s="44"/>
      <c r="T29" s="129"/>
      <c r="U29" s="9"/>
      <c r="V29" s="38"/>
      <c r="W29" s="45"/>
      <c r="X29" s="8"/>
      <c r="Y29" s="38"/>
      <c r="Z29" s="244"/>
    </row>
    <row r="30" spans="1:26">
      <c r="A30" s="148">
        <v>44559</v>
      </c>
      <c r="B30" s="153">
        <f t="shared" si="0"/>
        <v>44559</v>
      </c>
      <c r="C30" s="48">
        <v>631844</v>
      </c>
      <c r="D30" s="34">
        <f t="shared" si="1"/>
        <v>1073</v>
      </c>
      <c r="E30" s="51"/>
      <c r="F30" s="48">
        <v>2000499</v>
      </c>
      <c r="G30" s="1">
        <f t="shared" si="2"/>
        <v>4557</v>
      </c>
      <c r="H30" s="97"/>
      <c r="I30" s="51"/>
      <c r="J30" s="48">
        <v>905623</v>
      </c>
      <c r="K30" s="1">
        <f t="shared" si="3"/>
        <v>301</v>
      </c>
      <c r="L30" s="90"/>
      <c r="M30" s="51"/>
      <c r="N30" s="45">
        <v>228921</v>
      </c>
      <c r="O30" s="8">
        <f t="shared" si="4"/>
        <v>697</v>
      </c>
      <c r="P30" s="9"/>
      <c r="Q30" s="87"/>
      <c r="R30" s="44"/>
      <c r="S30" s="44"/>
      <c r="T30" s="129"/>
      <c r="U30" s="9"/>
      <c r="V30" s="38"/>
      <c r="W30" s="45"/>
      <c r="X30" s="8"/>
      <c r="Y30" s="38"/>
      <c r="Z30" s="244"/>
    </row>
    <row r="31" spans="1:26">
      <c r="A31" s="148">
        <v>44560</v>
      </c>
      <c r="B31" s="153">
        <f t="shared" si="0"/>
        <v>44560</v>
      </c>
      <c r="C31" s="48">
        <v>632917</v>
      </c>
      <c r="D31" s="34">
        <f t="shared" si="1"/>
        <v>1529</v>
      </c>
      <c r="E31" s="51"/>
      <c r="F31" s="48">
        <v>2005056</v>
      </c>
      <c r="G31" s="1">
        <f t="shared" si="2"/>
        <v>10135</v>
      </c>
      <c r="H31" s="97"/>
      <c r="I31" s="51"/>
      <c r="J31" s="48">
        <v>905924</v>
      </c>
      <c r="K31" s="1">
        <f t="shared" si="3"/>
        <v>8719</v>
      </c>
      <c r="L31" s="90"/>
      <c r="M31" s="51"/>
      <c r="N31" s="45">
        <v>229618</v>
      </c>
      <c r="O31" s="8">
        <f t="shared" si="4"/>
        <v>718</v>
      </c>
      <c r="P31" s="9"/>
      <c r="Q31" s="87"/>
      <c r="R31" s="44"/>
      <c r="S31" s="44"/>
      <c r="T31" s="129"/>
      <c r="U31" s="9"/>
      <c r="V31" s="38"/>
      <c r="W31" s="45"/>
      <c r="X31" s="8"/>
      <c r="Y31" s="38"/>
      <c r="Z31" s="244"/>
    </row>
    <row r="32" spans="1:26">
      <c r="A32" s="148">
        <v>44561</v>
      </c>
      <c r="B32" s="153">
        <f t="shared" si="0"/>
        <v>44561</v>
      </c>
      <c r="C32" s="48">
        <v>634446</v>
      </c>
      <c r="D32" s="34">
        <f t="shared" si="1"/>
        <v>0</v>
      </c>
      <c r="E32" s="51"/>
      <c r="F32" s="48">
        <v>2015191</v>
      </c>
      <c r="G32" s="1">
        <f t="shared" si="2"/>
        <v>0</v>
      </c>
      <c r="H32" s="97"/>
      <c r="I32" s="51"/>
      <c r="J32" s="48">
        <v>914643</v>
      </c>
      <c r="K32" s="1">
        <f t="shared" si="3"/>
        <v>0</v>
      </c>
      <c r="L32" s="90"/>
      <c r="M32" s="51"/>
      <c r="N32" s="45">
        <v>230336</v>
      </c>
      <c r="O32" s="8">
        <f t="shared" si="4"/>
        <v>0</v>
      </c>
      <c r="P32" s="9"/>
      <c r="Q32" s="87"/>
      <c r="R32" s="44"/>
      <c r="S32" s="44"/>
      <c r="T32" s="129"/>
      <c r="U32" s="9"/>
      <c r="V32" s="38"/>
      <c r="W32" s="45"/>
      <c r="X32" s="8"/>
      <c r="Y32" s="38"/>
      <c r="Z32" s="244"/>
    </row>
    <row r="33" spans="1:26">
      <c r="A33" s="148">
        <v>44562</v>
      </c>
      <c r="B33" s="153">
        <f t="shared" si="0"/>
        <v>44562</v>
      </c>
      <c r="C33" s="48">
        <v>634446</v>
      </c>
      <c r="D33" s="34">
        <f t="shared" si="1"/>
        <v>0</v>
      </c>
      <c r="E33" s="51"/>
      <c r="F33" s="48">
        <v>2015191</v>
      </c>
      <c r="G33" s="1">
        <f t="shared" si="2"/>
        <v>0</v>
      </c>
      <c r="H33" s="97"/>
      <c r="I33" s="51"/>
      <c r="J33" s="48">
        <v>914643</v>
      </c>
      <c r="K33" s="1">
        <f t="shared" si="3"/>
        <v>0</v>
      </c>
      <c r="L33" s="90"/>
      <c r="M33" s="51"/>
      <c r="N33" s="45">
        <v>230336</v>
      </c>
      <c r="O33" s="8">
        <f t="shared" si="4"/>
        <v>0</v>
      </c>
      <c r="P33" s="9"/>
      <c r="Q33" s="87"/>
      <c r="R33" s="44"/>
      <c r="S33" s="44"/>
      <c r="T33" s="129"/>
      <c r="U33" s="9"/>
      <c r="V33" s="38"/>
      <c r="W33" s="45"/>
      <c r="X33" s="8"/>
      <c r="Y33" s="38"/>
      <c r="Z33" s="244"/>
    </row>
    <row r="34" spans="1:26">
      <c r="A34" s="148">
        <v>44563</v>
      </c>
      <c r="B34" s="153">
        <f t="shared" si="0"/>
        <v>44563</v>
      </c>
      <c r="C34" s="48">
        <v>634446</v>
      </c>
      <c r="D34" s="34">
        <f t="shared" si="1"/>
        <v>0</v>
      </c>
      <c r="E34" s="51"/>
      <c r="F34" s="48">
        <v>2015191</v>
      </c>
      <c r="G34" s="1">
        <f t="shared" si="2"/>
        <v>0</v>
      </c>
      <c r="H34" s="97"/>
      <c r="I34" s="51"/>
      <c r="J34" s="48">
        <v>914643</v>
      </c>
      <c r="K34" s="1">
        <f t="shared" si="3"/>
        <v>0</v>
      </c>
      <c r="L34" s="90"/>
      <c r="M34" s="51"/>
      <c r="N34" s="45">
        <v>230336</v>
      </c>
      <c r="O34" s="8">
        <f t="shared" si="4"/>
        <v>0</v>
      </c>
      <c r="P34" s="9"/>
      <c r="Q34" s="87"/>
      <c r="R34" s="44"/>
      <c r="S34" s="44"/>
      <c r="T34" s="129"/>
      <c r="U34" s="9"/>
      <c r="V34" s="38"/>
      <c r="W34" s="45"/>
      <c r="X34" s="8"/>
      <c r="Y34" s="38"/>
      <c r="Z34" s="244"/>
    </row>
    <row r="35" spans="1:26">
      <c r="A35" s="148">
        <v>44564</v>
      </c>
      <c r="B35" s="153">
        <f t="shared" si="0"/>
        <v>44564</v>
      </c>
      <c r="C35" s="48">
        <v>634446</v>
      </c>
      <c r="D35" s="34">
        <f t="shared" si="1"/>
        <v>0</v>
      </c>
      <c r="E35" s="51"/>
      <c r="F35" s="48">
        <v>2015191</v>
      </c>
      <c r="G35" s="1">
        <f t="shared" si="2"/>
        <v>0</v>
      </c>
      <c r="H35" s="97"/>
      <c r="I35" s="51"/>
      <c r="J35" s="48">
        <v>914643</v>
      </c>
      <c r="K35" s="1">
        <f t="shared" si="3"/>
        <v>0</v>
      </c>
      <c r="L35" s="90"/>
      <c r="M35" s="51"/>
      <c r="N35" s="45">
        <v>230336</v>
      </c>
      <c r="O35" s="8">
        <f t="shared" si="4"/>
        <v>593</v>
      </c>
      <c r="P35" s="9"/>
      <c r="Q35" s="87"/>
      <c r="R35" s="44"/>
      <c r="S35" s="44"/>
      <c r="T35" s="129"/>
      <c r="U35" s="9"/>
      <c r="V35" s="38"/>
      <c r="W35" s="45"/>
      <c r="X35" s="8"/>
      <c r="Y35" s="38"/>
      <c r="Z35" s="244"/>
    </row>
    <row r="36" spans="1:26">
      <c r="A36" s="148">
        <v>44565</v>
      </c>
      <c r="B36" s="153">
        <f t="shared" si="0"/>
        <v>44565</v>
      </c>
      <c r="C36" s="48">
        <v>634446</v>
      </c>
      <c r="D36" s="34">
        <f t="shared" si="1"/>
        <v>1298</v>
      </c>
      <c r="E36" s="51"/>
      <c r="F36" s="48">
        <v>2015191</v>
      </c>
      <c r="G36" s="1">
        <f t="shared" si="2"/>
        <v>5089</v>
      </c>
      <c r="H36" s="97"/>
      <c r="I36" s="51"/>
      <c r="J36" s="48">
        <v>914643</v>
      </c>
      <c r="K36" s="1">
        <f t="shared" si="3"/>
        <v>4060</v>
      </c>
      <c r="L36" s="90"/>
      <c r="M36" s="51"/>
      <c r="N36" s="45">
        <v>230929</v>
      </c>
      <c r="O36" s="8">
        <f t="shared" si="4"/>
        <v>647</v>
      </c>
      <c r="P36" s="9"/>
      <c r="Q36" s="87"/>
      <c r="R36" s="44"/>
      <c r="S36" s="44"/>
      <c r="T36" s="129"/>
      <c r="U36" s="9"/>
      <c r="V36" s="38"/>
      <c r="W36" s="45"/>
      <c r="X36" s="8"/>
      <c r="Y36" s="38"/>
      <c r="Z36" s="244"/>
    </row>
    <row r="37" spans="1:26">
      <c r="A37" s="148">
        <v>44566</v>
      </c>
      <c r="B37" s="153">
        <f t="shared" si="0"/>
        <v>44566</v>
      </c>
      <c r="C37" s="48">
        <v>635744</v>
      </c>
      <c r="D37" s="34">
        <f t="shared" si="1"/>
        <v>1339</v>
      </c>
      <c r="E37" s="51"/>
      <c r="F37" s="48">
        <v>2020280</v>
      </c>
      <c r="G37" s="1">
        <f t="shared" si="2"/>
        <v>5169</v>
      </c>
      <c r="H37" s="97"/>
      <c r="I37" s="51"/>
      <c r="J37" s="48">
        <v>918703</v>
      </c>
      <c r="K37" s="1">
        <f t="shared" si="3"/>
        <v>102</v>
      </c>
      <c r="L37" s="90"/>
      <c r="M37" s="51"/>
      <c r="N37" s="45">
        <v>231576</v>
      </c>
      <c r="O37" s="8">
        <f t="shared" si="4"/>
        <v>682</v>
      </c>
      <c r="P37" s="9"/>
      <c r="Q37" s="87"/>
      <c r="R37" s="44"/>
      <c r="S37" s="44"/>
      <c r="T37" s="129"/>
      <c r="U37" s="9"/>
      <c r="V37" s="38"/>
      <c r="W37" s="45"/>
      <c r="X37" s="8"/>
      <c r="Y37" s="38"/>
      <c r="Z37" s="244"/>
    </row>
    <row r="38" spans="1:26">
      <c r="A38" s="148">
        <v>44567</v>
      </c>
      <c r="B38" s="153">
        <f t="shared" si="0"/>
        <v>44567</v>
      </c>
      <c r="C38" s="48">
        <v>637083</v>
      </c>
      <c r="D38" s="34">
        <f t="shared" si="1"/>
        <v>1072</v>
      </c>
      <c r="E38" s="51"/>
      <c r="F38" s="48">
        <v>2025449</v>
      </c>
      <c r="G38" s="1">
        <f t="shared" si="2"/>
        <v>4629</v>
      </c>
      <c r="H38" s="97"/>
      <c r="I38" s="51"/>
      <c r="J38" s="48">
        <v>918805</v>
      </c>
      <c r="K38" s="1">
        <f t="shared" si="3"/>
        <v>4973</v>
      </c>
      <c r="L38" s="90"/>
      <c r="M38" s="51"/>
      <c r="N38" s="45">
        <v>232258</v>
      </c>
      <c r="O38" s="8">
        <f t="shared" si="4"/>
        <v>548</v>
      </c>
      <c r="P38" s="364" t="s">
        <v>14</v>
      </c>
      <c r="Q38" s="87"/>
      <c r="R38" s="44"/>
      <c r="S38" s="44"/>
      <c r="T38" s="129"/>
      <c r="U38" s="9"/>
      <c r="V38" s="38"/>
      <c r="W38" s="45"/>
      <c r="X38" s="8"/>
      <c r="Y38" s="38"/>
      <c r="Z38" s="244"/>
    </row>
    <row r="39" spans="1:26">
      <c r="A39" s="148">
        <v>44568</v>
      </c>
      <c r="B39" s="153">
        <f t="shared" si="0"/>
        <v>44568</v>
      </c>
      <c r="C39" s="48">
        <v>638155</v>
      </c>
      <c r="D39" s="34">
        <f t="shared" si="1"/>
        <v>1064</v>
      </c>
      <c r="E39" s="51"/>
      <c r="F39" s="48">
        <v>2030078</v>
      </c>
      <c r="G39" s="1">
        <f t="shared" si="2"/>
        <v>4867</v>
      </c>
      <c r="H39" s="97"/>
      <c r="I39" s="51"/>
      <c r="J39" s="48">
        <v>923778</v>
      </c>
      <c r="K39" s="1">
        <f t="shared" si="3"/>
        <v>9333</v>
      </c>
      <c r="L39" s="90"/>
      <c r="M39" s="51"/>
      <c r="N39" s="46">
        <v>232806</v>
      </c>
      <c r="O39" s="12">
        <f t="shared" si="4"/>
        <v>523</v>
      </c>
      <c r="P39" s="166"/>
      <c r="Q39" s="87"/>
      <c r="R39" s="44"/>
      <c r="S39" s="44"/>
      <c r="T39" s="129"/>
      <c r="U39" s="9"/>
      <c r="V39" s="38"/>
      <c r="W39" s="45"/>
      <c r="X39" s="8"/>
      <c r="Y39" s="38"/>
      <c r="Z39" s="244"/>
    </row>
    <row r="40" spans="1:26">
      <c r="A40" s="148">
        <v>44569</v>
      </c>
      <c r="B40" s="153">
        <f t="shared" si="0"/>
        <v>44569</v>
      </c>
      <c r="C40" s="48">
        <v>639219</v>
      </c>
      <c r="D40" s="34">
        <f t="shared" si="1"/>
        <v>0</v>
      </c>
      <c r="E40" s="51"/>
      <c r="F40" s="48">
        <v>2034945</v>
      </c>
      <c r="G40" s="1">
        <f t="shared" si="2"/>
        <v>1051</v>
      </c>
      <c r="H40" s="97"/>
      <c r="I40" s="51"/>
      <c r="J40" s="48">
        <v>933111</v>
      </c>
      <c r="K40" s="1">
        <f t="shared" si="3"/>
        <v>0</v>
      </c>
      <c r="L40" s="90"/>
      <c r="M40" s="51"/>
      <c r="N40" s="46">
        <v>233329</v>
      </c>
      <c r="O40" s="12">
        <f t="shared" si="4"/>
        <v>682</v>
      </c>
      <c r="P40" s="166"/>
      <c r="Q40" s="87"/>
      <c r="R40" s="44"/>
      <c r="S40" s="44"/>
      <c r="T40" s="129"/>
      <c r="U40" s="9"/>
      <c r="V40" s="38"/>
      <c r="W40" s="45"/>
      <c r="X40" s="8"/>
      <c r="Y40" s="38"/>
      <c r="Z40" s="244"/>
    </row>
    <row r="41" spans="1:26">
      <c r="A41" s="148">
        <v>44570</v>
      </c>
      <c r="B41" s="153">
        <f t="shared" si="0"/>
        <v>44570</v>
      </c>
      <c r="C41" s="48">
        <v>639219</v>
      </c>
      <c r="D41" s="34">
        <f t="shared" si="1"/>
        <v>0</v>
      </c>
      <c r="E41" s="51"/>
      <c r="F41" s="48">
        <v>2035996</v>
      </c>
      <c r="G41" s="1">
        <f t="shared" si="2"/>
        <v>0</v>
      </c>
      <c r="H41" s="97"/>
      <c r="I41" s="51"/>
      <c r="J41" s="48">
        <v>933111</v>
      </c>
      <c r="K41" s="1">
        <f t="shared" si="3"/>
        <v>0</v>
      </c>
      <c r="L41" s="90"/>
      <c r="M41" s="51"/>
      <c r="N41" s="46">
        <v>234011</v>
      </c>
      <c r="O41" s="12">
        <f t="shared" si="4"/>
        <v>0</v>
      </c>
      <c r="P41" s="166"/>
      <c r="Q41" s="87"/>
      <c r="R41" s="44"/>
      <c r="S41" s="44"/>
      <c r="T41" s="129"/>
      <c r="U41" s="9"/>
      <c r="V41" s="38"/>
      <c r="W41" s="45"/>
      <c r="X41" s="8"/>
      <c r="Y41" s="38"/>
      <c r="Z41" s="244"/>
    </row>
    <row r="42" spans="1:26">
      <c r="A42" s="148">
        <v>44571</v>
      </c>
      <c r="B42" s="153">
        <f t="shared" si="0"/>
        <v>44571</v>
      </c>
      <c r="C42" s="48">
        <v>639219</v>
      </c>
      <c r="D42" s="34">
        <f t="shared" si="1"/>
        <v>1209</v>
      </c>
      <c r="E42" s="51"/>
      <c r="F42" s="48">
        <v>2035996</v>
      </c>
      <c r="G42" s="1">
        <f t="shared" si="2"/>
        <v>5713</v>
      </c>
      <c r="H42" s="97"/>
      <c r="I42" s="51"/>
      <c r="J42" s="48">
        <v>933111</v>
      </c>
      <c r="K42" s="1">
        <f t="shared" si="3"/>
        <v>0</v>
      </c>
      <c r="L42" s="90"/>
      <c r="M42" s="51"/>
      <c r="N42" s="46">
        <v>234011</v>
      </c>
      <c r="O42" s="12">
        <f t="shared" si="4"/>
        <v>571</v>
      </c>
      <c r="P42" s="166"/>
      <c r="Q42" s="87"/>
      <c r="R42" s="44"/>
      <c r="S42" s="44"/>
      <c r="T42" s="129"/>
      <c r="U42" s="9"/>
      <c r="V42" s="38"/>
      <c r="W42" s="45"/>
      <c r="X42" s="8"/>
      <c r="Y42" s="38"/>
      <c r="Z42" s="244"/>
    </row>
    <row r="43" spans="1:26">
      <c r="A43" s="148">
        <v>44572</v>
      </c>
      <c r="B43" s="153">
        <f t="shared" si="0"/>
        <v>44572</v>
      </c>
      <c r="C43" s="48">
        <v>640428</v>
      </c>
      <c r="D43" s="34">
        <f t="shared" si="1"/>
        <v>3662</v>
      </c>
      <c r="E43" s="53" t="s">
        <v>19</v>
      </c>
      <c r="F43" s="48">
        <v>2041709</v>
      </c>
      <c r="G43" s="1">
        <f t="shared" si="2"/>
        <v>15632</v>
      </c>
      <c r="H43" s="97"/>
      <c r="I43" s="49" t="s">
        <v>7</v>
      </c>
      <c r="J43" s="48">
        <v>933111</v>
      </c>
      <c r="K43" s="1">
        <f t="shared" si="3"/>
        <v>10722</v>
      </c>
      <c r="L43" s="90"/>
      <c r="M43" s="49" t="s">
        <v>17</v>
      </c>
      <c r="N43" s="46">
        <v>234582</v>
      </c>
      <c r="O43" s="12">
        <f t="shared" si="4"/>
        <v>2378</v>
      </c>
      <c r="P43" s="166"/>
      <c r="Q43" s="87"/>
      <c r="R43" s="44"/>
      <c r="S43" s="44"/>
      <c r="T43" s="129"/>
      <c r="U43" s="9"/>
      <c r="V43" s="38"/>
      <c r="W43" s="45"/>
      <c r="X43" s="8"/>
      <c r="Y43" s="38"/>
      <c r="Z43" s="244"/>
    </row>
    <row r="44" spans="1:26">
      <c r="A44" s="148">
        <v>44573</v>
      </c>
      <c r="B44" s="153">
        <f t="shared" si="0"/>
        <v>44573</v>
      </c>
      <c r="C44" s="50">
        <v>644090</v>
      </c>
      <c r="D44" s="35">
        <f t="shared" si="1"/>
        <v>0</v>
      </c>
      <c r="E44" s="52"/>
      <c r="F44" s="50">
        <v>2057341</v>
      </c>
      <c r="G44" s="2">
        <f t="shared" si="2"/>
        <v>0</v>
      </c>
      <c r="H44" s="98"/>
      <c r="I44" s="52"/>
      <c r="J44" s="50">
        <v>943833</v>
      </c>
      <c r="K44" s="2">
        <f t="shared" si="3"/>
        <v>0</v>
      </c>
      <c r="L44" s="91"/>
      <c r="M44" s="52"/>
      <c r="N44" s="46">
        <v>236960</v>
      </c>
      <c r="O44" s="12">
        <f t="shared" si="4"/>
        <v>0</v>
      </c>
      <c r="P44" s="166"/>
      <c r="Q44" s="87"/>
      <c r="R44" s="44"/>
      <c r="S44" s="44"/>
      <c r="T44" s="129"/>
      <c r="U44" s="9"/>
      <c r="V44" s="38"/>
      <c r="W44" s="45"/>
      <c r="X44" s="8"/>
      <c r="Y44" s="38"/>
      <c r="Z44" s="244" t="s">
        <v>58</v>
      </c>
    </row>
    <row r="45" spans="1:26">
      <c r="A45" s="148">
        <v>44574</v>
      </c>
      <c r="B45" s="153">
        <f t="shared" si="0"/>
        <v>44574</v>
      </c>
      <c r="C45" s="50">
        <v>644090</v>
      </c>
      <c r="D45" s="35">
        <f t="shared" si="1"/>
        <v>1513</v>
      </c>
      <c r="E45" s="52"/>
      <c r="F45" s="50">
        <v>2057341</v>
      </c>
      <c r="G45" s="2">
        <f t="shared" si="2"/>
        <v>7690</v>
      </c>
      <c r="H45" s="98"/>
      <c r="I45" s="52"/>
      <c r="J45" s="50">
        <v>943833</v>
      </c>
      <c r="K45" s="2">
        <f t="shared" si="3"/>
        <v>5298</v>
      </c>
      <c r="L45" s="91"/>
      <c r="M45" s="52"/>
      <c r="N45" s="46">
        <v>236960</v>
      </c>
      <c r="O45" s="12">
        <f t="shared" si="4"/>
        <v>0</v>
      </c>
      <c r="P45" s="166"/>
      <c r="Q45" s="87"/>
      <c r="R45" s="44"/>
      <c r="S45" s="44"/>
      <c r="T45" s="129"/>
      <c r="U45" s="9"/>
      <c r="V45" s="38"/>
      <c r="W45" s="45"/>
      <c r="X45" s="8"/>
      <c r="Y45" s="38"/>
      <c r="Z45" s="244"/>
    </row>
    <row r="46" spans="1:26">
      <c r="A46" s="148">
        <v>44575</v>
      </c>
      <c r="B46" s="153">
        <f t="shared" si="0"/>
        <v>44575</v>
      </c>
      <c r="C46" s="50">
        <v>645603</v>
      </c>
      <c r="D46" s="35">
        <f t="shared" si="1"/>
        <v>4433</v>
      </c>
      <c r="E46" s="52"/>
      <c r="F46" s="50">
        <v>2065031</v>
      </c>
      <c r="G46" s="2">
        <f t="shared" si="2"/>
        <v>20737</v>
      </c>
      <c r="H46" s="98"/>
      <c r="I46" s="52"/>
      <c r="J46" s="50">
        <v>949131</v>
      </c>
      <c r="K46" s="2">
        <f t="shared" si="3"/>
        <v>9198</v>
      </c>
      <c r="L46" s="91"/>
      <c r="M46" s="52"/>
      <c r="N46" s="46">
        <v>236960</v>
      </c>
      <c r="O46" s="12">
        <f t="shared" si="4"/>
        <v>0</v>
      </c>
      <c r="P46" s="166"/>
      <c r="Q46" s="87"/>
      <c r="R46" s="44"/>
      <c r="S46" s="44"/>
      <c r="T46" s="129"/>
      <c r="U46" s="9"/>
      <c r="V46" s="38"/>
      <c r="W46" s="45"/>
      <c r="X46" s="8"/>
      <c r="Y46" s="38"/>
      <c r="Z46" s="244"/>
    </row>
    <row r="47" spans="1:26">
      <c r="A47" s="148">
        <v>44576</v>
      </c>
      <c r="B47" s="153">
        <f t="shared" si="0"/>
        <v>44576</v>
      </c>
      <c r="C47" s="50">
        <v>650036</v>
      </c>
      <c r="D47" s="35">
        <f t="shared" si="1"/>
        <v>0</v>
      </c>
      <c r="E47" s="52"/>
      <c r="F47" s="50">
        <v>2085768</v>
      </c>
      <c r="G47" s="2">
        <f t="shared" si="2"/>
        <v>0</v>
      </c>
      <c r="H47" s="98"/>
      <c r="I47" s="52"/>
      <c r="J47" s="50">
        <v>958329</v>
      </c>
      <c r="K47" s="2">
        <f t="shared" si="3"/>
        <v>0</v>
      </c>
      <c r="L47" s="91"/>
      <c r="M47" s="52"/>
      <c r="N47" s="46">
        <v>236960</v>
      </c>
      <c r="O47" s="12">
        <f t="shared" si="4"/>
        <v>0</v>
      </c>
      <c r="P47" s="166"/>
      <c r="Q47" s="87"/>
      <c r="R47" s="44"/>
      <c r="S47" s="44"/>
      <c r="T47" s="129"/>
      <c r="U47" s="9"/>
      <c r="V47" s="38"/>
      <c r="W47" s="45"/>
      <c r="X47" s="8"/>
      <c r="Y47" s="38"/>
      <c r="Z47" s="244"/>
    </row>
    <row r="48" spans="1:26">
      <c r="A48" s="148">
        <v>44577</v>
      </c>
      <c r="B48" s="153">
        <f t="shared" si="0"/>
        <v>44577</v>
      </c>
      <c r="C48" s="50">
        <v>650036</v>
      </c>
      <c r="D48" s="35">
        <f t="shared" si="1"/>
        <v>0</v>
      </c>
      <c r="E48" s="52"/>
      <c r="F48" s="50">
        <v>2085768</v>
      </c>
      <c r="G48" s="2">
        <f t="shared" si="2"/>
        <v>280</v>
      </c>
      <c r="H48" s="98"/>
      <c r="I48" s="52"/>
      <c r="J48" s="50">
        <v>958329</v>
      </c>
      <c r="K48" s="2">
        <f t="shared" si="3"/>
        <v>0</v>
      </c>
      <c r="L48" s="91"/>
      <c r="M48" s="52"/>
      <c r="N48" s="46">
        <v>236960</v>
      </c>
      <c r="O48" s="12">
        <f t="shared" si="4"/>
        <v>3343</v>
      </c>
      <c r="P48" s="166"/>
      <c r="Q48" s="87"/>
      <c r="R48" s="44"/>
      <c r="S48" s="44"/>
      <c r="T48" s="129"/>
      <c r="U48" s="9"/>
      <c r="V48" s="38"/>
      <c r="W48" s="45"/>
      <c r="X48" s="8"/>
      <c r="Y48" s="38"/>
      <c r="Z48" s="244"/>
    </row>
    <row r="49" spans="1:26">
      <c r="A49" s="148">
        <v>44578</v>
      </c>
      <c r="B49" s="153">
        <f t="shared" si="0"/>
        <v>44578</v>
      </c>
      <c r="C49" s="50">
        <v>650036</v>
      </c>
      <c r="D49" s="35">
        <f t="shared" si="1"/>
        <v>1871</v>
      </c>
      <c r="E49" s="52"/>
      <c r="F49" s="50">
        <v>2086048</v>
      </c>
      <c r="G49" s="2">
        <f t="shared" si="2"/>
        <v>7094</v>
      </c>
      <c r="H49" s="98"/>
      <c r="I49" s="52"/>
      <c r="J49" s="50">
        <v>958329</v>
      </c>
      <c r="K49" s="2">
        <f t="shared" si="3"/>
        <v>5478</v>
      </c>
      <c r="L49" s="91"/>
      <c r="M49" s="52"/>
      <c r="N49" s="46">
        <v>240303</v>
      </c>
      <c r="O49" s="12">
        <f t="shared" si="4"/>
        <v>0</v>
      </c>
      <c r="P49" s="166"/>
      <c r="Q49" s="87"/>
      <c r="R49" s="44"/>
      <c r="S49" s="44"/>
      <c r="T49" s="129"/>
      <c r="U49" s="9"/>
      <c r="V49" s="38"/>
      <c r="W49" s="45"/>
      <c r="X49" s="8"/>
      <c r="Y49" s="38"/>
      <c r="Z49" s="244"/>
    </row>
    <row r="50" spans="1:26">
      <c r="A50" s="148">
        <v>44579</v>
      </c>
      <c r="B50" s="153">
        <f t="shared" si="0"/>
        <v>44579</v>
      </c>
      <c r="C50" s="50">
        <v>651907</v>
      </c>
      <c r="D50" s="35">
        <f t="shared" si="1"/>
        <v>2004</v>
      </c>
      <c r="E50" s="52"/>
      <c r="F50" s="50">
        <v>2093142</v>
      </c>
      <c r="G50" s="2">
        <f t="shared" si="2"/>
        <v>8205</v>
      </c>
      <c r="H50" s="98"/>
      <c r="I50" s="52"/>
      <c r="J50" s="50">
        <v>963807</v>
      </c>
      <c r="K50" s="2">
        <f t="shared" si="3"/>
        <v>11664</v>
      </c>
      <c r="L50" s="91"/>
      <c r="M50" s="52"/>
      <c r="N50" s="46">
        <v>240303</v>
      </c>
      <c r="O50" s="12">
        <f t="shared" si="4"/>
        <v>0</v>
      </c>
      <c r="P50" s="166"/>
      <c r="Q50" s="87"/>
      <c r="R50" s="44"/>
      <c r="S50" s="44"/>
      <c r="T50" s="129"/>
      <c r="U50" s="9"/>
      <c r="V50" s="38"/>
      <c r="W50" s="45"/>
      <c r="X50" s="8"/>
      <c r="Y50" s="38"/>
      <c r="Z50" s="244"/>
    </row>
    <row r="51" spans="1:26">
      <c r="A51" s="148">
        <v>44580</v>
      </c>
      <c r="B51" s="153">
        <f t="shared" si="0"/>
        <v>44580</v>
      </c>
      <c r="C51" s="50">
        <v>653911</v>
      </c>
      <c r="D51" s="35">
        <f t="shared" si="1"/>
        <v>1887</v>
      </c>
      <c r="E51" s="52"/>
      <c r="F51" s="50">
        <v>2101347</v>
      </c>
      <c r="G51" s="2">
        <f t="shared" si="2"/>
        <v>7929</v>
      </c>
      <c r="H51" s="98"/>
      <c r="I51" s="52"/>
      <c r="J51" s="50">
        <v>975471</v>
      </c>
      <c r="K51" s="2">
        <f t="shared" si="3"/>
        <v>0</v>
      </c>
      <c r="L51" s="91"/>
      <c r="M51" s="52"/>
      <c r="N51" s="46">
        <v>240303</v>
      </c>
      <c r="O51" s="12">
        <f t="shared" si="4"/>
        <v>0</v>
      </c>
      <c r="P51" s="166"/>
      <c r="Q51" s="87"/>
      <c r="R51" s="44"/>
      <c r="S51" s="44"/>
      <c r="T51" s="129"/>
      <c r="U51" s="9"/>
      <c r="V51" s="38"/>
      <c r="W51" s="45"/>
      <c r="X51" s="8"/>
      <c r="Y51" s="38"/>
      <c r="Z51" s="244"/>
    </row>
    <row r="52" spans="1:26">
      <c r="A52" s="148">
        <v>44581</v>
      </c>
      <c r="B52" s="153">
        <f t="shared" si="0"/>
        <v>44581</v>
      </c>
      <c r="C52" s="50">
        <v>655798</v>
      </c>
      <c r="D52" s="35">
        <f t="shared" si="1"/>
        <v>8465</v>
      </c>
      <c r="E52" s="52"/>
      <c r="F52" s="50">
        <v>2109276</v>
      </c>
      <c r="G52" s="2">
        <f t="shared" si="2"/>
        <v>31628</v>
      </c>
      <c r="H52" s="98"/>
      <c r="I52" s="52"/>
      <c r="J52" s="50">
        <v>975471</v>
      </c>
      <c r="K52" s="2">
        <f t="shared" si="3"/>
        <v>10756</v>
      </c>
      <c r="L52" s="91"/>
      <c r="M52" s="52"/>
      <c r="N52" s="46">
        <v>240303</v>
      </c>
      <c r="O52" s="12">
        <f t="shared" si="4"/>
        <v>0</v>
      </c>
      <c r="P52" s="166"/>
      <c r="Q52" s="87"/>
      <c r="R52" s="44"/>
      <c r="S52" s="44"/>
      <c r="T52" s="129"/>
      <c r="U52" s="9"/>
      <c r="V52" s="38"/>
      <c r="W52" s="45"/>
      <c r="X52" s="8"/>
      <c r="Y52" s="38"/>
      <c r="Z52" s="244"/>
    </row>
    <row r="53" spans="1:26">
      <c r="A53" s="148">
        <v>44582</v>
      </c>
      <c r="B53" s="153">
        <f t="shared" si="0"/>
        <v>44582</v>
      </c>
      <c r="C53" s="50">
        <v>664263</v>
      </c>
      <c r="D53" s="35">
        <f t="shared" si="1"/>
        <v>0</v>
      </c>
      <c r="E53" s="52"/>
      <c r="F53" s="50">
        <v>2140904</v>
      </c>
      <c r="G53" s="2">
        <f t="shared" si="2"/>
        <v>0</v>
      </c>
      <c r="H53" s="98"/>
      <c r="I53" s="52"/>
      <c r="J53" s="50">
        <v>986227</v>
      </c>
      <c r="K53" s="2">
        <f t="shared" si="3"/>
        <v>0</v>
      </c>
      <c r="L53" s="91"/>
      <c r="M53" s="52"/>
      <c r="N53" s="46">
        <v>240303</v>
      </c>
      <c r="O53" s="12">
        <f t="shared" si="4"/>
        <v>0</v>
      </c>
      <c r="P53" s="166"/>
      <c r="Q53" s="87"/>
      <c r="R53" s="44"/>
      <c r="S53" s="44"/>
      <c r="T53" s="129"/>
      <c r="U53" s="9"/>
      <c r="V53" s="38"/>
      <c r="W53" s="45"/>
      <c r="X53" s="8"/>
      <c r="Y53" s="38"/>
      <c r="Z53" s="244"/>
    </row>
    <row r="54" spans="1:26">
      <c r="A54" s="148">
        <v>44583</v>
      </c>
      <c r="B54" s="153">
        <f t="shared" si="0"/>
        <v>44583</v>
      </c>
      <c r="C54" s="50">
        <v>664263</v>
      </c>
      <c r="D54" s="35">
        <f t="shared" si="1"/>
        <v>0</v>
      </c>
      <c r="E54" s="52"/>
      <c r="F54" s="50">
        <v>2140904</v>
      </c>
      <c r="G54" s="2">
        <f t="shared" si="2"/>
        <v>0</v>
      </c>
      <c r="H54" s="98"/>
      <c r="I54" s="52"/>
      <c r="J54" s="50">
        <v>986227</v>
      </c>
      <c r="K54" s="2">
        <f t="shared" si="3"/>
        <v>0</v>
      </c>
      <c r="L54" s="91"/>
      <c r="M54" s="52"/>
      <c r="N54" s="46">
        <v>240303</v>
      </c>
      <c r="O54" s="12">
        <f t="shared" si="4"/>
        <v>0</v>
      </c>
      <c r="P54" s="166"/>
      <c r="Q54" s="87"/>
      <c r="R54" s="44"/>
      <c r="S54" s="44"/>
      <c r="T54" s="129"/>
      <c r="U54" s="9"/>
      <c r="V54" s="38"/>
      <c r="W54" s="45"/>
      <c r="X54" s="8"/>
      <c r="Y54" s="38"/>
      <c r="Z54" s="244"/>
    </row>
    <row r="55" spans="1:26">
      <c r="A55" s="148">
        <v>44584</v>
      </c>
      <c r="B55" s="153">
        <f t="shared" si="0"/>
        <v>44584</v>
      </c>
      <c r="C55" s="50">
        <v>664263</v>
      </c>
      <c r="D55" s="35">
        <f t="shared" si="1"/>
        <v>20</v>
      </c>
      <c r="E55" s="52"/>
      <c r="F55" s="50">
        <v>2140904</v>
      </c>
      <c r="G55" s="2">
        <f t="shared" si="2"/>
        <v>1115</v>
      </c>
      <c r="H55" s="98"/>
      <c r="I55" s="52"/>
      <c r="J55" s="50">
        <v>986227</v>
      </c>
      <c r="K55" s="2">
        <f t="shared" si="3"/>
        <v>0</v>
      </c>
      <c r="L55" s="91"/>
      <c r="M55" s="52"/>
      <c r="N55" s="46">
        <v>240303</v>
      </c>
      <c r="O55" s="12">
        <f t="shared" si="4"/>
        <v>0</v>
      </c>
      <c r="P55" s="166"/>
      <c r="Q55" s="87"/>
      <c r="R55" s="44"/>
      <c r="S55" s="44"/>
      <c r="T55" s="129"/>
      <c r="U55" s="9"/>
      <c r="V55" s="38"/>
      <c r="W55" s="45"/>
      <c r="X55" s="8"/>
      <c r="Y55" s="38"/>
      <c r="Z55" s="244"/>
    </row>
    <row r="56" spans="1:26">
      <c r="A56" s="148">
        <v>44585</v>
      </c>
      <c r="B56" s="153">
        <f t="shared" si="0"/>
        <v>44585</v>
      </c>
      <c r="C56" s="50">
        <v>664283</v>
      </c>
      <c r="D56" s="35">
        <f t="shared" si="1"/>
        <v>2546</v>
      </c>
      <c r="E56" s="52"/>
      <c r="F56" s="50">
        <v>2142019</v>
      </c>
      <c r="G56" s="2">
        <f t="shared" si="2"/>
        <v>8780</v>
      </c>
      <c r="H56" s="98"/>
      <c r="I56" s="52"/>
      <c r="J56" s="50">
        <v>986227</v>
      </c>
      <c r="K56" s="2">
        <f t="shared" si="3"/>
        <v>9167</v>
      </c>
      <c r="L56" s="91"/>
      <c r="M56" s="52"/>
      <c r="N56" s="46">
        <v>240303</v>
      </c>
      <c r="O56" s="12">
        <f t="shared" si="4"/>
        <v>790</v>
      </c>
      <c r="P56" s="166"/>
      <c r="Q56" s="87"/>
      <c r="R56" s="44"/>
      <c r="S56" s="44"/>
      <c r="T56" s="129"/>
      <c r="U56" s="9"/>
      <c r="V56" s="38"/>
      <c r="W56" s="45"/>
      <c r="X56" s="8"/>
      <c r="Y56" s="38"/>
      <c r="Z56" s="244"/>
    </row>
    <row r="57" spans="1:26">
      <c r="A57" s="148">
        <v>44586</v>
      </c>
      <c r="B57" s="153">
        <f t="shared" si="0"/>
        <v>44586</v>
      </c>
      <c r="C57" s="50">
        <v>666829</v>
      </c>
      <c r="D57" s="35">
        <f t="shared" si="1"/>
        <v>3283</v>
      </c>
      <c r="E57" s="52"/>
      <c r="F57" s="50">
        <v>2150799</v>
      </c>
      <c r="G57" s="2">
        <f t="shared" si="2"/>
        <v>9913</v>
      </c>
      <c r="H57" s="98"/>
      <c r="I57" s="52"/>
      <c r="J57" s="50">
        <v>995394</v>
      </c>
      <c r="K57" s="2">
        <f t="shared" si="3"/>
        <v>5446</v>
      </c>
      <c r="L57" s="91"/>
      <c r="M57" s="52"/>
      <c r="N57" s="46">
        <v>241093</v>
      </c>
      <c r="O57" s="12">
        <f t="shared" si="4"/>
        <v>664</v>
      </c>
      <c r="P57" s="166"/>
      <c r="Q57" s="87"/>
      <c r="R57" s="44"/>
      <c r="S57" s="44"/>
      <c r="T57" s="129"/>
      <c r="U57" s="9"/>
      <c r="V57" s="38"/>
      <c r="W57" s="45"/>
      <c r="X57" s="8"/>
      <c r="Y57" s="38"/>
      <c r="Z57" s="244"/>
    </row>
    <row r="58" spans="1:26">
      <c r="A58" s="148">
        <v>44587</v>
      </c>
      <c r="B58" s="153">
        <f t="shared" si="0"/>
        <v>44587</v>
      </c>
      <c r="C58" s="50">
        <v>670112</v>
      </c>
      <c r="D58" s="35">
        <f t="shared" si="1"/>
        <v>2498</v>
      </c>
      <c r="E58" s="52"/>
      <c r="F58" s="50">
        <v>2160712</v>
      </c>
      <c r="G58" s="2">
        <f t="shared" si="2"/>
        <v>9106</v>
      </c>
      <c r="H58" s="98"/>
      <c r="I58" s="52"/>
      <c r="J58" s="50">
        <v>1000840</v>
      </c>
      <c r="K58" s="2">
        <f t="shared" si="3"/>
        <v>5692</v>
      </c>
      <c r="L58" s="91"/>
      <c r="M58" s="52"/>
      <c r="N58" s="46">
        <v>241757</v>
      </c>
      <c r="O58" s="12">
        <f t="shared" si="4"/>
        <v>642</v>
      </c>
      <c r="P58" s="166"/>
      <c r="Q58" s="87"/>
      <c r="R58" s="44"/>
      <c r="S58" s="44"/>
      <c r="T58" s="129"/>
      <c r="U58" s="9"/>
      <c r="V58" s="38"/>
      <c r="W58" s="45"/>
      <c r="X58" s="8"/>
      <c r="Y58" s="38"/>
      <c r="Z58" s="244"/>
    </row>
    <row r="59" spans="1:26">
      <c r="A59" s="148">
        <v>44588</v>
      </c>
      <c r="B59" s="153">
        <f t="shared" si="0"/>
        <v>44588</v>
      </c>
      <c r="C59" s="50">
        <v>672610</v>
      </c>
      <c r="D59" s="35">
        <f t="shared" si="1"/>
        <v>2841</v>
      </c>
      <c r="E59" s="52"/>
      <c r="F59" s="50">
        <v>2169818</v>
      </c>
      <c r="G59" s="2">
        <f t="shared" si="2"/>
        <v>9539</v>
      </c>
      <c r="H59" s="98"/>
      <c r="I59" s="52"/>
      <c r="J59" s="50">
        <v>1006532</v>
      </c>
      <c r="K59" s="2">
        <f t="shared" si="3"/>
        <v>5667</v>
      </c>
      <c r="L59" s="91"/>
      <c r="M59" s="52"/>
      <c r="N59" s="46">
        <v>242399</v>
      </c>
      <c r="O59" s="12">
        <f t="shared" si="4"/>
        <v>712</v>
      </c>
      <c r="P59" s="166"/>
      <c r="Q59" s="87"/>
      <c r="R59" s="44"/>
      <c r="S59" s="44"/>
      <c r="T59" s="129"/>
      <c r="U59" s="9"/>
      <c r="V59" s="38"/>
      <c r="W59" s="45"/>
      <c r="X59" s="8"/>
      <c r="Y59" s="38"/>
      <c r="Z59" s="244"/>
    </row>
    <row r="60" spans="1:26">
      <c r="A60" s="148">
        <v>44589</v>
      </c>
      <c r="B60" s="153">
        <f t="shared" si="0"/>
        <v>44589</v>
      </c>
      <c r="C60" s="50">
        <v>675451</v>
      </c>
      <c r="D60" s="35">
        <f t="shared" si="1"/>
        <v>4083</v>
      </c>
      <c r="E60" s="52"/>
      <c r="F60" s="50">
        <v>2179357</v>
      </c>
      <c r="G60" s="2">
        <f t="shared" si="2"/>
        <v>13972</v>
      </c>
      <c r="H60" s="98"/>
      <c r="I60" s="52"/>
      <c r="J60" s="50">
        <v>1012199</v>
      </c>
      <c r="K60" s="2">
        <f t="shared" si="3"/>
        <v>5937</v>
      </c>
      <c r="L60" s="91"/>
      <c r="M60" s="52"/>
      <c r="N60" s="46">
        <v>243111</v>
      </c>
      <c r="O60" s="12">
        <f t="shared" si="4"/>
        <v>665</v>
      </c>
      <c r="P60" s="166"/>
      <c r="Q60" s="87"/>
      <c r="R60" s="44"/>
      <c r="S60" s="44"/>
      <c r="T60" s="129"/>
      <c r="U60" s="9"/>
      <c r="V60" s="38"/>
      <c r="W60" s="45"/>
      <c r="X60" s="8"/>
      <c r="Y60" s="38"/>
      <c r="Z60" s="244"/>
    </row>
    <row r="61" spans="1:26">
      <c r="A61" s="148">
        <v>44590</v>
      </c>
      <c r="B61" s="153">
        <f t="shared" si="0"/>
        <v>44590</v>
      </c>
      <c r="C61" s="50">
        <v>679534</v>
      </c>
      <c r="D61" s="35">
        <f t="shared" si="1"/>
        <v>0</v>
      </c>
      <c r="E61" s="52"/>
      <c r="F61" s="50">
        <v>2193329</v>
      </c>
      <c r="G61" s="2">
        <f t="shared" si="2"/>
        <v>0</v>
      </c>
      <c r="H61" s="98"/>
      <c r="I61" s="52"/>
      <c r="J61" s="50">
        <v>1018136</v>
      </c>
      <c r="K61" s="2">
        <f t="shared" si="3"/>
        <v>0</v>
      </c>
      <c r="L61" s="91"/>
      <c r="M61" s="52"/>
      <c r="N61" s="46">
        <v>243776</v>
      </c>
      <c r="O61" s="12">
        <f t="shared" si="4"/>
        <v>710</v>
      </c>
      <c r="P61" s="166"/>
      <c r="Q61" s="87"/>
      <c r="R61" s="44"/>
      <c r="S61" s="44"/>
      <c r="T61" s="129"/>
      <c r="U61" s="9"/>
      <c r="V61" s="38"/>
      <c r="W61" s="45"/>
      <c r="X61" s="8"/>
      <c r="Y61" s="38"/>
      <c r="Z61" s="244"/>
    </row>
    <row r="62" spans="1:26">
      <c r="A62" s="148">
        <v>44591</v>
      </c>
      <c r="B62" s="153">
        <f t="shared" si="0"/>
        <v>44591</v>
      </c>
      <c r="C62" s="50">
        <v>679534</v>
      </c>
      <c r="D62" s="35">
        <f t="shared" si="1"/>
        <v>1267</v>
      </c>
      <c r="E62" s="52"/>
      <c r="F62" s="50">
        <v>2193329</v>
      </c>
      <c r="G62" s="2">
        <f t="shared" si="2"/>
        <v>1239</v>
      </c>
      <c r="H62" s="98"/>
      <c r="I62" s="52"/>
      <c r="J62" s="50">
        <v>1018136</v>
      </c>
      <c r="K62" s="2">
        <f t="shared" si="3"/>
        <v>0</v>
      </c>
      <c r="L62" s="91"/>
      <c r="M62" s="52"/>
      <c r="N62" s="46">
        <v>244486</v>
      </c>
      <c r="O62" s="12">
        <f t="shared" si="4"/>
        <v>0</v>
      </c>
      <c r="P62" s="166"/>
      <c r="Q62" s="87"/>
      <c r="R62" s="44"/>
      <c r="S62" s="44"/>
      <c r="T62" s="129"/>
      <c r="U62" s="9"/>
      <c r="V62" s="38"/>
      <c r="W62" s="45"/>
      <c r="X62" s="8"/>
      <c r="Y62" s="38"/>
      <c r="Z62" s="244"/>
    </row>
    <row r="63" spans="1:26">
      <c r="A63" s="148">
        <v>44592</v>
      </c>
      <c r="B63" s="153">
        <f t="shared" si="0"/>
        <v>44592</v>
      </c>
      <c r="C63" s="50">
        <v>680801</v>
      </c>
      <c r="D63" s="35">
        <f t="shared" si="1"/>
        <v>1612</v>
      </c>
      <c r="E63" s="52"/>
      <c r="F63" s="50">
        <v>2194568</v>
      </c>
      <c r="G63" s="2">
        <f t="shared" si="2"/>
        <v>8745</v>
      </c>
      <c r="H63" s="98"/>
      <c r="I63" s="52"/>
      <c r="J63" s="50">
        <v>1018136</v>
      </c>
      <c r="K63" s="2">
        <f t="shared" si="3"/>
        <v>7590</v>
      </c>
      <c r="L63" s="91"/>
      <c r="M63" s="52"/>
      <c r="N63" s="46">
        <v>244486</v>
      </c>
      <c r="O63" s="12">
        <f t="shared" si="4"/>
        <v>740</v>
      </c>
      <c r="P63" s="166"/>
      <c r="Q63" s="87"/>
      <c r="R63" s="44"/>
      <c r="S63" s="44"/>
      <c r="T63" s="129"/>
      <c r="U63" s="9"/>
      <c r="V63" s="38"/>
      <c r="W63" s="45"/>
      <c r="X63" s="8"/>
      <c r="Y63" s="38"/>
      <c r="Z63" s="244"/>
    </row>
    <row r="64" spans="1:26">
      <c r="A64" s="148">
        <v>44593</v>
      </c>
      <c r="B64" s="153">
        <f t="shared" si="0"/>
        <v>44593</v>
      </c>
      <c r="C64" s="50">
        <v>682413</v>
      </c>
      <c r="D64" s="35">
        <f t="shared" si="1"/>
        <v>2864</v>
      </c>
      <c r="E64" s="52"/>
      <c r="F64" s="50">
        <v>2203313</v>
      </c>
      <c r="G64" s="2">
        <f t="shared" si="2"/>
        <v>9439</v>
      </c>
      <c r="H64" s="98"/>
      <c r="I64" s="52"/>
      <c r="J64" s="50">
        <v>1025726</v>
      </c>
      <c r="K64" s="2">
        <f t="shared" si="3"/>
        <v>7192</v>
      </c>
      <c r="L64" s="91"/>
      <c r="M64" s="52"/>
      <c r="N64" s="46">
        <v>245226</v>
      </c>
      <c r="O64" s="12">
        <f t="shared" si="4"/>
        <v>905</v>
      </c>
      <c r="P64" s="166"/>
      <c r="Q64" s="87"/>
      <c r="R64" s="44"/>
      <c r="S64" s="44"/>
      <c r="T64" s="129"/>
      <c r="U64" s="9"/>
      <c r="V64" s="38"/>
      <c r="W64" s="45"/>
      <c r="X64" s="8"/>
      <c r="Y64" s="38"/>
      <c r="Z64" s="244"/>
    </row>
    <row r="65" spans="1:26">
      <c r="A65" s="148">
        <v>44594</v>
      </c>
      <c r="B65" s="153">
        <f t="shared" si="0"/>
        <v>44594</v>
      </c>
      <c r="C65" s="50">
        <v>685277</v>
      </c>
      <c r="D65" s="35">
        <f t="shared" si="1"/>
        <v>2328</v>
      </c>
      <c r="E65" s="52"/>
      <c r="F65" s="50">
        <v>2212752</v>
      </c>
      <c r="G65" s="2">
        <f t="shared" si="2"/>
        <v>9785</v>
      </c>
      <c r="H65" s="98"/>
      <c r="I65" s="52"/>
      <c r="J65" s="50">
        <v>1032918</v>
      </c>
      <c r="K65" s="2">
        <f t="shared" si="3"/>
        <v>5551</v>
      </c>
      <c r="L65" s="91"/>
      <c r="M65" s="52"/>
      <c r="N65" s="46">
        <v>246131</v>
      </c>
      <c r="O65" s="12">
        <f t="shared" si="4"/>
        <v>785</v>
      </c>
      <c r="P65" s="166"/>
      <c r="Q65" s="87"/>
      <c r="R65" s="44"/>
      <c r="S65" s="44"/>
      <c r="T65" s="129"/>
      <c r="U65" s="9"/>
      <c r="V65" s="38"/>
      <c r="W65" s="45"/>
      <c r="X65" s="8"/>
      <c r="Y65" s="38"/>
      <c r="Z65" s="244"/>
    </row>
    <row r="66" spans="1:26">
      <c r="A66" s="148">
        <v>44595</v>
      </c>
      <c r="B66" s="153">
        <f t="shared" si="0"/>
        <v>44595</v>
      </c>
      <c r="C66" s="50">
        <v>687605</v>
      </c>
      <c r="D66" s="35">
        <f t="shared" si="1"/>
        <v>3224</v>
      </c>
      <c r="E66" s="52"/>
      <c r="F66" s="50">
        <v>2222537</v>
      </c>
      <c r="G66" s="2">
        <f t="shared" si="2"/>
        <v>7774</v>
      </c>
      <c r="H66" s="98"/>
      <c r="I66" s="52"/>
      <c r="J66" s="50">
        <v>1038469</v>
      </c>
      <c r="K66" s="2">
        <f t="shared" si="3"/>
        <v>5060</v>
      </c>
      <c r="L66" s="91"/>
      <c r="M66" s="52"/>
      <c r="N66" s="46">
        <v>246916</v>
      </c>
      <c r="O66" s="12">
        <f t="shared" si="4"/>
        <v>859</v>
      </c>
      <c r="P66" s="166"/>
      <c r="Q66" s="87"/>
      <c r="R66" s="44"/>
      <c r="S66" s="44"/>
      <c r="T66" s="129"/>
      <c r="U66" s="9"/>
      <c r="V66" s="38"/>
      <c r="W66" s="45"/>
      <c r="X66" s="8"/>
      <c r="Y66" s="38"/>
      <c r="Z66" s="244"/>
    </row>
    <row r="67" spans="1:26">
      <c r="A67" s="148">
        <v>44596</v>
      </c>
      <c r="B67" s="153">
        <f t="shared" si="0"/>
        <v>44596</v>
      </c>
      <c r="C67" s="50">
        <v>690829</v>
      </c>
      <c r="D67" s="35">
        <f t="shared" si="1"/>
        <v>4272</v>
      </c>
      <c r="E67" s="52"/>
      <c r="F67" s="50">
        <v>2230311</v>
      </c>
      <c r="G67" s="2">
        <f t="shared" si="2"/>
        <v>15036</v>
      </c>
      <c r="H67" s="98"/>
      <c r="I67" s="52"/>
      <c r="J67" s="50">
        <v>1043529</v>
      </c>
      <c r="K67" s="2">
        <f t="shared" si="3"/>
        <v>5419</v>
      </c>
      <c r="L67" s="91"/>
      <c r="M67" s="52"/>
      <c r="N67" s="46">
        <v>247775</v>
      </c>
      <c r="O67" s="12">
        <f t="shared" si="4"/>
        <v>685</v>
      </c>
      <c r="P67" s="364" t="s">
        <v>14</v>
      </c>
      <c r="Q67" s="87"/>
      <c r="R67" s="44"/>
      <c r="S67" s="44"/>
      <c r="T67" s="129"/>
      <c r="U67" s="9"/>
      <c r="V67" s="38"/>
      <c r="W67" s="45"/>
      <c r="X67" s="8"/>
      <c r="Y67" s="130"/>
      <c r="Z67" s="244"/>
    </row>
    <row r="68" spans="1:26">
      <c r="A68" s="148">
        <v>44597</v>
      </c>
      <c r="B68" s="153">
        <f t="shared" si="0"/>
        <v>44597</v>
      </c>
      <c r="C68" s="50">
        <v>695101</v>
      </c>
      <c r="D68" s="35">
        <f t="shared" si="1"/>
        <v>0</v>
      </c>
      <c r="E68" s="52"/>
      <c r="F68" s="50">
        <v>2245347</v>
      </c>
      <c r="G68" s="2">
        <f t="shared" si="2"/>
        <v>0</v>
      </c>
      <c r="H68" s="98"/>
      <c r="I68" s="52"/>
      <c r="J68" s="50">
        <v>1048948</v>
      </c>
      <c r="K68" s="2">
        <f t="shared" si="3"/>
        <v>0</v>
      </c>
      <c r="L68" s="91"/>
      <c r="M68" s="52"/>
      <c r="N68" s="45">
        <v>248460</v>
      </c>
      <c r="O68" s="8">
        <f t="shared" si="4"/>
        <v>738</v>
      </c>
      <c r="P68" s="9"/>
      <c r="Q68" s="87"/>
      <c r="R68" s="44"/>
      <c r="S68" s="44"/>
      <c r="T68" s="129"/>
      <c r="U68" s="9"/>
      <c r="V68" s="38"/>
      <c r="W68" s="45"/>
      <c r="X68" s="8"/>
      <c r="Y68" s="38"/>
      <c r="Z68" s="244"/>
    </row>
    <row r="69" spans="1:26">
      <c r="A69" s="148">
        <v>44598</v>
      </c>
      <c r="B69" s="153">
        <f t="shared" si="0"/>
        <v>44598</v>
      </c>
      <c r="C69" s="50">
        <v>695101</v>
      </c>
      <c r="D69" s="35">
        <f t="shared" si="1"/>
        <v>0</v>
      </c>
      <c r="E69" s="52"/>
      <c r="F69" s="50">
        <v>2245347</v>
      </c>
      <c r="G69" s="2">
        <f t="shared" si="2"/>
        <v>959</v>
      </c>
      <c r="H69" s="98"/>
      <c r="I69" s="52"/>
      <c r="J69" s="50">
        <v>1048948</v>
      </c>
      <c r="K69" s="2">
        <f t="shared" si="3"/>
        <v>0</v>
      </c>
      <c r="L69" s="91"/>
      <c r="M69" s="52"/>
      <c r="N69" s="45">
        <v>249198</v>
      </c>
      <c r="O69" s="8">
        <f t="shared" si="4"/>
        <v>0</v>
      </c>
      <c r="P69" s="9"/>
      <c r="Q69" s="87"/>
      <c r="R69" s="44"/>
      <c r="S69" s="44"/>
      <c r="T69" s="129"/>
      <c r="U69" s="9"/>
      <c r="V69" s="38"/>
      <c r="W69" s="45"/>
      <c r="X69" s="8"/>
      <c r="Y69" s="38"/>
      <c r="Z69" s="244"/>
    </row>
    <row r="70" spans="1:26">
      <c r="A70" s="148">
        <v>44599</v>
      </c>
      <c r="B70" s="153">
        <f t="shared" si="0"/>
        <v>44599</v>
      </c>
      <c r="C70" s="50">
        <v>695101</v>
      </c>
      <c r="D70" s="35">
        <f t="shared" si="1"/>
        <v>3314</v>
      </c>
      <c r="E70" s="52"/>
      <c r="F70" s="50">
        <v>2246306</v>
      </c>
      <c r="G70" s="2">
        <f t="shared" si="2"/>
        <v>9409</v>
      </c>
      <c r="H70" s="98"/>
      <c r="I70" s="52"/>
      <c r="J70" s="50">
        <v>1048948</v>
      </c>
      <c r="K70" s="2">
        <f t="shared" si="3"/>
        <v>5047</v>
      </c>
      <c r="L70" s="91"/>
      <c r="M70" s="52"/>
      <c r="N70" s="45">
        <v>249198</v>
      </c>
      <c r="O70" s="8">
        <f t="shared" si="4"/>
        <v>658</v>
      </c>
      <c r="P70" s="9"/>
      <c r="Q70" s="87"/>
      <c r="R70" s="44"/>
      <c r="S70" s="44"/>
      <c r="T70" s="129"/>
      <c r="U70" s="9"/>
      <c r="V70" s="38"/>
      <c r="W70" s="45"/>
      <c r="X70" s="8"/>
      <c r="Y70" s="38"/>
      <c r="Z70" s="244"/>
    </row>
    <row r="71" spans="1:26">
      <c r="A71" s="148">
        <v>44600</v>
      </c>
      <c r="B71" s="153">
        <f t="shared" si="0"/>
        <v>44600</v>
      </c>
      <c r="C71" s="50">
        <v>698415</v>
      </c>
      <c r="D71" s="35">
        <f t="shared" si="1"/>
        <v>2690</v>
      </c>
      <c r="E71" s="52"/>
      <c r="F71" s="50">
        <v>2255715</v>
      </c>
      <c r="G71" s="2">
        <f t="shared" si="2"/>
        <v>9577</v>
      </c>
      <c r="H71" s="98"/>
      <c r="I71" s="52"/>
      <c r="J71" s="50">
        <v>1053995</v>
      </c>
      <c r="K71" s="2">
        <f t="shared" si="3"/>
        <v>6625</v>
      </c>
      <c r="L71" s="91"/>
      <c r="M71" s="52"/>
      <c r="N71" s="45">
        <v>249856</v>
      </c>
      <c r="O71" s="8">
        <f t="shared" si="4"/>
        <v>772</v>
      </c>
      <c r="P71" s="9"/>
      <c r="Q71" s="87"/>
      <c r="R71" s="44"/>
      <c r="S71" s="44"/>
      <c r="T71" s="129"/>
      <c r="U71" s="9"/>
      <c r="V71" s="38"/>
      <c r="W71" s="45"/>
      <c r="X71" s="8"/>
      <c r="Y71" s="38"/>
      <c r="Z71" s="244"/>
    </row>
    <row r="72" spans="1:26">
      <c r="A72" s="148">
        <v>44601</v>
      </c>
      <c r="B72" s="153">
        <f t="shared" si="0"/>
        <v>44601</v>
      </c>
      <c r="C72" s="50">
        <v>701105</v>
      </c>
      <c r="D72" s="35">
        <f t="shared" si="1"/>
        <v>1394</v>
      </c>
      <c r="E72" s="52"/>
      <c r="F72" s="50">
        <v>2265292</v>
      </c>
      <c r="G72" s="2">
        <f t="shared" si="2"/>
        <v>8622</v>
      </c>
      <c r="H72" s="98"/>
      <c r="I72" s="52"/>
      <c r="J72" s="50">
        <v>1060620</v>
      </c>
      <c r="K72" s="2">
        <f t="shared" si="3"/>
        <v>14228</v>
      </c>
      <c r="L72" s="91"/>
      <c r="M72" s="52"/>
      <c r="N72" s="45">
        <v>250628</v>
      </c>
      <c r="O72" s="8">
        <f t="shared" si="4"/>
        <v>763</v>
      </c>
      <c r="P72" s="9"/>
      <c r="Q72" s="87"/>
      <c r="R72" s="44"/>
      <c r="S72" s="44"/>
      <c r="T72" s="129"/>
      <c r="U72" s="9"/>
      <c r="V72" s="38"/>
      <c r="W72" s="45"/>
      <c r="X72" s="8"/>
      <c r="Y72" s="38"/>
      <c r="Z72" s="244"/>
    </row>
    <row r="73" spans="1:26">
      <c r="A73" s="148">
        <v>44602</v>
      </c>
      <c r="B73" s="153">
        <f t="shared" si="0"/>
        <v>44602</v>
      </c>
      <c r="C73" s="50">
        <v>702499</v>
      </c>
      <c r="D73" s="35">
        <f t="shared" si="1"/>
        <v>2746</v>
      </c>
      <c r="E73" s="49" t="s">
        <v>18</v>
      </c>
      <c r="F73" s="50">
        <v>2273914</v>
      </c>
      <c r="G73" s="2">
        <f t="shared" si="2"/>
        <v>10571</v>
      </c>
      <c r="H73" s="98"/>
      <c r="I73" s="49" t="s">
        <v>8</v>
      </c>
      <c r="J73" s="50">
        <v>1074848</v>
      </c>
      <c r="K73" s="2">
        <f t="shared" si="3"/>
        <v>0</v>
      </c>
      <c r="L73" s="91"/>
      <c r="M73" s="49" t="s">
        <v>13</v>
      </c>
      <c r="N73" s="45">
        <v>251391</v>
      </c>
      <c r="O73" s="8">
        <f t="shared" si="4"/>
        <v>758</v>
      </c>
      <c r="P73" s="9"/>
      <c r="Q73" s="87"/>
      <c r="R73" s="44"/>
      <c r="S73" s="44"/>
      <c r="T73" s="129"/>
      <c r="U73" s="9"/>
      <c r="V73" s="38"/>
      <c r="W73" s="45"/>
      <c r="X73" s="8"/>
      <c r="Y73" s="38"/>
      <c r="Z73" s="246" t="s">
        <v>59</v>
      </c>
    </row>
    <row r="74" spans="1:26">
      <c r="A74" s="148">
        <v>44603</v>
      </c>
      <c r="B74" s="153">
        <f t="shared" si="0"/>
        <v>44603</v>
      </c>
      <c r="C74" s="48">
        <v>705245</v>
      </c>
      <c r="D74" s="34">
        <f t="shared" si="1"/>
        <v>3860</v>
      </c>
      <c r="E74" s="51"/>
      <c r="F74" s="48">
        <v>2284485</v>
      </c>
      <c r="G74" s="1">
        <f t="shared" si="2"/>
        <v>20256</v>
      </c>
      <c r="H74" s="97"/>
      <c r="I74" s="51"/>
      <c r="J74" s="48">
        <v>1074848</v>
      </c>
      <c r="K74" s="1">
        <f t="shared" si="3"/>
        <v>6178</v>
      </c>
      <c r="L74" s="90"/>
      <c r="M74" s="51"/>
      <c r="N74" s="45">
        <v>252149</v>
      </c>
      <c r="O74" s="8">
        <f t="shared" si="4"/>
        <v>755</v>
      </c>
      <c r="P74" s="9"/>
      <c r="Q74" s="87"/>
      <c r="R74" s="44"/>
      <c r="S74" s="44"/>
      <c r="T74" s="129"/>
      <c r="U74" s="9"/>
      <c r="V74" s="38"/>
      <c r="W74" s="45"/>
      <c r="X74" s="8"/>
      <c r="Y74" s="38"/>
      <c r="Z74" s="246" t="s">
        <v>59</v>
      </c>
    </row>
    <row r="75" spans="1:26">
      <c r="A75" s="148">
        <v>44604</v>
      </c>
      <c r="B75" s="153">
        <f t="shared" si="0"/>
        <v>44604</v>
      </c>
      <c r="C75" s="48">
        <v>709105</v>
      </c>
      <c r="D75" s="34">
        <f t="shared" si="1"/>
        <v>0</v>
      </c>
      <c r="E75" s="51"/>
      <c r="F75" s="48">
        <v>2304741</v>
      </c>
      <c r="G75" s="1">
        <f t="shared" si="2"/>
        <v>0</v>
      </c>
      <c r="H75" s="97"/>
      <c r="I75" s="51"/>
      <c r="J75" s="48">
        <v>1081026</v>
      </c>
      <c r="K75" s="1">
        <f t="shared" si="3"/>
        <v>0</v>
      </c>
      <c r="L75" s="90"/>
      <c r="M75" s="51"/>
      <c r="N75" s="45">
        <v>252904</v>
      </c>
      <c r="O75" s="8">
        <f t="shared" si="4"/>
        <v>627</v>
      </c>
      <c r="P75" s="9"/>
      <c r="Q75" s="87"/>
      <c r="R75" s="44"/>
      <c r="S75" s="44"/>
      <c r="T75" s="129"/>
      <c r="U75" s="9"/>
      <c r="V75" s="38"/>
      <c r="W75" s="45"/>
      <c r="X75" s="8"/>
      <c r="Y75" s="38"/>
      <c r="Z75" s="247"/>
    </row>
    <row r="76" spans="1:26">
      <c r="A76" s="148">
        <v>44605</v>
      </c>
      <c r="B76" s="153">
        <f t="shared" si="0"/>
        <v>44605</v>
      </c>
      <c r="C76" s="48">
        <v>709105</v>
      </c>
      <c r="D76" s="34">
        <f t="shared" si="1"/>
        <v>0</v>
      </c>
      <c r="E76" s="51"/>
      <c r="F76" s="48">
        <v>2304741</v>
      </c>
      <c r="G76" s="1">
        <f t="shared" si="2"/>
        <v>0</v>
      </c>
      <c r="H76" s="97"/>
      <c r="I76" s="51"/>
      <c r="J76" s="48">
        <v>1081026</v>
      </c>
      <c r="K76" s="1">
        <f t="shared" si="3"/>
        <v>0</v>
      </c>
      <c r="L76" s="90"/>
      <c r="M76" s="51"/>
      <c r="N76" s="45">
        <v>253531</v>
      </c>
      <c r="O76" s="8">
        <f t="shared" si="4"/>
        <v>0</v>
      </c>
      <c r="P76" s="9"/>
      <c r="Q76" s="87"/>
      <c r="R76" s="44"/>
      <c r="S76" s="44"/>
      <c r="T76" s="129"/>
      <c r="U76" s="9"/>
      <c r="V76" s="38"/>
      <c r="W76" s="45"/>
      <c r="X76" s="8"/>
      <c r="Y76" s="38"/>
      <c r="Z76" s="244"/>
    </row>
    <row r="77" spans="1:26">
      <c r="A77" s="148">
        <v>44606</v>
      </c>
      <c r="B77" s="153">
        <f t="shared" si="0"/>
        <v>44606</v>
      </c>
      <c r="C77" s="48">
        <v>709105</v>
      </c>
      <c r="D77" s="34">
        <f t="shared" si="1"/>
        <v>2363</v>
      </c>
      <c r="E77" s="51"/>
      <c r="F77" s="48">
        <v>2304741</v>
      </c>
      <c r="G77" s="1">
        <f t="shared" si="2"/>
        <v>8802</v>
      </c>
      <c r="H77" s="97"/>
      <c r="I77" s="51"/>
      <c r="J77" s="48">
        <v>1081026</v>
      </c>
      <c r="K77" s="1">
        <f t="shared" si="3"/>
        <v>6075</v>
      </c>
      <c r="L77" s="90"/>
      <c r="M77" s="51"/>
      <c r="N77" s="45">
        <v>253531</v>
      </c>
      <c r="O77" s="8">
        <f t="shared" si="4"/>
        <v>678</v>
      </c>
      <c r="P77" s="9"/>
      <c r="Q77" s="87"/>
      <c r="R77" s="44"/>
      <c r="S77" s="44"/>
      <c r="T77" s="129"/>
      <c r="U77" s="9"/>
      <c r="V77" s="38"/>
      <c r="W77" s="45"/>
      <c r="X77" s="8"/>
      <c r="Y77" s="38"/>
      <c r="Z77" s="244"/>
    </row>
    <row r="78" spans="1:26">
      <c r="A78" s="148">
        <v>44607</v>
      </c>
      <c r="B78" s="153">
        <f t="shared" ref="B78:B141" si="5">+A78</f>
        <v>44607</v>
      </c>
      <c r="C78" s="48">
        <v>711468</v>
      </c>
      <c r="D78" s="34">
        <f t="shared" ref="D78:D141" si="6">IF(C79&gt;0,C79-C78," ")</f>
        <v>2956</v>
      </c>
      <c r="E78" s="51"/>
      <c r="F78" s="48">
        <v>2313543</v>
      </c>
      <c r="G78" s="1">
        <f t="shared" ref="G78:G141" si="7">IF(F79&gt;0,F79-F78," ")</f>
        <v>9826</v>
      </c>
      <c r="H78" s="97"/>
      <c r="I78" s="51"/>
      <c r="J78" s="48">
        <v>1087101</v>
      </c>
      <c r="K78" s="1">
        <f t="shared" ref="K78:K141" si="8">IF(J79&gt;0,J79-J78," ")</f>
        <v>6012</v>
      </c>
      <c r="L78" s="90"/>
      <c r="M78" s="51"/>
      <c r="N78" s="45">
        <v>254209</v>
      </c>
      <c r="O78" s="8">
        <f t="shared" si="4"/>
        <v>711</v>
      </c>
      <c r="P78" s="9"/>
      <c r="Q78" s="87"/>
      <c r="R78" s="44"/>
      <c r="S78" s="44"/>
      <c r="T78" s="129"/>
      <c r="U78" s="9"/>
      <c r="V78" s="38"/>
      <c r="W78" s="45"/>
      <c r="X78" s="8"/>
      <c r="Y78" s="38"/>
      <c r="Z78" s="244"/>
    </row>
    <row r="79" spans="1:26">
      <c r="A79" s="148">
        <v>44608</v>
      </c>
      <c r="B79" s="153">
        <f t="shared" si="5"/>
        <v>44608</v>
      </c>
      <c r="C79" s="48">
        <v>714424</v>
      </c>
      <c r="D79" s="34">
        <f t="shared" si="6"/>
        <v>0</v>
      </c>
      <c r="E79" s="51"/>
      <c r="F79" s="48">
        <v>2323369</v>
      </c>
      <c r="G79" s="1">
        <f t="shared" si="7"/>
        <v>0</v>
      </c>
      <c r="H79" s="97"/>
      <c r="I79" s="51"/>
      <c r="J79" s="48">
        <v>1093113</v>
      </c>
      <c r="K79" s="1">
        <f t="shared" si="8"/>
        <v>60</v>
      </c>
      <c r="L79" s="90"/>
      <c r="M79" s="51"/>
      <c r="N79" s="45">
        <v>254920</v>
      </c>
      <c r="O79" s="8">
        <f t="shared" ref="O79:O107" si="9">N80-N79</f>
        <v>767</v>
      </c>
      <c r="P79" s="9"/>
      <c r="Q79" s="87"/>
      <c r="R79" s="44"/>
      <c r="S79" s="44"/>
      <c r="T79" s="129"/>
      <c r="U79" s="9"/>
      <c r="V79" s="38"/>
      <c r="W79" s="45"/>
      <c r="X79" s="8"/>
      <c r="Y79" s="38"/>
      <c r="Z79" s="244"/>
    </row>
    <row r="80" spans="1:26">
      <c r="A80" s="148">
        <v>44609</v>
      </c>
      <c r="B80" s="153">
        <f t="shared" si="5"/>
        <v>44609</v>
      </c>
      <c r="C80" s="48">
        <v>714424</v>
      </c>
      <c r="D80" s="34">
        <f>IF(C81&gt;0,C81-C80," ")</f>
        <v>5245</v>
      </c>
      <c r="E80" s="51"/>
      <c r="F80" s="48">
        <v>2323369</v>
      </c>
      <c r="G80" s="1">
        <f t="shared" si="7"/>
        <v>18007</v>
      </c>
      <c r="H80" s="97"/>
      <c r="I80" s="51"/>
      <c r="J80" s="48">
        <v>1093173</v>
      </c>
      <c r="K80" s="1">
        <f t="shared" si="8"/>
        <v>11229</v>
      </c>
      <c r="L80" s="90"/>
      <c r="M80" s="51"/>
      <c r="N80" s="45">
        <v>255687</v>
      </c>
      <c r="O80" s="8">
        <f t="shared" si="9"/>
        <v>775</v>
      </c>
      <c r="P80" s="9"/>
      <c r="Q80" s="87"/>
      <c r="R80" s="44"/>
      <c r="S80" s="44"/>
      <c r="T80" s="129"/>
      <c r="U80" s="9"/>
      <c r="V80" s="38"/>
      <c r="W80" s="45"/>
      <c r="X80" s="8"/>
      <c r="Y80" s="38"/>
      <c r="Z80" s="244"/>
    </row>
    <row r="81" spans="1:26">
      <c r="A81" s="148">
        <v>44610</v>
      </c>
      <c r="B81" s="153">
        <f t="shared" si="5"/>
        <v>44610</v>
      </c>
      <c r="C81" s="48">
        <v>719669</v>
      </c>
      <c r="D81" s="34">
        <f t="shared" si="6"/>
        <v>6991</v>
      </c>
      <c r="E81" s="51"/>
      <c r="F81" s="48">
        <v>2341376</v>
      </c>
      <c r="G81" s="1">
        <f t="shared" si="7"/>
        <v>24237</v>
      </c>
      <c r="H81" s="97"/>
      <c r="I81" s="51"/>
      <c r="J81" s="48">
        <v>1104402</v>
      </c>
      <c r="K81" s="1">
        <f t="shared" si="8"/>
        <v>9128</v>
      </c>
      <c r="L81" s="90"/>
      <c r="M81" s="51"/>
      <c r="N81" s="45">
        <v>256462</v>
      </c>
      <c r="O81" s="8">
        <f t="shared" si="9"/>
        <v>771</v>
      </c>
      <c r="P81" s="9"/>
      <c r="Q81" s="87"/>
      <c r="R81" s="44"/>
      <c r="S81" s="44"/>
      <c r="T81" s="129"/>
      <c r="U81" s="9"/>
      <c r="V81" s="38"/>
      <c r="W81" s="45"/>
      <c r="X81" s="8"/>
      <c r="Y81" s="38"/>
      <c r="Z81" s="244"/>
    </row>
    <row r="82" spans="1:26">
      <c r="A82" s="148">
        <v>44611</v>
      </c>
      <c r="B82" s="153">
        <f t="shared" si="5"/>
        <v>44611</v>
      </c>
      <c r="C82" s="48">
        <v>726660</v>
      </c>
      <c r="D82" s="34">
        <f t="shared" si="6"/>
        <v>0</v>
      </c>
      <c r="E82" s="51"/>
      <c r="F82" s="48">
        <v>2365613</v>
      </c>
      <c r="G82" s="1">
        <f t="shared" si="7"/>
        <v>0</v>
      </c>
      <c r="H82" s="97"/>
      <c r="I82" s="51"/>
      <c r="J82" s="48">
        <v>1113530</v>
      </c>
      <c r="K82" s="1">
        <f t="shared" si="8"/>
        <v>0</v>
      </c>
      <c r="L82" s="90"/>
      <c r="M82" s="51"/>
      <c r="N82" s="45">
        <v>257233</v>
      </c>
      <c r="O82" s="8">
        <f t="shared" si="9"/>
        <v>843</v>
      </c>
      <c r="P82" s="9"/>
      <c r="Q82" s="87"/>
      <c r="R82" s="44"/>
      <c r="S82" s="44"/>
      <c r="T82" s="129"/>
      <c r="U82" s="9"/>
      <c r="V82" s="38"/>
      <c r="W82" s="45"/>
      <c r="X82" s="8"/>
      <c r="Y82" s="38"/>
      <c r="Z82" s="244"/>
    </row>
    <row r="83" spans="1:26">
      <c r="A83" s="148">
        <v>44612</v>
      </c>
      <c r="B83" s="153">
        <f t="shared" si="5"/>
        <v>44612</v>
      </c>
      <c r="C83" s="48">
        <v>726660</v>
      </c>
      <c r="D83" s="34">
        <f t="shared" si="6"/>
        <v>0</v>
      </c>
      <c r="E83" s="51"/>
      <c r="F83" s="48">
        <v>2365613</v>
      </c>
      <c r="G83" s="1">
        <f t="shared" si="7"/>
        <v>955</v>
      </c>
      <c r="H83" s="97"/>
      <c r="I83" s="51"/>
      <c r="J83" s="48">
        <v>1113530</v>
      </c>
      <c r="K83" s="1">
        <f t="shared" si="8"/>
        <v>0</v>
      </c>
      <c r="L83" s="90"/>
      <c r="M83" s="51"/>
      <c r="N83" s="45">
        <v>258076</v>
      </c>
      <c r="O83" s="8">
        <f t="shared" si="9"/>
        <v>0</v>
      </c>
      <c r="P83" s="9"/>
      <c r="Q83" s="87"/>
      <c r="R83" s="44"/>
      <c r="S83" s="44"/>
      <c r="T83" s="129"/>
      <c r="U83" s="9"/>
      <c r="V83" s="38"/>
      <c r="W83" s="45"/>
      <c r="X83" s="8"/>
      <c r="Y83" s="38"/>
      <c r="Z83" s="244"/>
    </row>
    <row r="84" spans="1:26">
      <c r="A84" s="148">
        <v>44613</v>
      </c>
      <c r="B84" s="153">
        <f t="shared" si="5"/>
        <v>44613</v>
      </c>
      <c r="C84" s="48">
        <v>726660</v>
      </c>
      <c r="D84" s="34">
        <f t="shared" si="6"/>
        <v>2895</v>
      </c>
      <c r="E84" s="51"/>
      <c r="F84" s="48">
        <v>2366568</v>
      </c>
      <c r="G84" s="1">
        <f t="shared" si="7"/>
        <v>9541</v>
      </c>
      <c r="H84" s="97"/>
      <c r="I84" s="51"/>
      <c r="J84" s="48">
        <v>1113530</v>
      </c>
      <c r="K84" s="1">
        <f t="shared" si="8"/>
        <v>5385</v>
      </c>
      <c r="L84" s="90"/>
      <c r="M84" s="51"/>
      <c r="N84" s="45">
        <v>258076</v>
      </c>
      <c r="O84" s="8">
        <f t="shared" si="9"/>
        <v>707</v>
      </c>
      <c r="P84" s="9"/>
      <c r="Q84" s="87"/>
      <c r="R84" s="44"/>
      <c r="S84" s="44"/>
      <c r="T84" s="129"/>
      <c r="U84" s="9"/>
      <c r="V84" s="38"/>
      <c r="W84" s="45"/>
      <c r="X84" s="8"/>
      <c r="Y84" s="38"/>
      <c r="Z84" s="244"/>
    </row>
    <row r="85" spans="1:26">
      <c r="A85" s="148">
        <v>44614</v>
      </c>
      <c r="B85" s="153">
        <f t="shared" si="5"/>
        <v>44614</v>
      </c>
      <c r="C85" s="48">
        <v>729555</v>
      </c>
      <c r="D85" s="34">
        <f t="shared" si="6"/>
        <v>3149</v>
      </c>
      <c r="E85" s="51"/>
      <c r="F85" s="48">
        <v>2376109</v>
      </c>
      <c r="G85" s="1">
        <f t="shared" si="7"/>
        <v>10173</v>
      </c>
      <c r="H85" s="97"/>
      <c r="I85" s="51"/>
      <c r="J85" s="48">
        <v>1118915</v>
      </c>
      <c r="K85" s="1">
        <f t="shared" si="8"/>
        <v>5332</v>
      </c>
      <c r="L85" s="90"/>
      <c r="M85" s="51"/>
      <c r="N85" s="45">
        <v>258783</v>
      </c>
      <c r="O85" s="8">
        <f t="shared" si="9"/>
        <v>784</v>
      </c>
      <c r="P85" s="9"/>
      <c r="Q85" s="87"/>
      <c r="R85" s="44"/>
      <c r="S85" s="44"/>
      <c r="T85" s="129"/>
      <c r="U85" s="9"/>
      <c r="V85" s="38"/>
      <c r="W85" s="45"/>
      <c r="X85" s="8"/>
      <c r="Y85" s="38"/>
      <c r="Z85" s="244"/>
    </row>
    <row r="86" spans="1:26">
      <c r="A86" s="148">
        <v>44615</v>
      </c>
      <c r="B86" s="153">
        <f t="shared" si="5"/>
        <v>44615</v>
      </c>
      <c r="C86" s="48">
        <v>732704</v>
      </c>
      <c r="D86" s="34">
        <f t="shared" si="6"/>
        <v>3283</v>
      </c>
      <c r="E86" s="51"/>
      <c r="F86" s="48">
        <v>2386282</v>
      </c>
      <c r="G86" s="1">
        <f t="shared" si="7"/>
        <v>12064</v>
      </c>
      <c r="H86" s="97"/>
      <c r="I86" s="51"/>
      <c r="J86" s="48">
        <v>1124247</v>
      </c>
      <c r="K86" s="1">
        <f t="shared" si="8"/>
        <v>5270</v>
      </c>
      <c r="L86" s="90"/>
      <c r="M86" s="51"/>
      <c r="N86" s="45">
        <v>259567</v>
      </c>
      <c r="O86" s="8">
        <f t="shared" si="9"/>
        <v>797</v>
      </c>
      <c r="P86" s="9"/>
      <c r="Q86" s="87"/>
      <c r="R86" s="44"/>
      <c r="S86" s="44"/>
      <c r="T86" s="129"/>
      <c r="U86" s="9"/>
      <c r="V86" s="38"/>
      <c r="W86" s="45"/>
      <c r="X86" s="8"/>
      <c r="Y86" s="38"/>
      <c r="Z86" s="246" t="s">
        <v>59</v>
      </c>
    </row>
    <row r="87" spans="1:26" ht="15.75" customHeight="1">
      <c r="A87" s="148">
        <v>44616</v>
      </c>
      <c r="B87" s="153">
        <f t="shared" si="5"/>
        <v>44616</v>
      </c>
      <c r="C87" s="48">
        <v>735987</v>
      </c>
      <c r="D87" s="34">
        <f t="shared" si="6"/>
        <v>5248</v>
      </c>
      <c r="E87" s="51"/>
      <c r="F87" s="48">
        <v>2398346</v>
      </c>
      <c r="G87" s="1">
        <f t="shared" si="7"/>
        <v>12234</v>
      </c>
      <c r="H87" s="97"/>
      <c r="I87" s="51"/>
      <c r="J87" s="48">
        <v>1129517</v>
      </c>
      <c r="K87" s="1">
        <f t="shared" si="8"/>
        <v>1654</v>
      </c>
      <c r="L87" s="90"/>
      <c r="M87" s="51"/>
      <c r="N87" s="45">
        <v>260364</v>
      </c>
      <c r="O87" s="8">
        <f t="shared" si="9"/>
        <v>872</v>
      </c>
      <c r="P87" s="9"/>
      <c r="Q87" s="87"/>
      <c r="R87" s="44"/>
      <c r="S87" s="44"/>
      <c r="T87" s="129"/>
      <c r="U87" s="9"/>
      <c r="V87" s="38"/>
      <c r="W87" s="45"/>
      <c r="X87" s="8"/>
      <c r="Y87" s="38"/>
      <c r="Z87" s="246" t="s">
        <v>59</v>
      </c>
    </row>
    <row r="88" spans="1:26">
      <c r="A88" s="148">
        <v>44617</v>
      </c>
      <c r="B88" s="153">
        <f t="shared" si="5"/>
        <v>44617</v>
      </c>
      <c r="C88" s="48">
        <v>741235</v>
      </c>
      <c r="D88" s="34">
        <f t="shared" si="6"/>
        <v>6853</v>
      </c>
      <c r="E88" s="51"/>
      <c r="F88" s="48">
        <v>2410580</v>
      </c>
      <c r="G88" s="1">
        <f>IF(F89&gt;0,F89-F88," ")</f>
        <v>26006</v>
      </c>
      <c r="H88" s="97"/>
      <c r="I88" s="51"/>
      <c r="J88" s="48">
        <v>1131171</v>
      </c>
      <c r="K88" s="1">
        <f>IF(J89&gt;0,J89-J88," ")</f>
        <v>10203</v>
      </c>
      <c r="L88" s="90"/>
      <c r="M88" s="51"/>
      <c r="N88" s="45">
        <v>261236</v>
      </c>
      <c r="O88" s="8">
        <f t="shared" si="9"/>
        <v>710</v>
      </c>
      <c r="P88" s="9"/>
      <c r="Q88" s="87"/>
      <c r="R88" s="44"/>
      <c r="S88" s="44"/>
      <c r="T88" s="129"/>
      <c r="U88" s="9"/>
      <c r="V88" s="38"/>
      <c r="W88" s="45"/>
      <c r="X88" s="8"/>
      <c r="Y88" s="38"/>
      <c r="Z88" s="246" t="s">
        <v>59</v>
      </c>
    </row>
    <row r="89" spans="1:26">
      <c r="A89" s="148">
        <v>44618</v>
      </c>
      <c r="B89" s="153">
        <f t="shared" si="5"/>
        <v>44618</v>
      </c>
      <c r="C89" s="48">
        <v>748088</v>
      </c>
      <c r="D89" s="34">
        <f t="shared" si="6"/>
        <v>0</v>
      </c>
      <c r="E89" s="51"/>
      <c r="F89" s="48">
        <v>2436586</v>
      </c>
      <c r="G89" s="1">
        <f t="shared" si="7"/>
        <v>0</v>
      </c>
      <c r="H89" s="97"/>
      <c r="I89" s="51"/>
      <c r="J89" s="48">
        <v>1141374</v>
      </c>
      <c r="K89" s="1">
        <f t="shared" si="8"/>
        <v>0</v>
      </c>
      <c r="L89" s="90"/>
      <c r="M89" s="51"/>
      <c r="N89" s="45">
        <v>261946</v>
      </c>
      <c r="O89" s="8">
        <f t="shared" si="9"/>
        <v>778</v>
      </c>
      <c r="P89" s="9"/>
      <c r="Q89" s="87"/>
      <c r="R89" s="44"/>
      <c r="S89" s="44"/>
      <c r="T89" s="129"/>
      <c r="U89" s="9"/>
      <c r="V89" s="38"/>
      <c r="W89" s="45"/>
      <c r="X89" s="8"/>
      <c r="Y89" s="38"/>
      <c r="Z89" s="244"/>
    </row>
    <row r="90" spans="1:26">
      <c r="A90" s="148">
        <v>44619</v>
      </c>
      <c r="B90" s="153">
        <f t="shared" si="5"/>
        <v>44619</v>
      </c>
      <c r="C90" s="48">
        <v>748088</v>
      </c>
      <c r="D90" s="34">
        <f t="shared" si="6"/>
        <v>0</v>
      </c>
      <c r="E90" s="51"/>
      <c r="F90" s="48">
        <v>2436586</v>
      </c>
      <c r="G90" s="1">
        <f t="shared" si="7"/>
        <v>0</v>
      </c>
      <c r="H90" s="97"/>
      <c r="I90" s="51"/>
      <c r="J90" s="48">
        <v>1141374</v>
      </c>
      <c r="K90" s="1">
        <f t="shared" si="8"/>
        <v>0</v>
      </c>
      <c r="L90" s="90"/>
      <c r="M90" s="51"/>
      <c r="N90" s="45">
        <v>262724</v>
      </c>
      <c r="O90" s="8">
        <f t="shared" si="9"/>
        <v>0</v>
      </c>
      <c r="P90" s="9"/>
      <c r="Q90" s="87"/>
      <c r="R90" s="44"/>
      <c r="S90" s="44"/>
      <c r="T90" s="129"/>
      <c r="U90" s="9"/>
      <c r="V90" s="38"/>
      <c r="W90" s="45"/>
      <c r="X90" s="8"/>
      <c r="Y90" s="38"/>
      <c r="Z90" s="244"/>
    </row>
    <row r="91" spans="1:26">
      <c r="A91" s="148">
        <v>44620</v>
      </c>
      <c r="B91" s="153">
        <f t="shared" si="5"/>
        <v>44620</v>
      </c>
      <c r="C91" s="48">
        <v>748088</v>
      </c>
      <c r="D91" s="34">
        <f>IF(C92&gt;0,C92-C91," ")</f>
        <v>3165</v>
      </c>
      <c r="E91" s="51"/>
      <c r="F91" s="48">
        <v>2436586</v>
      </c>
      <c r="G91" s="1">
        <f t="shared" si="7"/>
        <v>8829</v>
      </c>
      <c r="H91" s="97"/>
      <c r="I91" s="51"/>
      <c r="J91" s="48">
        <v>1141374</v>
      </c>
      <c r="K91" s="1">
        <f t="shared" si="8"/>
        <v>6825</v>
      </c>
      <c r="L91" s="90"/>
      <c r="M91" s="51"/>
      <c r="N91" s="45">
        <v>262724</v>
      </c>
      <c r="O91" s="8">
        <f t="shared" si="9"/>
        <v>661</v>
      </c>
      <c r="P91" s="9"/>
      <c r="Q91" s="87"/>
      <c r="R91" s="44"/>
      <c r="S91" s="44"/>
      <c r="T91" s="129"/>
      <c r="U91" s="9"/>
      <c r="V91" s="38"/>
      <c r="W91" s="45"/>
      <c r="X91" s="8"/>
      <c r="Y91" s="38"/>
      <c r="Z91" s="244"/>
    </row>
    <row r="92" spans="1:26">
      <c r="A92" s="148">
        <v>44621</v>
      </c>
      <c r="B92" s="153">
        <f t="shared" si="5"/>
        <v>44621</v>
      </c>
      <c r="C92" s="48">
        <v>751253</v>
      </c>
      <c r="D92" s="34">
        <f t="shared" si="6"/>
        <v>3408</v>
      </c>
      <c r="E92" s="51"/>
      <c r="F92" s="48">
        <v>2445415</v>
      </c>
      <c r="G92" s="1">
        <f t="shared" si="7"/>
        <v>10124</v>
      </c>
      <c r="H92" s="97"/>
      <c r="I92" s="51"/>
      <c r="J92" s="48">
        <v>1148199</v>
      </c>
      <c r="K92" s="1">
        <f t="shared" si="8"/>
        <v>8985</v>
      </c>
      <c r="L92" s="90"/>
      <c r="M92" s="51"/>
      <c r="N92" s="45">
        <v>263385</v>
      </c>
      <c r="O92" s="8">
        <f t="shared" si="9"/>
        <v>579</v>
      </c>
      <c r="P92" s="9"/>
      <c r="Q92" s="87"/>
      <c r="R92" s="44"/>
      <c r="S92" s="44"/>
      <c r="T92" s="129"/>
      <c r="U92" s="9"/>
      <c r="V92" s="38"/>
      <c r="W92" s="45"/>
      <c r="X92" s="8"/>
      <c r="Y92" s="38"/>
      <c r="Z92" s="244"/>
    </row>
    <row r="93" spans="1:26">
      <c r="A93" s="148">
        <v>44622</v>
      </c>
      <c r="B93" s="153">
        <f t="shared" si="5"/>
        <v>44622</v>
      </c>
      <c r="C93" s="48">
        <v>754661</v>
      </c>
      <c r="D93" s="34">
        <f t="shared" si="6"/>
        <v>2915</v>
      </c>
      <c r="E93" s="51"/>
      <c r="F93" s="48">
        <v>2455539</v>
      </c>
      <c r="G93" s="1">
        <f t="shared" si="7"/>
        <v>9469</v>
      </c>
      <c r="H93" s="97"/>
      <c r="I93" s="51"/>
      <c r="J93" s="48">
        <v>1157184</v>
      </c>
      <c r="K93" s="1">
        <f t="shared" si="8"/>
        <v>5842</v>
      </c>
      <c r="L93" s="90"/>
      <c r="M93" s="51"/>
      <c r="N93" s="45">
        <v>263964</v>
      </c>
      <c r="O93" s="8">
        <f t="shared" si="9"/>
        <v>738</v>
      </c>
      <c r="P93" s="9"/>
      <c r="Q93" s="87"/>
      <c r="R93" s="44"/>
      <c r="S93" s="44"/>
      <c r="T93" s="129"/>
      <c r="U93" s="9"/>
      <c r="V93" s="38"/>
      <c r="W93" s="45"/>
      <c r="X93" s="8"/>
      <c r="Y93" s="38"/>
      <c r="Z93" s="244"/>
    </row>
    <row r="94" spans="1:26">
      <c r="A94" s="148">
        <v>44623</v>
      </c>
      <c r="B94" s="153">
        <f t="shared" si="5"/>
        <v>44623</v>
      </c>
      <c r="C94" s="48">
        <v>757576</v>
      </c>
      <c r="D94" s="34">
        <f t="shared" si="6"/>
        <v>2748</v>
      </c>
      <c r="E94" s="51"/>
      <c r="F94" s="48">
        <v>2465008</v>
      </c>
      <c r="G94" s="1">
        <f t="shared" si="7"/>
        <v>9158</v>
      </c>
      <c r="H94" s="97"/>
      <c r="I94" s="51"/>
      <c r="J94" s="48">
        <v>1163026</v>
      </c>
      <c r="K94" s="1">
        <f t="shared" si="8"/>
        <v>5819</v>
      </c>
      <c r="L94" s="90"/>
      <c r="M94" s="51"/>
      <c r="N94" s="45">
        <v>264702</v>
      </c>
      <c r="O94" s="8">
        <f t="shared" si="9"/>
        <v>827</v>
      </c>
      <c r="P94" s="9"/>
      <c r="Q94" s="87"/>
      <c r="R94" s="44"/>
      <c r="S94" s="44"/>
      <c r="T94" s="129"/>
      <c r="U94" s="9"/>
      <c r="V94" s="38"/>
      <c r="W94" s="45"/>
      <c r="X94" s="8"/>
      <c r="Y94" s="38"/>
      <c r="Z94" s="244"/>
    </row>
    <row r="95" spans="1:26">
      <c r="A95" s="148">
        <v>44624</v>
      </c>
      <c r="B95" s="153">
        <f t="shared" si="5"/>
        <v>44624</v>
      </c>
      <c r="C95" s="48">
        <v>760324</v>
      </c>
      <c r="D95" s="34">
        <f t="shared" si="6"/>
        <v>5616</v>
      </c>
      <c r="E95" s="51"/>
      <c r="F95" s="48">
        <v>2474166</v>
      </c>
      <c r="G95" s="1">
        <f t="shared" si="7"/>
        <v>18040</v>
      </c>
      <c r="H95" s="97"/>
      <c r="I95" s="51"/>
      <c r="J95" s="48">
        <v>1168845</v>
      </c>
      <c r="K95" s="1">
        <f t="shared" si="8"/>
        <v>6644</v>
      </c>
      <c r="L95" s="90"/>
      <c r="M95" s="51"/>
      <c r="N95" s="45">
        <v>265529</v>
      </c>
      <c r="O95" s="8">
        <f t="shared" si="9"/>
        <v>842</v>
      </c>
      <c r="P95" s="9"/>
      <c r="Q95" s="87"/>
      <c r="R95" s="44"/>
      <c r="S95" s="44"/>
      <c r="T95" s="129"/>
      <c r="U95" s="9"/>
      <c r="V95" s="38"/>
      <c r="W95" s="45"/>
      <c r="X95" s="8"/>
      <c r="Y95" s="38"/>
      <c r="Z95" s="244"/>
    </row>
    <row r="96" spans="1:26">
      <c r="A96" s="148">
        <v>44625</v>
      </c>
      <c r="B96" s="153">
        <f t="shared" si="5"/>
        <v>44625</v>
      </c>
      <c r="C96" s="48">
        <v>765940</v>
      </c>
      <c r="D96" s="34">
        <f t="shared" si="6"/>
        <v>0</v>
      </c>
      <c r="E96" s="51"/>
      <c r="F96" s="48">
        <v>2492206</v>
      </c>
      <c r="G96" s="1">
        <f t="shared" si="7"/>
        <v>0</v>
      </c>
      <c r="H96" s="97"/>
      <c r="I96" s="51"/>
      <c r="J96" s="48">
        <v>1175489</v>
      </c>
      <c r="K96" s="1">
        <f t="shared" si="8"/>
        <v>0</v>
      </c>
      <c r="L96" s="90"/>
      <c r="M96" s="51"/>
      <c r="N96" s="45">
        <v>266371</v>
      </c>
      <c r="O96" s="8">
        <f t="shared" si="9"/>
        <v>974</v>
      </c>
      <c r="P96" s="9"/>
      <c r="Q96" s="87"/>
      <c r="R96" s="44"/>
      <c r="S96" s="44"/>
      <c r="T96" s="129"/>
      <c r="U96" s="9"/>
      <c r="V96" s="38"/>
      <c r="W96" s="45"/>
      <c r="X96" s="8"/>
      <c r="Y96" s="38"/>
      <c r="Z96" s="244"/>
    </row>
    <row r="97" spans="1:26">
      <c r="A97" s="148">
        <v>44626</v>
      </c>
      <c r="B97" s="153">
        <f t="shared" si="5"/>
        <v>44626</v>
      </c>
      <c r="C97" s="48">
        <v>765940</v>
      </c>
      <c r="D97" s="34">
        <f t="shared" si="6"/>
        <v>0</v>
      </c>
      <c r="E97" s="51"/>
      <c r="F97" s="48">
        <v>2492206</v>
      </c>
      <c r="G97" s="1">
        <f t="shared" si="7"/>
        <v>896</v>
      </c>
      <c r="H97" s="97"/>
      <c r="I97" s="51"/>
      <c r="J97" s="48">
        <v>1175489</v>
      </c>
      <c r="K97" s="1">
        <f t="shared" si="8"/>
        <v>0</v>
      </c>
      <c r="L97" s="90"/>
      <c r="M97" s="51"/>
      <c r="N97" s="45">
        <v>267345</v>
      </c>
      <c r="O97" s="8">
        <f t="shared" si="9"/>
        <v>0</v>
      </c>
      <c r="P97" s="9"/>
      <c r="Q97" s="87"/>
      <c r="R97" s="44"/>
      <c r="S97" s="44"/>
      <c r="T97" s="129"/>
      <c r="U97" s="9"/>
      <c r="V97" s="38"/>
      <c r="W97" s="45"/>
      <c r="X97" s="8"/>
      <c r="Y97" s="38"/>
      <c r="Z97" s="244"/>
    </row>
    <row r="98" spans="1:26">
      <c r="A98" s="148">
        <v>44627</v>
      </c>
      <c r="B98" s="153">
        <f t="shared" si="5"/>
        <v>44627</v>
      </c>
      <c r="C98" s="48">
        <v>765940</v>
      </c>
      <c r="D98" s="34"/>
      <c r="E98" s="51"/>
      <c r="F98" s="48">
        <v>2493102</v>
      </c>
      <c r="G98" s="1">
        <f t="shared" si="7"/>
        <v>10068</v>
      </c>
      <c r="H98" s="97"/>
      <c r="I98" s="51"/>
      <c r="J98" s="48">
        <v>1175489</v>
      </c>
      <c r="K98" s="1">
        <f t="shared" si="8"/>
        <v>10632</v>
      </c>
      <c r="L98" s="90"/>
      <c r="M98" s="51"/>
      <c r="N98" s="45">
        <v>267345</v>
      </c>
      <c r="O98" s="8">
        <f t="shared" si="9"/>
        <v>781</v>
      </c>
      <c r="P98" s="9"/>
      <c r="Q98" s="87"/>
      <c r="R98" s="44"/>
      <c r="S98" s="44"/>
      <c r="T98" s="129"/>
      <c r="U98" s="9"/>
      <c r="V98" s="38"/>
      <c r="W98" s="45"/>
      <c r="X98" s="8"/>
      <c r="Y98" s="38"/>
      <c r="Z98" s="244"/>
    </row>
    <row r="99" spans="1:26">
      <c r="A99" s="148">
        <v>44628</v>
      </c>
      <c r="B99" s="153">
        <f t="shared" si="5"/>
        <v>44628</v>
      </c>
      <c r="C99" s="48">
        <v>770811</v>
      </c>
      <c r="D99" s="34">
        <f>IF(C100&gt;0,C100-C99," ")</f>
        <v>1723</v>
      </c>
      <c r="E99" s="51"/>
      <c r="F99" s="48">
        <v>2503170</v>
      </c>
      <c r="G99" s="1">
        <f t="shared" si="7"/>
        <v>9842</v>
      </c>
      <c r="H99" s="97"/>
      <c r="I99" s="51"/>
      <c r="J99" s="48">
        <v>1186121</v>
      </c>
      <c r="K99" s="1">
        <f t="shared" si="8"/>
        <v>1325</v>
      </c>
      <c r="L99" s="90"/>
      <c r="M99" s="51"/>
      <c r="N99" s="45">
        <v>268126</v>
      </c>
      <c r="O99" s="8">
        <f t="shared" si="9"/>
        <v>812</v>
      </c>
      <c r="P99" s="365" t="s">
        <v>12</v>
      </c>
      <c r="Q99" s="87"/>
      <c r="R99" s="44"/>
      <c r="S99" s="44"/>
      <c r="T99" s="129"/>
      <c r="U99" s="9"/>
      <c r="V99" s="38"/>
      <c r="W99" s="45"/>
      <c r="X99" s="8"/>
      <c r="Y99" s="131"/>
      <c r="Z99" s="244"/>
    </row>
    <row r="100" spans="1:26">
      <c r="A100" s="148">
        <v>44629</v>
      </c>
      <c r="B100" s="153">
        <f t="shared" si="5"/>
        <v>44629</v>
      </c>
      <c r="C100" s="48">
        <v>772534</v>
      </c>
      <c r="D100" s="34">
        <f>IF(C101&gt;0,C101-C100," ")</f>
        <v>2524</v>
      </c>
      <c r="E100" s="51"/>
      <c r="F100" s="48">
        <v>2513012</v>
      </c>
      <c r="G100" s="1">
        <f t="shared" si="7"/>
        <v>9518</v>
      </c>
      <c r="H100" s="97"/>
      <c r="I100" s="51"/>
      <c r="J100" s="48">
        <v>1187446</v>
      </c>
      <c r="K100" s="1">
        <f t="shared" si="8"/>
        <v>5860</v>
      </c>
      <c r="L100" s="90"/>
      <c r="M100" s="51"/>
      <c r="N100" s="46">
        <v>268938</v>
      </c>
      <c r="O100" s="12">
        <f>N101-N100</f>
        <v>788</v>
      </c>
      <c r="P100" s="166"/>
      <c r="Q100" s="87"/>
      <c r="R100" s="44"/>
      <c r="S100" s="44"/>
      <c r="T100" s="129"/>
      <c r="U100" s="9"/>
      <c r="V100" s="38"/>
      <c r="W100" s="45"/>
      <c r="X100" s="8"/>
      <c r="Y100" s="38"/>
      <c r="Z100" s="244"/>
    </row>
    <row r="101" spans="1:26">
      <c r="A101" s="148">
        <v>44630</v>
      </c>
      <c r="B101" s="153">
        <f t="shared" si="5"/>
        <v>44630</v>
      </c>
      <c r="C101" s="48">
        <v>775058</v>
      </c>
      <c r="D101" s="34">
        <f t="shared" si="6"/>
        <v>2550</v>
      </c>
      <c r="E101" s="51"/>
      <c r="F101" s="48">
        <v>2522530</v>
      </c>
      <c r="G101" s="1">
        <f t="shared" si="7"/>
        <v>9261</v>
      </c>
      <c r="H101" s="97"/>
      <c r="I101" s="51"/>
      <c r="J101" s="48">
        <v>1193306</v>
      </c>
      <c r="K101" s="1">
        <f t="shared" si="8"/>
        <v>10302</v>
      </c>
      <c r="L101" s="90"/>
      <c r="M101" s="51"/>
      <c r="N101" s="46">
        <v>269726</v>
      </c>
      <c r="O101" s="12">
        <f t="shared" si="9"/>
        <v>699</v>
      </c>
      <c r="P101" s="166"/>
      <c r="Q101" s="87"/>
      <c r="R101" s="44"/>
      <c r="S101" s="44"/>
      <c r="T101" s="129"/>
      <c r="U101" s="9"/>
      <c r="V101" s="38"/>
      <c r="W101" s="45"/>
      <c r="X101" s="8"/>
      <c r="Y101" s="38"/>
      <c r="Z101" s="244"/>
    </row>
    <row r="102" spans="1:26">
      <c r="A102" s="148">
        <v>44631</v>
      </c>
      <c r="B102" s="153">
        <f t="shared" si="5"/>
        <v>44631</v>
      </c>
      <c r="C102" s="48">
        <v>777608</v>
      </c>
      <c r="D102" s="34">
        <f t="shared" si="6"/>
        <v>5818</v>
      </c>
      <c r="E102" s="51"/>
      <c r="F102" s="48">
        <v>2531791</v>
      </c>
      <c r="G102" s="1">
        <f t="shared" si="7"/>
        <v>22217</v>
      </c>
      <c r="H102" s="97"/>
      <c r="I102" s="51"/>
      <c r="J102" s="48">
        <v>1203608</v>
      </c>
      <c r="K102" s="1">
        <f t="shared" si="8"/>
        <v>6447</v>
      </c>
      <c r="L102" s="90"/>
      <c r="M102" s="51"/>
      <c r="N102" s="46">
        <v>270425</v>
      </c>
      <c r="O102" s="12">
        <f t="shared" si="9"/>
        <v>797</v>
      </c>
      <c r="P102" s="166"/>
      <c r="Q102" s="87"/>
      <c r="R102" s="44"/>
      <c r="S102" s="44"/>
      <c r="T102" s="129"/>
      <c r="U102" s="9"/>
      <c r="V102" s="38"/>
      <c r="W102" s="45"/>
      <c r="X102" s="8"/>
      <c r="Y102" s="38"/>
      <c r="Z102" s="244"/>
    </row>
    <row r="103" spans="1:26">
      <c r="A103" s="148">
        <v>44632</v>
      </c>
      <c r="B103" s="153">
        <f t="shared" si="5"/>
        <v>44632</v>
      </c>
      <c r="C103" s="48">
        <v>783426</v>
      </c>
      <c r="D103" s="34">
        <f t="shared" si="6"/>
        <v>0</v>
      </c>
      <c r="E103" s="49" t="s">
        <v>10</v>
      </c>
      <c r="F103" s="48">
        <v>2554008</v>
      </c>
      <c r="G103" s="1">
        <f t="shared" si="7"/>
        <v>0</v>
      </c>
      <c r="H103" s="97"/>
      <c r="I103" s="49" t="s">
        <v>9</v>
      </c>
      <c r="J103" s="48">
        <v>1210055</v>
      </c>
      <c r="K103" s="1">
        <f t="shared" si="8"/>
        <v>0</v>
      </c>
      <c r="L103" s="90"/>
      <c r="M103" s="49" t="s">
        <v>11</v>
      </c>
      <c r="N103" s="46">
        <v>271222</v>
      </c>
      <c r="O103" s="12">
        <f t="shared" si="9"/>
        <v>784</v>
      </c>
      <c r="P103" s="166"/>
      <c r="Q103" s="87"/>
      <c r="R103" s="44"/>
      <c r="S103" s="44"/>
      <c r="T103" s="129"/>
      <c r="U103" s="9"/>
      <c r="V103" s="38"/>
      <c r="W103" s="45"/>
      <c r="X103" s="8"/>
      <c r="Y103" s="38"/>
      <c r="Z103" s="247"/>
    </row>
    <row r="104" spans="1:26">
      <c r="A104" s="148">
        <v>44633</v>
      </c>
      <c r="B104" s="153">
        <f t="shared" si="5"/>
        <v>44633</v>
      </c>
      <c r="C104" s="50">
        <v>783426</v>
      </c>
      <c r="D104" s="35">
        <f t="shared" si="6"/>
        <v>0</v>
      </c>
      <c r="E104" s="52"/>
      <c r="F104" s="50">
        <v>2554008</v>
      </c>
      <c r="G104" s="2">
        <f t="shared" si="7"/>
        <v>0</v>
      </c>
      <c r="H104" s="98"/>
      <c r="I104" s="52"/>
      <c r="J104" s="50">
        <v>1210055</v>
      </c>
      <c r="K104" s="2">
        <f t="shared" si="8"/>
        <v>0</v>
      </c>
      <c r="L104" s="91"/>
      <c r="M104" s="52"/>
      <c r="N104" s="46">
        <v>272006</v>
      </c>
      <c r="O104" s="12">
        <f t="shared" si="9"/>
        <v>0</v>
      </c>
      <c r="P104" s="166"/>
      <c r="Q104" s="87"/>
      <c r="R104" s="44"/>
      <c r="S104" s="44"/>
      <c r="T104" s="129"/>
      <c r="U104" s="9"/>
      <c r="V104" s="38"/>
      <c r="W104" s="45"/>
      <c r="X104" s="8"/>
      <c r="Y104" s="38"/>
      <c r="Z104" s="244"/>
    </row>
    <row r="105" spans="1:26">
      <c r="A105" s="148">
        <v>44634</v>
      </c>
      <c r="B105" s="153">
        <f t="shared" si="5"/>
        <v>44634</v>
      </c>
      <c r="C105" s="50">
        <v>783426</v>
      </c>
      <c r="D105" s="35">
        <f t="shared" si="6"/>
        <v>3120</v>
      </c>
      <c r="E105" s="52"/>
      <c r="F105" s="50">
        <v>2554008</v>
      </c>
      <c r="G105" s="2">
        <f t="shared" si="7"/>
        <v>8243</v>
      </c>
      <c r="H105" s="98"/>
      <c r="I105" s="52"/>
      <c r="J105" s="50">
        <v>1210055</v>
      </c>
      <c r="K105" s="2">
        <f t="shared" si="8"/>
        <v>5358</v>
      </c>
      <c r="L105" s="91"/>
      <c r="M105" s="52"/>
      <c r="N105" s="46">
        <v>272006</v>
      </c>
      <c r="O105" s="12">
        <f t="shared" si="9"/>
        <v>763</v>
      </c>
      <c r="P105" s="166"/>
      <c r="Q105" s="87"/>
      <c r="R105" s="44"/>
      <c r="S105" s="44"/>
      <c r="T105" s="129"/>
      <c r="U105" s="9"/>
      <c r="V105" s="38"/>
      <c r="W105" s="45"/>
      <c r="X105" s="8"/>
      <c r="Y105" s="38"/>
      <c r="Z105" s="244"/>
    </row>
    <row r="106" spans="1:26">
      <c r="A106" s="148">
        <v>44635</v>
      </c>
      <c r="B106" s="153">
        <f t="shared" si="5"/>
        <v>44635</v>
      </c>
      <c r="C106" s="50">
        <v>786546</v>
      </c>
      <c r="D106" s="35">
        <f t="shared" si="6"/>
        <v>1903</v>
      </c>
      <c r="E106" s="52"/>
      <c r="F106" s="50">
        <v>2562251</v>
      </c>
      <c r="G106" s="2">
        <f t="shared" si="7"/>
        <v>7959</v>
      </c>
      <c r="H106" s="98"/>
      <c r="I106" s="52"/>
      <c r="J106" s="50">
        <v>1215413</v>
      </c>
      <c r="K106" s="2">
        <f t="shared" si="8"/>
        <v>9368</v>
      </c>
      <c r="L106" s="91"/>
      <c r="M106" s="52"/>
      <c r="N106" s="46">
        <v>272769</v>
      </c>
      <c r="O106" s="12">
        <f t="shared" si="9"/>
        <v>650</v>
      </c>
      <c r="P106" s="166"/>
      <c r="Q106" s="87"/>
      <c r="R106" s="44"/>
      <c r="S106" s="44"/>
      <c r="T106" s="129"/>
      <c r="U106" s="9"/>
      <c r="V106" s="38"/>
      <c r="W106" s="45"/>
      <c r="X106" s="8"/>
      <c r="Y106" s="38"/>
      <c r="Z106" s="244"/>
    </row>
    <row r="107" spans="1:26">
      <c r="A107" s="148">
        <v>44636</v>
      </c>
      <c r="B107" s="153">
        <f t="shared" si="5"/>
        <v>44636</v>
      </c>
      <c r="C107" s="50">
        <v>788449</v>
      </c>
      <c r="D107" s="35">
        <f t="shared" si="6"/>
        <v>3205</v>
      </c>
      <c r="E107" s="52"/>
      <c r="F107" s="50">
        <v>2570210</v>
      </c>
      <c r="G107" s="2">
        <f t="shared" si="7"/>
        <v>11645</v>
      </c>
      <c r="H107" s="98"/>
      <c r="I107" s="52"/>
      <c r="J107" s="50">
        <v>1224781</v>
      </c>
      <c r="K107" s="2">
        <f t="shared" si="8"/>
        <v>5314</v>
      </c>
      <c r="L107" s="91"/>
      <c r="M107" s="52"/>
      <c r="N107" s="46">
        <v>273419</v>
      </c>
      <c r="O107" s="12">
        <f t="shared" si="9"/>
        <v>666</v>
      </c>
      <c r="P107" s="166"/>
      <c r="Q107" s="87"/>
      <c r="R107" s="44"/>
      <c r="S107" s="44"/>
      <c r="T107" s="129"/>
      <c r="U107" s="9"/>
      <c r="V107" s="38"/>
      <c r="W107" s="45"/>
      <c r="X107" s="8"/>
      <c r="Y107" s="38"/>
      <c r="Z107" s="244"/>
    </row>
    <row r="108" spans="1:26">
      <c r="A108" s="148">
        <v>44637</v>
      </c>
      <c r="B108" s="153">
        <f t="shared" si="5"/>
        <v>44637</v>
      </c>
      <c r="C108" s="50">
        <v>791654</v>
      </c>
      <c r="D108" s="35">
        <f t="shared" si="6"/>
        <v>3189</v>
      </c>
      <c r="E108" s="52"/>
      <c r="F108" s="50">
        <v>2581855</v>
      </c>
      <c r="G108" s="2">
        <f t="shared" si="7"/>
        <v>10180</v>
      </c>
      <c r="H108" s="98"/>
      <c r="I108" s="52"/>
      <c r="J108" s="50">
        <v>1230095</v>
      </c>
      <c r="K108" s="2">
        <f t="shared" si="8"/>
        <v>5272</v>
      </c>
      <c r="L108" s="91"/>
      <c r="M108" s="52"/>
      <c r="N108" s="46">
        <v>274085</v>
      </c>
      <c r="O108" s="12">
        <f>N109-N108</f>
        <v>677</v>
      </c>
      <c r="P108" s="166"/>
      <c r="Q108" s="87"/>
      <c r="R108" s="44"/>
      <c r="S108" s="44"/>
      <c r="T108" s="129"/>
      <c r="U108" s="9"/>
      <c r="V108" s="38"/>
      <c r="W108" s="45"/>
      <c r="X108" s="8"/>
      <c r="Y108" s="38"/>
      <c r="Z108" s="244"/>
    </row>
    <row r="109" spans="1:26">
      <c r="A109" s="148">
        <v>44638</v>
      </c>
      <c r="B109" s="153">
        <f t="shared" si="5"/>
        <v>44638</v>
      </c>
      <c r="C109" s="50">
        <v>794843</v>
      </c>
      <c r="D109" s="35">
        <f t="shared" si="6"/>
        <v>7889</v>
      </c>
      <c r="E109" s="52"/>
      <c r="F109" s="50">
        <v>2592035</v>
      </c>
      <c r="G109" s="2">
        <f t="shared" si="7"/>
        <v>26407</v>
      </c>
      <c r="H109" s="98"/>
      <c r="I109" s="52"/>
      <c r="J109" s="50">
        <v>1235367</v>
      </c>
      <c r="K109" s="2">
        <f t="shared" si="8"/>
        <v>10015</v>
      </c>
      <c r="L109" s="91"/>
      <c r="M109" s="52"/>
      <c r="N109" s="46">
        <v>274762</v>
      </c>
      <c r="O109" s="12">
        <f t="shared" ref="O109:O173" si="10">N110-N109</f>
        <v>781</v>
      </c>
      <c r="P109" s="166"/>
      <c r="Q109" s="87"/>
      <c r="R109" s="44"/>
      <c r="S109" s="44"/>
      <c r="T109" s="129"/>
      <c r="U109" s="9"/>
      <c r="V109" s="38"/>
      <c r="W109" s="45"/>
      <c r="X109" s="8"/>
      <c r="Y109" s="38"/>
      <c r="Z109" s="244"/>
    </row>
    <row r="110" spans="1:26">
      <c r="A110" s="148">
        <v>44639</v>
      </c>
      <c r="B110" s="153">
        <f t="shared" si="5"/>
        <v>44639</v>
      </c>
      <c r="C110" s="50">
        <v>802732</v>
      </c>
      <c r="D110" s="35">
        <f t="shared" si="6"/>
        <v>0</v>
      </c>
      <c r="E110" s="52"/>
      <c r="F110" s="50">
        <v>2618442</v>
      </c>
      <c r="G110" s="2">
        <f t="shared" si="7"/>
        <v>0</v>
      </c>
      <c r="H110" s="98"/>
      <c r="I110" s="52"/>
      <c r="J110" s="50">
        <v>1245382</v>
      </c>
      <c r="K110" s="2">
        <f t="shared" si="8"/>
        <v>0</v>
      </c>
      <c r="L110" s="91"/>
      <c r="M110" s="52"/>
      <c r="N110" s="46">
        <v>275543</v>
      </c>
      <c r="O110" s="12">
        <f t="shared" si="10"/>
        <v>615</v>
      </c>
      <c r="P110" s="166"/>
      <c r="Q110" s="87"/>
      <c r="R110" s="44"/>
      <c r="S110" s="44"/>
      <c r="T110" s="129"/>
      <c r="U110" s="9"/>
      <c r="V110" s="38"/>
      <c r="W110" s="45"/>
      <c r="X110" s="8"/>
      <c r="Y110" s="38"/>
      <c r="Z110" s="244"/>
    </row>
    <row r="111" spans="1:26">
      <c r="A111" s="148">
        <v>44640</v>
      </c>
      <c r="B111" s="153">
        <f t="shared" si="5"/>
        <v>44640</v>
      </c>
      <c r="C111" s="50">
        <v>802732</v>
      </c>
      <c r="D111" s="35">
        <f t="shared" si="6"/>
        <v>0</v>
      </c>
      <c r="E111" s="52"/>
      <c r="F111" s="50">
        <v>2618442</v>
      </c>
      <c r="G111" s="2">
        <f t="shared" si="7"/>
        <v>0</v>
      </c>
      <c r="H111" s="98"/>
      <c r="I111" s="52"/>
      <c r="J111" s="50">
        <v>1245382</v>
      </c>
      <c r="K111" s="2">
        <f t="shared" si="8"/>
        <v>0</v>
      </c>
      <c r="L111" s="91"/>
      <c r="M111" s="52"/>
      <c r="N111" s="46">
        <v>276158</v>
      </c>
      <c r="O111" s="12">
        <f t="shared" si="10"/>
        <v>0</v>
      </c>
      <c r="P111" s="166"/>
      <c r="Q111" s="87"/>
      <c r="R111" s="44"/>
      <c r="S111" s="44"/>
      <c r="T111" s="129"/>
      <c r="U111" s="9"/>
      <c r="V111" s="38"/>
      <c r="W111" s="45"/>
      <c r="X111" s="8"/>
      <c r="Y111" s="38"/>
      <c r="Z111" s="244"/>
    </row>
    <row r="112" spans="1:26">
      <c r="A112" s="148">
        <v>44641</v>
      </c>
      <c r="B112" s="153">
        <f t="shared" si="5"/>
        <v>44641</v>
      </c>
      <c r="C112" s="50">
        <v>802732</v>
      </c>
      <c r="D112" s="35">
        <f t="shared" si="6"/>
        <v>2009</v>
      </c>
      <c r="E112" s="52"/>
      <c r="F112" s="50">
        <v>2618442</v>
      </c>
      <c r="G112" s="2">
        <f t="shared" si="7"/>
        <v>7970</v>
      </c>
      <c r="H112" s="98"/>
      <c r="I112" s="52"/>
      <c r="J112" s="50">
        <v>1245382</v>
      </c>
      <c r="K112" s="2">
        <f t="shared" si="8"/>
        <v>5438</v>
      </c>
      <c r="L112" s="91"/>
      <c r="M112" s="52"/>
      <c r="N112" s="46">
        <v>276158</v>
      </c>
      <c r="O112" s="12">
        <f t="shared" si="10"/>
        <v>638</v>
      </c>
      <c r="P112" s="166"/>
      <c r="Q112" s="87"/>
      <c r="R112" s="44"/>
      <c r="S112" s="44"/>
      <c r="T112" s="129"/>
      <c r="U112" s="9"/>
      <c r="V112" s="38"/>
      <c r="W112" s="45"/>
      <c r="X112" s="8"/>
      <c r="Y112" s="38"/>
      <c r="Z112" s="244"/>
    </row>
    <row r="113" spans="1:26">
      <c r="A113" s="148">
        <v>44642</v>
      </c>
      <c r="B113" s="153">
        <f t="shared" si="5"/>
        <v>44642</v>
      </c>
      <c r="C113" s="50">
        <v>804741</v>
      </c>
      <c r="D113" s="35">
        <f t="shared" si="6"/>
        <v>1921</v>
      </c>
      <c r="E113" s="52"/>
      <c r="F113" s="50">
        <v>2626412</v>
      </c>
      <c r="G113" s="2">
        <f t="shared" si="7"/>
        <v>8425</v>
      </c>
      <c r="H113" s="98"/>
      <c r="I113" s="52"/>
      <c r="J113" s="50">
        <v>1250820</v>
      </c>
      <c r="K113" s="2">
        <f t="shared" si="8"/>
        <v>5966</v>
      </c>
      <c r="L113" s="91"/>
      <c r="M113" s="52"/>
      <c r="N113" s="46">
        <v>276796</v>
      </c>
      <c r="O113" s="12">
        <f t="shared" si="10"/>
        <v>695</v>
      </c>
      <c r="P113" s="166"/>
      <c r="Q113" s="87"/>
      <c r="R113" s="44"/>
      <c r="S113" s="44"/>
      <c r="T113" s="129"/>
      <c r="U113" s="9"/>
      <c r="V113" s="38"/>
      <c r="W113" s="45"/>
      <c r="X113" s="8"/>
      <c r="Y113" s="38"/>
      <c r="Z113" s="244"/>
    </row>
    <row r="114" spans="1:26">
      <c r="A114" s="148">
        <v>44643</v>
      </c>
      <c r="B114" s="153">
        <f t="shared" si="5"/>
        <v>44643</v>
      </c>
      <c r="C114" s="50">
        <v>806662</v>
      </c>
      <c r="D114" s="35">
        <f t="shared" si="6"/>
        <v>1676</v>
      </c>
      <c r="E114" s="52"/>
      <c r="F114" s="50">
        <v>2634837</v>
      </c>
      <c r="G114" s="2">
        <f t="shared" si="7"/>
        <v>8077</v>
      </c>
      <c r="H114" s="98"/>
      <c r="I114" s="52"/>
      <c r="J114" s="50">
        <v>1256786</v>
      </c>
      <c r="K114" s="2">
        <f t="shared" si="8"/>
        <v>5728</v>
      </c>
      <c r="L114" s="91"/>
      <c r="M114" s="52"/>
      <c r="N114" s="46">
        <v>277491</v>
      </c>
      <c r="O114" s="12">
        <f t="shared" si="10"/>
        <v>745</v>
      </c>
      <c r="P114" s="166"/>
      <c r="Q114" s="87"/>
      <c r="R114" s="44"/>
      <c r="S114" s="44"/>
      <c r="T114" s="129"/>
      <c r="U114" s="9"/>
      <c r="V114" s="38"/>
      <c r="W114" s="45"/>
      <c r="X114" s="8"/>
      <c r="Y114" s="38"/>
      <c r="Z114" s="244"/>
    </row>
    <row r="115" spans="1:26">
      <c r="A115" s="148">
        <v>44644</v>
      </c>
      <c r="B115" s="153">
        <f t="shared" si="5"/>
        <v>44644</v>
      </c>
      <c r="C115" s="50">
        <v>808338</v>
      </c>
      <c r="D115" s="35">
        <f t="shared" si="6"/>
        <v>1548</v>
      </c>
      <c r="E115" s="52"/>
      <c r="F115" s="50">
        <v>2642914</v>
      </c>
      <c r="G115" s="2">
        <f t="shared" si="7"/>
        <v>7978</v>
      </c>
      <c r="H115" s="98"/>
      <c r="I115" s="52"/>
      <c r="J115" s="50">
        <v>1262514</v>
      </c>
      <c r="K115" s="2">
        <f t="shared" si="8"/>
        <v>5601</v>
      </c>
      <c r="L115" s="91"/>
      <c r="M115" s="52"/>
      <c r="N115" s="46">
        <v>278236</v>
      </c>
      <c r="O115" s="12">
        <f t="shared" si="10"/>
        <v>748</v>
      </c>
      <c r="P115" s="166"/>
      <c r="Q115" s="87"/>
      <c r="R115" s="44"/>
      <c r="S115" s="44"/>
      <c r="T115" s="129"/>
      <c r="U115" s="9"/>
      <c r="V115" s="38"/>
      <c r="W115" s="45"/>
      <c r="X115" s="8"/>
      <c r="Y115" s="38"/>
      <c r="Z115" s="244"/>
    </row>
    <row r="116" spans="1:26">
      <c r="A116" s="148">
        <v>44645</v>
      </c>
      <c r="B116" s="153">
        <f t="shared" si="5"/>
        <v>44645</v>
      </c>
      <c r="C116" s="50">
        <v>809886</v>
      </c>
      <c r="D116" s="35">
        <f t="shared" si="6"/>
        <v>6870</v>
      </c>
      <c r="E116" s="52"/>
      <c r="F116" s="50">
        <v>2650892</v>
      </c>
      <c r="G116" s="2">
        <f t="shared" si="7"/>
        <v>26714</v>
      </c>
      <c r="H116" s="98"/>
      <c r="I116" s="52"/>
      <c r="J116" s="50">
        <v>1268115</v>
      </c>
      <c r="K116" s="2">
        <f t="shared" si="8"/>
        <v>10219</v>
      </c>
      <c r="L116" s="91"/>
      <c r="M116" s="52"/>
      <c r="N116" s="46">
        <v>278984</v>
      </c>
      <c r="O116" s="12">
        <f t="shared" si="10"/>
        <v>742</v>
      </c>
      <c r="P116" s="166"/>
      <c r="Q116" s="87"/>
      <c r="R116" s="44"/>
      <c r="S116" s="44"/>
      <c r="T116" s="129"/>
      <c r="U116" s="9"/>
      <c r="V116" s="38"/>
      <c r="W116" s="45"/>
      <c r="X116" s="8"/>
      <c r="Y116" s="38"/>
      <c r="Z116" s="244"/>
    </row>
    <row r="117" spans="1:26">
      <c r="A117" s="148">
        <v>44646</v>
      </c>
      <c r="B117" s="153">
        <f t="shared" si="5"/>
        <v>44646</v>
      </c>
      <c r="C117" s="50">
        <v>816756</v>
      </c>
      <c r="D117" s="35">
        <f>IF(C118&gt;0,C118-C117," ")</f>
        <v>0</v>
      </c>
      <c r="E117" s="52"/>
      <c r="F117" s="50">
        <v>2677606</v>
      </c>
      <c r="G117" s="2">
        <f t="shared" si="7"/>
        <v>0</v>
      </c>
      <c r="H117" s="98"/>
      <c r="I117" s="52"/>
      <c r="J117" s="50">
        <v>1278334</v>
      </c>
      <c r="K117" s="2">
        <f t="shared" si="8"/>
        <v>0</v>
      </c>
      <c r="L117" s="91"/>
      <c r="M117" s="52"/>
      <c r="N117" s="46">
        <v>279726</v>
      </c>
      <c r="O117" s="12">
        <f t="shared" si="10"/>
        <v>771</v>
      </c>
      <c r="P117" s="166"/>
      <c r="Q117" s="87"/>
      <c r="R117" s="44"/>
      <c r="S117" s="44"/>
      <c r="T117" s="129"/>
      <c r="U117" s="9"/>
      <c r="V117" s="38"/>
      <c r="W117" s="45"/>
      <c r="X117" s="8"/>
      <c r="Y117" s="38"/>
      <c r="Z117" s="244"/>
    </row>
    <row r="118" spans="1:26">
      <c r="A118" s="148">
        <v>44647</v>
      </c>
      <c r="B118" s="153" t="s">
        <v>36</v>
      </c>
      <c r="C118" s="50">
        <v>816756</v>
      </c>
      <c r="D118" s="35">
        <f t="shared" si="6"/>
        <v>0</v>
      </c>
      <c r="E118" s="52"/>
      <c r="F118" s="50">
        <v>2677606</v>
      </c>
      <c r="G118" s="2">
        <f t="shared" si="7"/>
        <v>0</v>
      </c>
      <c r="H118" s="98"/>
      <c r="I118" s="52"/>
      <c r="J118" s="50">
        <v>1278334</v>
      </c>
      <c r="K118" s="2">
        <f t="shared" si="8"/>
        <v>0</v>
      </c>
      <c r="L118" s="91"/>
      <c r="M118" s="52"/>
      <c r="N118" s="46">
        <v>280497</v>
      </c>
      <c r="O118" s="12">
        <f t="shared" si="10"/>
        <v>0</v>
      </c>
      <c r="P118" s="166"/>
      <c r="Q118" s="87"/>
      <c r="R118" s="44"/>
      <c r="S118" s="44"/>
      <c r="T118" s="129"/>
      <c r="U118" s="9"/>
      <c r="V118" s="38"/>
      <c r="W118" s="45"/>
      <c r="X118" s="8"/>
      <c r="Y118" s="38"/>
      <c r="Z118" s="244"/>
    </row>
    <row r="119" spans="1:26">
      <c r="A119" s="148">
        <v>44648</v>
      </c>
      <c r="B119" s="153">
        <f t="shared" si="5"/>
        <v>44648</v>
      </c>
      <c r="C119" s="50">
        <v>816756</v>
      </c>
      <c r="D119" s="35">
        <f t="shared" si="6"/>
        <v>1457</v>
      </c>
      <c r="E119" s="52"/>
      <c r="F119" s="50">
        <v>2677606</v>
      </c>
      <c r="G119" s="2">
        <f t="shared" si="7"/>
        <v>7464</v>
      </c>
      <c r="H119" s="98"/>
      <c r="I119" s="52"/>
      <c r="J119" s="50">
        <v>1278334</v>
      </c>
      <c r="K119" s="2">
        <f t="shared" si="8"/>
        <v>5662</v>
      </c>
      <c r="L119" s="91"/>
      <c r="M119" s="52"/>
      <c r="N119" s="46">
        <v>280497</v>
      </c>
      <c r="O119" s="12">
        <f t="shared" si="10"/>
        <v>653</v>
      </c>
      <c r="P119" s="166"/>
      <c r="Q119" s="87"/>
      <c r="R119" s="44"/>
      <c r="S119" s="44"/>
      <c r="T119" s="129"/>
      <c r="U119" s="9"/>
      <c r="V119" s="38"/>
      <c r="W119" s="45"/>
      <c r="X119" s="8"/>
      <c r="Y119" s="38"/>
      <c r="Z119" s="244"/>
    </row>
    <row r="120" spans="1:26">
      <c r="A120" s="149">
        <v>44649</v>
      </c>
      <c r="B120" s="153">
        <f t="shared" si="5"/>
        <v>44649</v>
      </c>
      <c r="C120" s="50">
        <v>818213</v>
      </c>
      <c r="D120" s="35">
        <f t="shared" si="6"/>
        <v>1872</v>
      </c>
      <c r="E120" s="52"/>
      <c r="F120" s="50">
        <v>2685070</v>
      </c>
      <c r="G120" s="2">
        <f t="shared" si="7"/>
        <v>7758</v>
      </c>
      <c r="H120" s="98"/>
      <c r="I120" s="52"/>
      <c r="J120" s="50">
        <v>1283996</v>
      </c>
      <c r="K120" s="2">
        <f t="shared" si="8"/>
        <v>5609</v>
      </c>
      <c r="L120" s="91"/>
      <c r="M120" s="52"/>
      <c r="N120" s="46">
        <v>281150</v>
      </c>
      <c r="O120" s="12">
        <f t="shared" si="10"/>
        <v>783</v>
      </c>
      <c r="P120" s="166"/>
      <c r="Q120" s="87"/>
      <c r="R120" s="44"/>
      <c r="S120" s="44"/>
      <c r="T120" s="129"/>
      <c r="U120" s="9"/>
      <c r="V120" s="38"/>
      <c r="W120" s="45"/>
      <c r="X120" s="8"/>
      <c r="Y120" s="38"/>
      <c r="Z120" s="244"/>
    </row>
    <row r="121" spans="1:26">
      <c r="A121" s="148">
        <v>44650</v>
      </c>
      <c r="B121" s="153">
        <f t="shared" si="5"/>
        <v>44650</v>
      </c>
      <c r="C121" s="50">
        <v>820085</v>
      </c>
      <c r="D121" s="35">
        <f t="shared" si="6"/>
        <v>607</v>
      </c>
      <c r="E121" s="52"/>
      <c r="F121" s="50">
        <v>2692828</v>
      </c>
      <c r="G121" s="2">
        <f t="shared" si="7"/>
        <v>7780</v>
      </c>
      <c r="H121" s="98"/>
      <c r="I121" s="52"/>
      <c r="J121" s="50">
        <v>1289605</v>
      </c>
      <c r="K121" s="2">
        <f t="shared" si="8"/>
        <v>4936</v>
      </c>
      <c r="L121" s="91"/>
      <c r="M121" s="52"/>
      <c r="N121" s="46">
        <v>281933</v>
      </c>
      <c r="O121" s="12">
        <f t="shared" si="10"/>
        <v>730</v>
      </c>
      <c r="P121" s="166"/>
      <c r="Q121" s="87"/>
      <c r="R121" s="44"/>
      <c r="S121" s="44"/>
      <c r="T121" s="129"/>
      <c r="U121" s="9"/>
      <c r="V121" s="38"/>
      <c r="W121" s="45"/>
      <c r="X121" s="8"/>
      <c r="Y121" s="38"/>
      <c r="Z121" s="244"/>
    </row>
    <row r="122" spans="1:26">
      <c r="A122" s="148">
        <v>44651</v>
      </c>
      <c r="B122" s="153">
        <f t="shared" si="5"/>
        <v>44651</v>
      </c>
      <c r="C122" s="50">
        <v>820692</v>
      </c>
      <c r="D122" s="35">
        <f t="shared" si="6"/>
        <v>671</v>
      </c>
      <c r="E122" s="52"/>
      <c r="F122" s="50">
        <v>2700608</v>
      </c>
      <c r="G122" s="2">
        <f t="shared" si="7"/>
        <v>8024</v>
      </c>
      <c r="H122" s="98"/>
      <c r="I122" s="52"/>
      <c r="J122" s="50">
        <v>1294541</v>
      </c>
      <c r="K122" s="2">
        <f t="shared" si="8"/>
        <v>5553</v>
      </c>
      <c r="L122" s="91"/>
      <c r="M122" s="52"/>
      <c r="N122" s="46">
        <v>282663</v>
      </c>
      <c r="O122" s="12">
        <f t="shared" si="10"/>
        <v>833</v>
      </c>
      <c r="P122" s="166"/>
      <c r="Q122" s="87"/>
      <c r="R122" s="44"/>
      <c r="S122" s="44"/>
      <c r="T122" s="129"/>
      <c r="U122" s="9"/>
      <c r="V122" s="38"/>
      <c r="W122" s="45"/>
      <c r="X122" s="8"/>
      <c r="Y122" s="38"/>
      <c r="Z122" s="244"/>
    </row>
    <row r="123" spans="1:26">
      <c r="A123" s="148">
        <v>44652</v>
      </c>
      <c r="B123" s="153">
        <f t="shared" si="5"/>
        <v>44652</v>
      </c>
      <c r="C123" s="50">
        <v>821363</v>
      </c>
      <c r="D123" s="35">
        <f t="shared" si="6"/>
        <v>1320</v>
      </c>
      <c r="E123" s="52"/>
      <c r="F123" s="50">
        <v>2708632</v>
      </c>
      <c r="G123" s="2">
        <f t="shared" si="7"/>
        <v>13434</v>
      </c>
      <c r="H123" s="98"/>
      <c r="I123" s="52"/>
      <c r="J123" s="50">
        <v>1300094</v>
      </c>
      <c r="K123" s="2">
        <f t="shared" si="8"/>
        <v>6035</v>
      </c>
      <c r="L123" s="91"/>
      <c r="M123" s="52"/>
      <c r="N123" s="46">
        <v>283496</v>
      </c>
      <c r="O123" s="12">
        <f t="shared" si="10"/>
        <v>688</v>
      </c>
      <c r="P123" s="166"/>
      <c r="Q123" s="87"/>
      <c r="R123" s="44"/>
      <c r="S123" s="44"/>
      <c r="T123" s="129"/>
      <c r="U123" s="9"/>
      <c r="V123" s="38"/>
      <c r="W123" s="45"/>
      <c r="X123" s="8"/>
      <c r="Y123" s="38"/>
      <c r="Z123" s="244"/>
    </row>
    <row r="124" spans="1:26">
      <c r="A124" s="148">
        <v>44653</v>
      </c>
      <c r="B124" s="153">
        <f t="shared" si="5"/>
        <v>44653</v>
      </c>
      <c r="C124" s="50">
        <v>822683</v>
      </c>
      <c r="D124" s="35">
        <f t="shared" si="6"/>
        <v>80</v>
      </c>
      <c r="E124" s="52"/>
      <c r="F124" s="50">
        <v>2722066</v>
      </c>
      <c r="G124" s="2">
        <f t="shared" si="7"/>
        <v>1544</v>
      </c>
      <c r="H124" s="98"/>
      <c r="I124" s="52"/>
      <c r="J124" s="50">
        <v>1306129</v>
      </c>
      <c r="K124" s="2">
        <f t="shared" si="8"/>
        <v>0</v>
      </c>
      <c r="L124" s="91"/>
      <c r="M124" s="52"/>
      <c r="N124" s="46">
        <v>284184</v>
      </c>
      <c r="O124" s="12">
        <f t="shared" si="10"/>
        <v>719</v>
      </c>
      <c r="P124" s="166"/>
      <c r="Q124" s="87"/>
      <c r="R124" s="44"/>
      <c r="S124" s="44"/>
      <c r="T124" s="129"/>
      <c r="U124" s="9"/>
      <c r="V124" s="38"/>
      <c r="W124" s="45"/>
      <c r="X124" s="8"/>
      <c r="Y124" s="38"/>
      <c r="Z124" s="244"/>
    </row>
    <row r="125" spans="1:26">
      <c r="A125" s="148">
        <v>44654</v>
      </c>
      <c r="B125" s="153">
        <f t="shared" si="5"/>
        <v>44654</v>
      </c>
      <c r="C125" s="50">
        <v>822763</v>
      </c>
      <c r="D125" s="35">
        <f t="shared" si="6"/>
        <v>724</v>
      </c>
      <c r="E125" s="52"/>
      <c r="F125" s="50">
        <v>2723610</v>
      </c>
      <c r="G125" s="2">
        <f t="shared" si="7"/>
        <v>7165</v>
      </c>
      <c r="H125" s="98"/>
      <c r="I125" s="52"/>
      <c r="J125" s="50">
        <v>1306129</v>
      </c>
      <c r="K125" s="2">
        <f t="shared" si="8"/>
        <v>0</v>
      </c>
      <c r="L125" s="91"/>
      <c r="M125" s="52"/>
      <c r="N125" s="46">
        <v>284903</v>
      </c>
      <c r="O125" s="12">
        <f t="shared" si="10"/>
        <v>0</v>
      </c>
      <c r="P125" s="166"/>
      <c r="Q125" s="87"/>
      <c r="R125" s="44"/>
      <c r="S125" s="44"/>
      <c r="T125" s="129"/>
      <c r="U125" s="9"/>
      <c r="V125" s="38"/>
      <c r="W125" s="45"/>
      <c r="X125" s="8"/>
      <c r="Y125" s="38"/>
      <c r="Z125" s="244"/>
    </row>
    <row r="126" spans="1:26">
      <c r="A126" s="148">
        <v>44655</v>
      </c>
      <c r="B126" s="153">
        <f t="shared" si="5"/>
        <v>44655</v>
      </c>
      <c r="C126" s="50">
        <v>823487</v>
      </c>
      <c r="D126" s="35">
        <f t="shared" si="6"/>
        <v>331</v>
      </c>
      <c r="E126" s="52"/>
      <c r="F126" s="50">
        <v>2730775</v>
      </c>
      <c r="G126" s="2">
        <f t="shared" si="7"/>
        <v>7604</v>
      </c>
      <c r="H126" s="98"/>
      <c r="I126" s="52"/>
      <c r="J126" s="50">
        <v>1306129</v>
      </c>
      <c r="K126" s="2">
        <f t="shared" si="8"/>
        <v>8089</v>
      </c>
      <c r="L126" s="91"/>
      <c r="M126" s="52"/>
      <c r="N126" s="46">
        <v>284903</v>
      </c>
      <c r="O126" s="12">
        <f t="shared" si="10"/>
        <v>605</v>
      </c>
      <c r="P126" s="166"/>
      <c r="Q126" s="87"/>
      <c r="R126" s="44"/>
      <c r="S126" s="44"/>
      <c r="T126" s="129"/>
      <c r="U126" s="9"/>
      <c r="V126" s="38"/>
      <c r="W126" s="45"/>
      <c r="X126" s="8"/>
      <c r="Y126" s="38"/>
      <c r="Z126" s="244"/>
    </row>
    <row r="127" spans="1:26">
      <c r="A127" s="148">
        <v>44656</v>
      </c>
      <c r="B127" s="153">
        <f t="shared" si="5"/>
        <v>44656</v>
      </c>
      <c r="C127" s="50">
        <v>823818</v>
      </c>
      <c r="D127" s="35">
        <f t="shared" si="6"/>
        <v>295</v>
      </c>
      <c r="E127" s="52"/>
      <c r="F127" s="50">
        <v>2738379</v>
      </c>
      <c r="G127" s="2">
        <f t="shared" si="7"/>
        <v>7840</v>
      </c>
      <c r="H127" s="98"/>
      <c r="I127" s="52"/>
      <c r="J127" s="50">
        <v>1314218</v>
      </c>
      <c r="K127" s="2">
        <f t="shared" si="8"/>
        <v>5838</v>
      </c>
      <c r="L127" s="91"/>
      <c r="M127" s="52"/>
      <c r="N127" s="46">
        <v>285508</v>
      </c>
      <c r="O127" s="12">
        <f t="shared" si="10"/>
        <v>690</v>
      </c>
      <c r="P127" s="166"/>
      <c r="Q127" s="87"/>
      <c r="R127" s="44"/>
      <c r="S127" s="44"/>
      <c r="T127" s="129"/>
      <c r="U127" s="9"/>
      <c r="V127" s="38"/>
      <c r="W127" s="45"/>
      <c r="X127" s="8"/>
      <c r="Y127" s="38"/>
      <c r="Z127" s="244"/>
    </row>
    <row r="128" spans="1:26">
      <c r="A128" s="148">
        <v>44657</v>
      </c>
      <c r="B128" s="153">
        <f t="shared" si="5"/>
        <v>44657</v>
      </c>
      <c r="C128" s="50">
        <v>824113</v>
      </c>
      <c r="D128" s="35">
        <f t="shared" si="6"/>
        <v>216</v>
      </c>
      <c r="E128" s="52"/>
      <c r="F128" s="50">
        <v>2746219</v>
      </c>
      <c r="G128" s="2">
        <f t="shared" si="7"/>
        <v>7859</v>
      </c>
      <c r="H128" s="98"/>
      <c r="I128" s="52"/>
      <c r="J128" s="50">
        <v>1320056</v>
      </c>
      <c r="K128" s="2">
        <f t="shared" si="8"/>
        <v>5486</v>
      </c>
      <c r="L128" s="91"/>
      <c r="M128" s="52"/>
      <c r="N128" s="46">
        <v>286198</v>
      </c>
      <c r="O128" s="12">
        <f t="shared" si="10"/>
        <v>654</v>
      </c>
      <c r="P128" s="166"/>
      <c r="Q128" s="87"/>
      <c r="R128" s="44"/>
      <c r="S128" s="44"/>
      <c r="T128" s="129"/>
      <c r="U128" s="9"/>
      <c r="V128" s="38"/>
      <c r="W128" s="45"/>
      <c r="X128" s="8"/>
      <c r="Y128" s="38"/>
      <c r="Z128" s="244"/>
    </row>
    <row r="129" spans="1:29">
      <c r="A129" s="148">
        <v>44658</v>
      </c>
      <c r="B129" s="153">
        <f t="shared" si="5"/>
        <v>44658</v>
      </c>
      <c r="C129" s="50">
        <v>824329</v>
      </c>
      <c r="D129" s="35">
        <f t="shared" si="6"/>
        <v>195</v>
      </c>
      <c r="E129" s="52"/>
      <c r="F129" s="50">
        <v>2754078</v>
      </c>
      <c r="G129" s="2">
        <f t="shared" si="7"/>
        <v>8124</v>
      </c>
      <c r="H129" s="98"/>
      <c r="I129" s="52"/>
      <c r="J129" s="50">
        <v>1325542</v>
      </c>
      <c r="K129" s="2">
        <f t="shared" si="8"/>
        <v>5914</v>
      </c>
      <c r="L129" s="91"/>
      <c r="M129" s="52"/>
      <c r="N129" s="46">
        <v>286852</v>
      </c>
      <c r="O129" s="12">
        <f t="shared" si="10"/>
        <v>724</v>
      </c>
      <c r="P129" s="364" t="s">
        <v>37</v>
      </c>
      <c r="Q129" s="87"/>
      <c r="R129" s="44"/>
      <c r="S129" s="44"/>
      <c r="T129" s="129"/>
      <c r="U129" s="9"/>
      <c r="V129" s="38"/>
      <c r="W129" s="45"/>
      <c r="X129" s="8"/>
      <c r="Y129" s="130"/>
      <c r="Z129" s="244"/>
    </row>
    <row r="130" spans="1:29">
      <c r="A130" s="148">
        <v>44659</v>
      </c>
      <c r="B130" s="153">
        <f t="shared" si="5"/>
        <v>44659</v>
      </c>
      <c r="C130" s="50">
        <v>824524</v>
      </c>
      <c r="D130" s="35">
        <f t="shared" si="6"/>
        <v>229</v>
      </c>
      <c r="E130" s="52"/>
      <c r="F130" s="50">
        <v>2762202</v>
      </c>
      <c r="G130" s="2">
        <f t="shared" si="7"/>
        <v>8665</v>
      </c>
      <c r="H130" s="98"/>
      <c r="I130" s="52"/>
      <c r="J130" s="50">
        <v>1331456</v>
      </c>
      <c r="K130" s="2">
        <f t="shared" si="8"/>
        <v>5925</v>
      </c>
      <c r="L130" s="91"/>
      <c r="M130" s="52"/>
      <c r="N130" s="141">
        <v>287576</v>
      </c>
      <c r="O130" s="4">
        <f t="shared" si="10"/>
        <v>664</v>
      </c>
      <c r="P130" s="173"/>
      <c r="Q130" s="87"/>
      <c r="R130" s="44"/>
      <c r="S130" s="44"/>
      <c r="T130" s="129"/>
      <c r="U130" s="9"/>
      <c r="V130" s="38"/>
      <c r="W130" s="45"/>
      <c r="X130" s="8"/>
      <c r="Y130" s="38"/>
      <c r="Z130" s="244"/>
    </row>
    <row r="131" spans="1:29">
      <c r="A131" s="148">
        <v>44660</v>
      </c>
      <c r="B131" s="153">
        <f t="shared" si="5"/>
        <v>44660</v>
      </c>
      <c r="C131" s="50">
        <v>824753</v>
      </c>
      <c r="D131" s="35">
        <f t="shared" si="6"/>
        <v>1771</v>
      </c>
      <c r="E131" s="52"/>
      <c r="F131" s="50">
        <v>2770867</v>
      </c>
      <c r="G131" s="2">
        <f t="shared" si="7"/>
        <v>15837</v>
      </c>
      <c r="H131" s="98"/>
      <c r="I131" s="52"/>
      <c r="J131" s="50">
        <v>1337381</v>
      </c>
      <c r="K131" s="2">
        <f t="shared" si="8"/>
        <v>4580</v>
      </c>
      <c r="L131" s="91"/>
      <c r="M131" s="52"/>
      <c r="N131" s="141">
        <v>288240</v>
      </c>
      <c r="O131" s="4">
        <f t="shared" si="10"/>
        <v>791</v>
      </c>
      <c r="P131" s="173"/>
      <c r="Q131" s="87"/>
      <c r="R131" s="44"/>
      <c r="S131" s="44"/>
      <c r="T131" s="129"/>
      <c r="U131" s="9"/>
      <c r="V131" s="38"/>
      <c r="W131" s="45"/>
      <c r="X131" s="8"/>
      <c r="Y131" s="38"/>
      <c r="Z131" s="244"/>
    </row>
    <row r="132" spans="1:29">
      <c r="A132" s="148">
        <v>44661</v>
      </c>
      <c r="B132" s="153">
        <f t="shared" si="5"/>
        <v>44661</v>
      </c>
      <c r="C132" s="50">
        <v>826524</v>
      </c>
      <c r="D132" s="35">
        <f t="shared" si="6"/>
        <v>0</v>
      </c>
      <c r="E132" s="52"/>
      <c r="F132" s="50">
        <v>2786704</v>
      </c>
      <c r="G132" s="2">
        <f t="shared" si="7"/>
        <v>0</v>
      </c>
      <c r="H132" s="98"/>
      <c r="I132" s="52"/>
      <c r="J132" s="50">
        <v>1341961</v>
      </c>
      <c r="K132" s="2">
        <f t="shared" si="8"/>
        <v>0</v>
      </c>
      <c r="L132" s="91"/>
      <c r="M132" s="52"/>
      <c r="N132" s="141">
        <v>289031</v>
      </c>
      <c r="O132" s="4">
        <f t="shared" si="10"/>
        <v>0</v>
      </c>
      <c r="P132" s="173"/>
      <c r="Q132" s="87"/>
      <c r="R132" s="44"/>
      <c r="S132" s="44"/>
      <c r="T132" s="129"/>
      <c r="U132" s="9"/>
      <c r="V132" s="38"/>
      <c r="W132" s="45"/>
      <c r="X132" s="8"/>
      <c r="Y132" s="38"/>
      <c r="Z132" s="244"/>
    </row>
    <row r="133" spans="1:29">
      <c r="A133" s="148">
        <v>44662</v>
      </c>
      <c r="B133" s="153">
        <f t="shared" si="5"/>
        <v>44662</v>
      </c>
      <c r="C133" s="50">
        <v>826524</v>
      </c>
      <c r="D133" s="35">
        <f t="shared" si="6"/>
        <v>1038</v>
      </c>
      <c r="E133" s="52"/>
      <c r="F133" s="50">
        <v>2786704</v>
      </c>
      <c r="G133" s="2">
        <f t="shared" si="7"/>
        <v>7702</v>
      </c>
      <c r="H133" s="98"/>
      <c r="I133" s="52"/>
      <c r="J133" s="50">
        <v>1341961</v>
      </c>
      <c r="K133" s="2">
        <f t="shared" si="8"/>
        <v>5535</v>
      </c>
      <c r="L133" s="91"/>
      <c r="M133" s="52"/>
      <c r="N133" s="141">
        <v>289031</v>
      </c>
      <c r="O133" s="4">
        <f t="shared" si="10"/>
        <v>710</v>
      </c>
      <c r="P133" s="173"/>
      <c r="Q133" s="87"/>
      <c r="R133" s="44"/>
      <c r="S133" s="44"/>
      <c r="T133" s="129"/>
      <c r="U133" s="9"/>
      <c r="V133" s="38"/>
      <c r="W133" s="45"/>
      <c r="X133" s="8"/>
      <c r="Y133" s="38"/>
      <c r="Z133" s="244"/>
    </row>
    <row r="134" spans="1:29">
      <c r="A134" s="148">
        <v>44663</v>
      </c>
      <c r="B134" s="153">
        <f t="shared" si="5"/>
        <v>44663</v>
      </c>
      <c r="C134" s="50">
        <v>827562</v>
      </c>
      <c r="D134" s="35">
        <f t="shared" si="6"/>
        <v>832</v>
      </c>
      <c r="E134" s="54" t="s">
        <v>38</v>
      </c>
      <c r="F134" s="50">
        <v>2794406</v>
      </c>
      <c r="G134" s="2">
        <f t="shared" si="7"/>
        <v>7811</v>
      </c>
      <c r="H134" s="98"/>
      <c r="I134" s="53" t="s">
        <v>39</v>
      </c>
      <c r="J134" s="50">
        <v>1347496</v>
      </c>
      <c r="K134" s="2">
        <f t="shared" si="8"/>
        <v>5788</v>
      </c>
      <c r="L134" s="91"/>
      <c r="M134" s="53" t="s">
        <v>40</v>
      </c>
      <c r="N134" s="141">
        <v>289741</v>
      </c>
      <c r="O134" s="4">
        <f t="shared" si="10"/>
        <v>706</v>
      </c>
      <c r="P134" s="173"/>
      <c r="Q134" s="87"/>
      <c r="R134" s="44"/>
      <c r="S134" s="44"/>
      <c r="T134" s="129"/>
      <c r="U134" s="9"/>
      <c r="V134" s="38"/>
      <c r="W134" s="45"/>
      <c r="X134" s="8"/>
      <c r="Y134" s="38"/>
      <c r="Z134" s="244"/>
    </row>
    <row r="135" spans="1:29">
      <c r="A135" s="148">
        <v>44664</v>
      </c>
      <c r="B135" s="153">
        <f t="shared" si="5"/>
        <v>44664</v>
      </c>
      <c r="C135" s="55">
        <v>828394</v>
      </c>
      <c r="D135" s="56">
        <f t="shared" si="6"/>
        <v>805</v>
      </c>
      <c r="E135" s="57"/>
      <c r="F135" s="55">
        <v>2802217</v>
      </c>
      <c r="G135" s="58">
        <f t="shared" si="7"/>
        <v>7945</v>
      </c>
      <c r="H135" s="99"/>
      <c r="I135" s="57"/>
      <c r="J135" s="55">
        <v>1353284</v>
      </c>
      <c r="K135" s="58">
        <f t="shared" si="8"/>
        <v>5987</v>
      </c>
      <c r="L135" s="92"/>
      <c r="M135" s="57"/>
      <c r="N135" s="141">
        <v>290447</v>
      </c>
      <c r="O135" s="4">
        <f t="shared" si="10"/>
        <v>825</v>
      </c>
      <c r="P135" s="173"/>
      <c r="Q135" s="87"/>
      <c r="R135" s="44"/>
      <c r="S135" s="44"/>
      <c r="T135" s="129"/>
      <c r="U135" s="9"/>
      <c r="V135" s="38"/>
      <c r="W135" s="45"/>
      <c r="X135" s="8"/>
      <c r="Y135" s="38"/>
      <c r="Z135" s="244"/>
    </row>
    <row r="136" spans="1:29">
      <c r="A136" s="148">
        <v>44665</v>
      </c>
      <c r="B136" s="153">
        <f t="shared" si="5"/>
        <v>44665</v>
      </c>
      <c r="C136" s="55">
        <v>829199</v>
      </c>
      <c r="D136" s="56">
        <f t="shared" si="6"/>
        <v>1100</v>
      </c>
      <c r="E136" s="57"/>
      <c r="F136" s="55">
        <v>2810162</v>
      </c>
      <c r="G136" s="58">
        <f t="shared" si="7"/>
        <v>10149</v>
      </c>
      <c r="H136" s="99"/>
      <c r="I136" s="57"/>
      <c r="J136" s="55">
        <v>1359271</v>
      </c>
      <c r="K136" s="58">
        <f t="shared" si="8"/>
        <v>5852</v>
      </c>
      <c r="L136" s="92"/>
      <c r="M136" s="57"/>
      <c r="N136" s="141">
        <v>291272</v>
      </c>
      <c r="O136" s="4">
        <f t="shared" si="10"/>
        <v>888</v>
      </c>
      <c r="P136" s="173"/>
      <c r="Q136" s="87"/>
      <c r="R136" s="44"/>
      <c r="S136" s="44"/>
      <c r="T136" s="129"/>
      <c r="U136" s="9"/>
      <c r="V136" s="38"/>
      <c r="W136" s="45"/>
      <c r="X136" s="8"/>
      <c r="Y136" s="38"/>
      <c r="Z136" s="244"/>
    </row>
    <row r="137" spans="1:29">
      <c r="A137" s="148">
        <v>44666</v>
      </c>
      <c r="B137" s="153">
        <f t="shared" si="5"/>
        <v>44666</v>
      </c>
      <c r="C137" s="55">
        <v>830299</v>
      </c>
      <c r="D137" s="56">
        <f t="shared" si="6"/>
        <v>710</v>
      </c>
      <c r="E137" s="57"/>
      <c r="F137" s="55">
        <v>2820311</v>
      </c>
      <c r="G137" s="58">
        <f t="shared" si="7"/>
        <v>5775</v>
      </c>
      <c r="H137" s="99"/>
      <c r="I137" s="57"/>
      <c r="J137" s="55">
        <v>1365123</v>
      </c>
      <c r="K137" s="58">
        <f t="shared" si="8"/>
        <v>0</v>
      </c>
      <c r="L137" s="92"/>
      <c r="M137" s="57"/>
      <c r="N137" s="141">
        <v>292160</v>
      </c>
      <c r="O137" s="4">
        <f t="shared" si="10"/>
        <v>0</v>
      </c>
      <c r="P137" s="173"/>
      <c r="Q137" s="87"/>
      <c r="R137" s="44"/>
      <c r="S137" s="44"/>
      <c r="T137" s="129"/>
      <c r="U137" s="9"/>
      <c r="V137" s="38"/>
      <c r="W137" s="45"/>
      <c r="X137" s="8"/>
      <c r="Y137" s="38"/>
      <c r="Z137" s="244"/>
    </row>
    <row r="138" spans="1:29">
      <c r="A138" s="148">
        <v>44667</v>
      </c>
      <c r="B138" s="153">
        <f t="shared" si="5"/>
        <v>44667</v>
      </c>
      <c r="C138" s="55">
        <v>831009</v>
      </c>
      <c r="D138" s="56">
        <f t="shared" si="6"/>
        <v>1294</v>
      </c>
      <c r="E138" s="57"/>
      <c r="F138" s="55">
        <v>2826086</v>
      </c>
      <c r="G138" s="58">
        <f t="shared" si="7"/>
        <v>14668</v>
      </c>
      <c r="H138" s="99"/>
      <c r="I138" s="57"/>
      <c r="J138" s="55">
        <v>1365123</v>
      </c>
      <c r="K138" s="58">
        <f t="shared" si="8"/>
        <v>3874</v>
      </c>
      <c r="L138" s="92"/>
      <c r="M138" s="57"/>
      <c r="N138" s="141">
        <v>292160</v>
      </c>
      <c r="O138" s="4">
        <f t="shared" si="10"/>
        <v>771</v>
      </c>
      <c r="P138" s="173"/>
      <c r="Q138" s="87"/>
      <c r="R138" s="44"/>
      <c r="S138" s="44"/>
      <c r="T138" s="129"/>
      <c r="U138" s="9"/>
      <c r="V138" s="38"/>
      <c r="W138" s="45"/>
      <c r="X138" s="8"/>
      <c r="Y138" s="38"/>
      <c r="Z138" s="244"/>
    </row>
    <row r="139" spans="1:29">
      <c r="A139" s="148">
        <v>44668</v>
      </c>
      <c r="B139" s="153">
        <f t="shared" si="5"/>
        <v>44668</v>
      </c>
      <c r="C139" s="55">
        <v>832303</v>
      </c>
      <c r="D139" s="56">
        <f t="shared" si="6"/>
        <v>0</v>
      </c>
      <c r="E139" s="57"/>
      <c r="F139" s="55">
        <v>2840754</v>
      </c>
      <c r="G139" s="58">
        <f t="shared" si="7"/>
        <v>0</v>
      </c>
      <c r="H139" s="99"/>
      <c r="I139" s="57"/>
      <c r="J139" s="55">
        <v>1368997</v>
      </c>
      <c r="K139" s="58">
        <f t="shared" si="8"/>
        <v>0</v>
      </c>
      <c r="L139" s="92"/>
      <c r="M139" s="57"/>
      <c r="N139" s="141">
        <v>292931</v>
      </c>
      <c r="O139" s="4">
        <f t="shared" si="10"/>
        <v>0</v>
      </c>
      <c r="P139" s="173"/>
      <c r="Q139" s="87"/>
      <c r="R139" s="44"/>
      <c r="S139" s="44"/>
      <c r="T139" s="129"/>
      <c r="U139" s="9"/>
      <c r="V139" s="38"/>
      <c r="W139" s="45"/>
      <c r="X139" s="8"/>
      <c r="Y139" s="38"/>
      <c r="Z139" s="244"/>
    </row>
    <row r="140" spans="1:29">
      <c r="A140" s="148">
        <v>44669</v>
      </c>
      <c r="B140" s="153">
        <f t="shared" si="5"/>
        <v>44669</v>
      </c>
      <c r="C140" s="55">
        <v>832303</v>
      </c>
      <c r="D140" s="56">
        <f t="shared" si="6"/>
        <v>276</v>
      </c>
      <c r="E140" s="57"/>
      <c r="F140" s="55">
        <v>2840754</v>
      </c>
      <c r="G140" s="58">
        <f t="shared" si="7"/>
        <v>7354</v>
      </c>
      <c r="H140" s="99"/>
      <c r="I140" s="57"/>
      <c r="J140" s="55">
        <v>1368997</v>
      </c>
      <c r="K140" s="58">
        <f t="shared" si="8"/>
        <v>5286</v>
      </c>
      <c r="L140" s="92"/>
      <c r="M140" s="57"/>
      <c r="N140" s="141">
        <v>292931</v>
      </c>
      <c r="O140" s="4">
        <f t="shared" si="10"/>
        <v>774</v>
      </c>
      <c r="P140" s="173"/>
      <c r="Q140" s="87"/>
      <c r="R140" s="44"/>
      <c r="S140" s="44"/>
      <c r="T140" s="129"/>
      <c r="U140" s="9"/>
      <c r="V140" s="38"/>
      <c r="W140" s="45"/>
      <c r="X140" s="8"/>
      <c r="Y140" s="38"/>
      <c r="Z140" s="244"/>
    </row>
    <row r="141" spans="1:29">
      <c r="A141" s="148">
        <v>44670</v>
      </c>
      <c r="B141" s="153">
        <f t="shared" si="5"/>
        <v>44670</v>
      </c>
      <c r="C141" s="55">
        <v>832579</v>
      </c>
      <c r="D141" s="56">
        <f t="shared" si="6"/>
        <v>120</v>
      </c>
      <c r="E141" s="57"/>
      <c r="F141" s="55">
        <v>2848108</v>
      </c>
      <c r="G141" s="58">
        <f t="shared" si="7"/>
        <v>7451</v>
      </c>
      <c r="H141" s="99"/>
      <c r="I141" s="57" t="s">
        <v>41</v>
      </c>
      <c r="J141" s="55">
        <v>1374283</v>
      </c>
      <c r="K141" s="58">
        <f t="shared" si="8"/>
        <v>6020</v>
      </c>
      <c r="L141" s="92"/>
      <c r="M141" s="57"/>
      <c r="N141" s="141">
        <v>293705</v>
      </c>
      <c r="O141" s="4">
        <f t="shared" si="10"/>
        <v>708</v>
      </c>
      <c r="P141" s="173"/>
      <c r="Q141" s="87"/>
      <c r="R141" s="44"/>
      <c r="S141" s="44"/>
      <c r="T141" s="129"/>
      <c r="U141" s="9"/>
      <c r="V141" s="38"/>
      <c r="W141" s="45"/>
      <c r="X141" s="8"/>
      <c r="Y141" s="38"/>
      <c r="Z141" s="245" t="s">
        <v>59</v>
      </c>
    </row>
    <row r="142" spans="1:29">
      <c r="A142" s="148">
        <v>44671</v>
      </c>
      <c r="B142" s="153">
        <f t="shared" ref="B142:B205" si="11">+A142</f>
        <v>44671</v>
      </c>
      <c r="C142" s="55">
        <v>832699</v>
      </c>
      <c r="D142" s="56">
        <f t="shared" ref="D142:D244" si="12">IF(C143&gt;0,C143-C142," ")</f>
        <v>591</v>
      </c>
      <c r="E142" s="57"/>
      <c r="F142" s="55">
        <v>2855559</v>
      </c>
      <c r="G142" s="58">
        <f t="shared" ref="G142:G250" si="13">IF(F143&gt;0,F143-F142," ")</f>
        <v>15725</v>
      </c>
      <c r="H142" s="99"/>
      <c r="I142" s="57"/>
      <c r="J142" s="55">
        <v>1380303</v>
      </c>
      <c r="K142" s="58">
        <f t="shared" ref="K142:K208" si="14">IF(J143&gt;0,J143-J142," ")</f>
        <v>5861</v>
      </c>
      <c r="L142" s="92"/>
      <c r="M142" s="57"/>
      <c r="N142" s="141">
        <v>294413</v>
      </c>
      <c r="O142" s="4">
        <f t="shared" si="10"/>
        <v>1378</v>
      </c>
      <c r="P142" s="173"/>
      <c r="Q142" s="87"/>
      <c r="R142" s="44"/>
      <c r="S142" s="44"/>
      <c r="T142" s="129"/>
      <c r="U142" s="9"/>
      <c r="V142" s="38"/>
      <c r="W142" s="45"/>
      <c r="X142" s="8"/>
      <c r="Y142" s="38"/>
      <c r="Z142" s="244"/>
      <c r="AA142" s="25"/>
      <c r="AB142" s="25"/>
      <c r="AC142" s="25"/>
    </row>
    <row r="143" spans="1:29">
      <c r="A143" s="148">
        <v>44672</v>
      </c>
      <c r="B143" s="153">
        <f t="shared" si="11"/>
        <v>44672</v>
      </c>
      <c r="C143" s="55">
        <v>833290</v>
      </c>
      <c r="D143" s="56">
        <f t="shared" si="12"/>
        <v>0</v>
      </c>
      <c r="E143" s="57"/>
      <c r="F143" s="55">
        <v>2871284</v>
      </c>
      <c r="G143" s="58">
        <f t="shared" si="13"/>
        <v>0</v>
      </c>
      <c r="H143" s="99"/>
      <c r="I143" s="57"/>
      <c r="J143" s="55">
        <v>1386164</v>
      </c>
      <c r="K143" s="58">
        <f t="shared" si="14"/>
        <v>0</v>
      </c>
      <c r="L143" s="92"/>
      <c r="M143" s="57"/>
      <c r="N143" s="141">
        <v>295791</v>
      </c>
      <c r="O143" s="4">
        <f t="shared" si="10"/>
        <v>0</v>
      </c>
      <c r="P143" s="173"/>
      <c r="Q143" s="87"/>
      <c r="R143" s="44"/>
      <c r="S143" s="44"/>
      <c r="T143" s="129"/>
      <c r="U143" s="9"/>
      <c r="V143" s="38"/>
      <c r="W143" s="45"/>
      <c r="X143" s="8"/>
      <c r="Y143" s="38"/>
      <c r="Z143" s="244"/>
    </row>
    <row r="144" spans="1:29">
      <c r="A144" s="148">
        <v>44673</v>
      </c>
      <c r="B144" s="153">
        <f t="shared" si="11"/>
        <v>44673</v>
      </c>
      <c r="C144" s="55">
        <v>833290</v>
      </c>
      <c r="D144" s="56">
        <f t="shared" si="12"/>
        <v>231</v>
      </c>
      <c r="E144" s="57"/>
      <c r="F144" s="55">
        <v>2871284</v>
      </c>
      <c r="G144" s="58">
        <f t="shared" si="13"/>
        <v>8232</v>
      </c>
      <c r="H144" s="99"/>
      <c r="I144" s="57"/>
      <c r="J144" s="55">
        <v>1386164</v>
      </c>
      <c r="K144" s="58">
        <f t="shared" si="14"/>
        <v>6151</v>
      </c>
      <c r="L144" s="92"/>
      <c r="M144" s="57"/>
      <c r="N144" s="141">
        <v>295791</v>
      </c>
      <c r="O144" s="4">
        <f t="shared" si="10"/>
        <v>809</v>
      </c>
      <c r="P144" s="173"/>
      <c r="Q144" s="87"/>
      <c r="R144" s="44"/>
      <c r="S144" s="44"/>
      <c r="T144" s="129"/>
      <c r="U144" s="9"/>
      <c r="V144" s="38"/>
      <c r="W144" s="45"/>
      <c r="X144" s="8"/>
      <c r="Y144" s="38"/>
      <c r="Z144" s="244"/>
    </row>
    <row r="145" spans="1:30">
      <c r="A145" s="148">
        <v>44674</v>
      </c>
      <c r="B145" s="153">
        <f t="shared" si="11"/>
        <v>44674</v>
      </c>
      <c r="C145" s="55">
        <v>833521</v>
      </c>
      <c r="D145" s="56">
        <f t="shared" si="12"/>
        <v>399</v>
      </c>
      <c r="E145" s="57"/>
      <c r="F145" s="55">
        <v>2879516</v>
      </c>
      <c r="G145" s="58">
        <f t="shared" si="13"/>
        <v>17847</v>
      </c>
      <c r="H145" s="99"/>
      <c r="I145" s="57"/>
      <c r="J145" s="55">
        <v>1392315</v>
      </c>
      <c r="K145" s="58">
        <f t="shared" si="14"/>
        <v>4226</v>
      </c>
      <c r="L145" s="92"/>
      <c r="M145" s="57"/>
      <c r="N145" s="141">
        <v>296600</v>
      </c>
      <c r="O145" s="4">
        <f t="shared" si="10"/>
        <v>985</v>
      </c>
      <c r="P145" s="173"/>
      <c r="Q145" s="87"/>
      <c r="R145" s="44"/>
      <c r="S145" s="44"/>
      <c r="T145" s="129"/>
      <c r="U145" s="9"/>
      <c r="V145" s="38"/>
      <c r="W145" s="45"/>
      <c r="X145" s="8"/>
      <c r="Y145" s="38"/>
      <c r="Z145" s="244"/>
    </row>
    <row r="146" spans="1:30">
      <c r="A146" s="148">
        <v>44675</v>
      </c>
      <c r="B146" s="153">
        <f t="shared" si="11"/>
        <v>44675</v>
      </c>
      <c r="C146" s="55">
        <v>833920</v>
      </c>
      <c r="D146" s="56">
        <f t="shared" si="12"/>
        <v>0</v>
      </c>
      <c r="E146" s="57"/>
      <c r="F146" s="55">
        <v>2897363</v>
      </c>
      <c r="G146" s="58">
        <f t="shared" si="13"/>
        <v>0</v>
      </c>
      <c r="H146" s="99"/>
      <c r="I146" s="57"/>
      <c r="J146" s="55">
        <v>1396541</v>
      </c>
      <c r="K146" s="58">
        <f t="shared" si="14"/>
        <v>0</v>
      </c>
      <c r="L146" s="92"/>
      <c r="M146" s="57"/>
      <c r="N146" s="141">
        <v>297585</v>
      </c>
      <c r="O146" s="4">
        <f t="shared" si="10"/>
        <v>0</v>
      </c>
      <c r="P146" s="173"/>
      <c r="Q146" s="87"/>
      <c r="R146" s="44"/>
      <c r="S146" s="44"/>
      <c r="T146" s="129"/>
      <c r="U146" s="9"/>
      <c r="V146" s="38"/>
      <c r="W146" s="45"/>
      <c r="X146" s="8"/>
      <c r="Y146" s="38"/>
      <c r="Z146" s="244"/>
    </row>
    <row r="147" spans="1:30">
      <c r="A147" s="148">
        <v>44676</v>
      </c>
      <c r="B147" s="153">
        <f t="shared" si="11"/>
        <v>44676</v>
      </c>
      <c r="C147" s="55">
        <v>833920</v>
      </c>
      <c r="D147" s="56">
        <f t="shared" si="12"/>
        <v>85</v>
      </c>
      <c r="E147" s="57"/>
      <c r="F147" s="55">
        <v>2897363</v>
      </c>
      <c r="G147" s="58">
        <f t="shared" si="13"/>
        <v>6355</v>
      </c>
      <c r="H147" s="99"/>
      <c r="I147" s="57"/>
      <c r="J147" s="55">
        <v>1396541</v>
      </c>
      <c r="K147" s="58">
        <f t="shared" si="14"/>
        <v>6254</v>
      </c>
      <c r="L147" s="92"/>
      <c r="M147" s="57"/>
      <c r="N147" s="141">
        <v>297585</v>
      </c>
      <c r="O147" s="4">
        <f t="shared" si="10"/>
        <v>905</v>
      </c>
      <c r="P147" s="173"/>
      <c r="Q147" s="87"/>
      <c r="R147" s="44"/>
      <c r="S147" s="44"/>
      <c r="T147" s="129"/>
      <c r="U147" s="9"/>
      <c r="V147" s="38"/>
      <c r="W147" s="45"/>
      <c r="X147" s="8"/>
      <c r="Y147" s="38"/>
      <c r="Z147" s="244"/>
    </row>
    <row r="148" spans="1:30">
      <c r="A148" s="148">
        <v>44677</v>
      </c>
      <c r="B148" s="153">
        <f t="shared" si="11"/>
        <v>44677</v>
      </c>
      <c r="C148" s="55">
        <v>834005</v>
      </c>
      <c r="D148" s="56">
        <f t="shared" si="12"/>
        <v>100</v>
      </c>
      <c r="E148" s="57"/>
      <c r="F148" s="55">
        <v>2903718</v>
      </c>
      <c r="G148" s="58">
        <f t="shared" si="13"/>
        <v>7942</v>
      </c>
      <c r="H148" s="99"/>
      <c r="I148" s="57"/>
      <c r="J148" s="55">
        <v>1402795</v>
      </c>
      <c r="K148" s="58">
        <f t="shared" si="14"/>
        <v>9990</v>
      </c>
      <c r="L148" s="92"/>
      <c r="M148" s="57"/>
      <c r="N148" s="141">
        <v>298490</v>
      </c>
      <c r="O148" s="4">
        <f t="shared" si="10"/>
        <v>843</v>
      </c>
      <c r="P148" s="173"/>
      <c r="Q148" s="87"/>
      <c r="R148" s="44"/>
      <c r="S148" s="44"/>
      <c r="T148" s="129"/>
      <c r="U148" s="9"/>
      <c r="V148" s="38"/>
      <c r="W148" s="45"/>
      <c r="X148" s="8"/>
      <c r="Y148" s="38"/>
      <c r="Z148" s="244"/>
    </row>
    <row r="149" spans="1:30">
      <c r="A149" s="148">
        <v>44678</v>
      </c>
      <c r="B149" s="153">
        <f t="shared" si="11"/>
        <v>44678</v>
      </c>
      <c r="C149" s="55">
        <v>834105</v>
      </c>
      <c r="D149" s="56">
        <f t="shared" si="12"/>
        <v>147</v>
      </c>
      <c r="E149" s="57"/>
      <c r="F149" s="55">
        <v>2911660</v>
      </c>
      <c r="G149" s="58">
        <f t="shared" si="13"/>
        <v>7951</v>
      </c>
      <c r="H149" s="99"/>
      <c r="I149" s="57"/>
      <c r="J149" s="55">
        <v>1412785</v>
      </c>
      <c r="K149" s="58">
        <f t="shared" si="14"/>
        <v>6528</v>
      </c>
      <c r="L149" s="92"/>
      <c r="M149" s="57"/>
      <c r="N149" s="141">
        <v>299333</v>
      </c>
      <c r="O149" s="4">
        <f t="shared" si="10"/>
        <v>669</v>
      </c>
      <c r="P149" s="173"/>
      <c r="Q149" s="87"/>
      <c r="R149" s="44"/>
      <c r="S149" s="44"/>
      <c r="T149" s="129"/>
      <c r="U149" s="9"/>
      <c r="V149" s="38"/>
      <c r="W149" s="45"/>
      <c r="X149" s="8"/>
      <c r="Y149" s="38"/>
      <c r="Z149" s="244"/>
    </row>
    <row r="150" spans="1:30">
      <c r="A150" s="148">
        <v>44679</v>
      </c>
      <c r="B150" s="153">
        <f t="shared" si="11"/>
        <v>44679</v>
      </c>
      <c r="C150" s="55">
        <v>834252</v>
      </c>
      <c r="D150" s="56">
        <f t="shared" si="12"/>
        <v>91</v>
      </c>
      <c r="E150" s="57"/>
      <c r="F150" s="55">
        <v>2919611</v>
      </c>
      <c r="G150" s="58">
        <f t="shared" si="13"/>
        <v>7896</v>
      </c>
      <c r="H150" s="99"/>
      <c r="I150" s="57"/>
      <c r="J150" s="55">
        <v>1419313</v>
      </c>
      <c r="K150" s="58">
        <f t="shared" si="14"/>
        <v>10235</v>
      </c>
      <c r="L150" s="92"/>
      <c r="M150" s="57"/>
      <c r="N150" s="141">
        <v>300002</v>
      </c>
      <c r="O150" s="4">
        <f t="shared" si="10"/>
        <v>777</v>
      </c>
      <c r="P150" s="173"/>
      <c r="Q150" s="87"/>
      <c r="R150" s="44"/>
      <c r="S150" s="44"/>
      <c r="T150" s="129"/>
      <c r="U150" s="9"/>
      <c r="V150" s="38"/>
      <c r="W150" s="45"/>
      <c r="X150" s="8"/>
      <c r="Y150" s="38"/>
      <c r="Z150" s="244"/>
    </row>
    <row r="151" spans="1:30">
      <c r="A151" s="148">
        <v>44680</v>
      </c>
      <c r="B151" s="153">
        <f t="shared" si="11"/>
        <v>44680</v>
      </c>
      <c r="C151" s="55">
        <v>834343</v>
      </c>
      <c r="D151" s="56">
        <f t="shared" si="12"/>
        <v>115</v>
      </c>
      <c r="E151" s="57"/>
      <c r="F151" s="55">
        <v>2927507</v>
      </c>
      <c r="G151" s="58">
        <f t="shared" si="13"/>
        <v>8155</v>
      </c>
      <c r="H151" s="99"/>
      <c r="I151" s="57"/>
      <c r="J151" s="55">
        <v>1429548</v>
      </c>
      <c r="K151" s="58">
        <f t="shared" si="14"/>
        <v>6281</v>
      </c>
      <c r="L151" s="92"/>
      <c r="M151" s="57"/>
      <c r="N151" s="141">
        <v>300779</v>
      </c>
      <c r="O151" s="4">
        <f t="shared" si="10"/>
        <v>879</v>
      </c>
      <c r="P151" s="173"/>
      <c r="Q151" s="87"/>
      <c r="R151" s="44"/>
      <c r="S151" s="44"/>
      <c r="T151" s="129"/>
      <c r="U151" s="9"/>
      <c r="V151" s="38"/>
      <c r="W151" s="45"/>
      <c r="X151" s="8"/>
      <c r="Y151" s="38"/>
      <c r="Z151" s="246" t="s">
        <v>59</v>
      </c>
    </row>
    <row r="152" spans="1:30">
      <c r="A152" s="148">
        <v>44681</v>
      </c>
      <c r="B152" s="153">
        <f t="shared" si="11"/>
        <v>44681</v>
      </c>
      <c r="C152" s="55">
        <v>834458</v>
      </c>
      <c r="D152" s="56">
        <f t="shared" si="12"/>
        <v>473</v>
      </c>
      <c r="E152" s="57"/>
      <c r="F152" s="55">
        <v>2935662</v>
      </c>
      <c r="G152" s="58">
        <f t="shared" si="13"/>
        <v>10837</v>
      </c>
      <c r="H152" s="99"/>
      <c r="I152" s="57"/>
      <c r="J152" s="55">
        <v>1435829</v>
      </c>
      <c r="K152" s="58">
        <f t="shared" si="14"/>
        <v>382</v>
      </c>
      <c r="L152" s="92"/>
      <c r="M152" s="57"/>
      <c r="N152" s="141">
        <v>301658</v>
      </c>
      <c r="O152" s="4">
        <f t="shared" si="10"/>
        <v>1274</v>
      </c>
      <c r="P152" s="173"/>
      <c r="Q152" s="87"/>
      <c r="R152" s="44"/>
      <c r="S152" s="44"/>
      <c r="T152" s="129"/>
      <c r="U152" s="9"/>
      <c r="V152" s="38"/>
      <c r="W152" s="45"/>
      <c r="X152" s="8"/>
      <c r="Y152" s="38"/>
      <c r="Z152" s="246" t="s">
        <v>59</v>
      </c>
    </row>
    <row r="153" spans="1:30">
      <c r="A153" s="148">
        <v>44682</v>
      </c>
      <c r="B153" s="153">
        <f t="shared" si="11"/>
        <v>44682</v>
      </c>
      <c r="C153" s="55">
        <v>834931</v>
      </c>
      <c r="D153" s="56">
        <f t="shared" si="12"/>
        <v>4</v>
      </c>
      <c r="E153" s="57"/>
      <c r="F153" s="55">
        <v>2946499</v>
      </c>
      <c r="G153" s="58">
        <f t="shared" si="13"/>
        <v>1647</v>
      </c>
      <c r="H153" s="99"/>
      <c r="I153" s="57"/>
      <c r="J153" s="55">
        <v>1436211</v>
      </c>
      <c r="K153" s="58">
        <f t="shared" si="14"/>
        <v>0</v>
      </c>
      <c r="L153" s="92"/>
      <c r="M153" s="57"/>
      <c r="N153" s="141">
        <v>302932</v>
      </c>
      <c r="O153" s="4">
        <f t="shared" si="10"/>
        <v>0</v>
      </c>
      <c r="P153" s="173"/>
      <c r="Q153" s="87"/>
      <c r="R153" s="44"/>
      <c r="S153" s="44"/>
      <c r="T153" s="129"/>
      <c r="U153" s="9"/>
      <c r="V153" s="38"/>
      <c r="W153" s="45"/>
      <c r="X153" s="8"/>
      <c r="Y153" s="38"/>
      <c r="Z153" s="244"/>
    </row>
    <row r="154" spans="1:30">
      <c r="A154" s="148">
        <v>44683</v>
      </c>
      <c r="B154" s="153">
        <f t="shared" si="11"/>
        <v>44683</v>
      </c>
      <c r="C154" s="55">
        <v>834935</v>
      </c>
      <c r="D154" s="56">
        <f t="shared" si="12"/>
        <v>58</v>
      </c>
      <c r="E154" s="57"/>
      <c r="F154" s="55">
        <v>2948146</v>
      </c>
      <c r="G154" s="58">
        <f t="shared" si="13"/>
        <v>7019</v>
      </c>
      <c r="H154" s="99"/>
      <c r="I154" s="57"/>
      <c r="J154" s="55">
        <v>1436211</v>
      </c>
      <c r="K154" s="58">
        <f t="shared" si="14"/>
        <v>9215</v>
      </c>
      <c r="L154" s="92"/>
      <c r="M154" s="57"/>
      <c r="N154" s="141">
        <v>302932</v>
      </c>
      <c r="O154" s="4">
        <f t="shared" si="10"/>
        <v>0</v>
      </c>
      <c r="P154" s="173"/>
      <c r="Q154" s="87"/>
      <c r="R154" s="44"/>
      <c r="S154" s="44"/>
      <c r="T154" s="129"/>
      <c r="U154" s="9"/>
      <c r="V154" s="38"/>
      <c r="W154" s="45"/>
      <c r="X154" s="8"/>
      <c r="Y154" s="38"/>
      <c r="Z154" s="246" t="s">
        <v>59</v>
      </c>
    </row>
    <row r="155" spans="1:30">
      <c r="A155" s="148">
        <v>44684</v>
      </c>
      <c r="B155" s="153">
        <f t="shared" si="11"/>
        <v>44684</v>
      </c>
      <c r="C155" s="55">
        <v>834993</v>
      </c>
      <c r="D155" s="56">
        <f t="shared" si="12"/>
        <v>102</v>
      </c>
      <c r="E155" s="57"/>
      <c r="F155" s="55">
        <v>2955165</v>
      </c>
      <c r="G155" s="58">
        <f t="shared" si="13"/>
        <v>7579</v>
      </c>
      <c r="H155" s="99"/>
      <c r="I155" s="57"/>
      <c r="J155" s="55">
        <v>1445426</v>
      </c>
      <c r="K155" s="58">
        <f t="shared" si="14"/>
        <v>8007</v>
      </c>
      <c r="L155" s="92"/>
      <c r="M155" s="57"/>
      <c r="N155" s="141">
        <v>302932</v>
      </c>
      <c r="O155" s="4">
        <f t="shared" si="10"/>
        <v>746</v>
      </c>
      <c r="P155" s="173"/>
      <c r="Q155" s="87"/>
      <c r="R155" s="44"/>
      <c r="S155" s="44"/>
      <c r="T155" s="129"/>
      <c r="U155" s="9"/>
      <c r="V155" s="38"/>
      <c r="W155" s="45"/>
      <c r="X155" s="8"/>
      <c r="Y155" s="38"/>
      <c r="Z155" s="244"/>
      <c r="AC155" s="70"/>
    </row>
    <row r="156" spans="1:30" ht="16.5" thickBot="1">
      <c r="A156" s="148">
        <v>44685</v>
      </c>
      <c r="B156" s="153">
        <f t="shared" si="11"/>
        <v>44685</v>
      </c>
      <c r="C156" s="55">
        <v>835095</v>
      </c>
      <c r="D156" s="56">
        <f t="shared" si="12"/>
        <v>41</v>
      </c>
      <c r="E156" s="57"/>
      <c r="F156" s="55">
        <v>2962744</v>
      </c>
      <c r="G156" s="58">
        <f t="shared" si="13"/>
        <v>7307</v>
      </c>
      <c r="H156" s="99"/>
      <c r="I156" s="57"/>
      <c r="J156" s="55">
        <v>1453433</v>
      </c>
      <c r="K156" s="58">
        <f t="shared" si="14"/>
        <v>5446</v>
      </c>
      <c r="L156" s="92"/>
      <c r="M156" s="57"/>
      <c r="N156" s="141">
        <v>303678</v>
      </c>
      <c r="O156" s="4">
        <f t="shared" si="10"/>
        <v>902</v>
      </c>
      <c r="P156" s="173"/>
      <c r="Q156" s="87"/>
      <c r="R156" s="44"/>
      <c r="S156" s="44"/>
      <c r="T156" s="129"/>
      <c r="U156" s="9"/>
      <c r="V156" s="38"/>
      <c r="W156" s="45"/>
      <c r="X156" s="8"/>
      <c r="Y156" s="38"/>
      <c r="Z156" s="244"/>
    </row>
    <row r="157" spans="1:30" ht="16.5" thickBot="1">
      <c r="A157" s="148">
        <v>44686</v>
      </c>
      <c r="B157" s="153">
        <f t="shared" si="11"/>
        <v>44686</v>
      </c>
      <c r="C157" s="55">
        <v>835136</v>
      </c>
      <c r="D157" s="56">
        <f t="shared" si="12"/>
        <v>30</v>
      </c>
      <c r="E157" s="57"/>
      <c r="F157" s="55">
        <v>2970051</v>
      </c>
      <c r="G157" s="58">
        <f t="shared" si="13"/>
        <v>7047</v>
      </c>
      <c r="H157" s="99"/>
      <c r="I157" s="57"/>
      <c r="J157" s="55">
        <v>1458879</v>
      </c>
      <c r="K157" s="58">
        <f t="shared" si="14"/>
        <v>5949</v>
      </c>
      <c r="L157" s="92"/>
      <c r="M157" s="57"/>
      <c r="N157" s="141">
        <v>304580</v>
      </c>
      <c r="O157" s="4">
        <f t="shared" si="10"/>
        <v>868</v>
      </c>
      <c r="P157" s="173"/>
      <c r="Q157" s="87"/>
      <c r="R157" s="44"/>
      <c r="S157" s="44"/>
      <c r="T157" s="129"/>
      <c r="U157" s="9"/>
      <c r="V157" s="38"/>
      <c r="W157" s="45"/>
      <c r="X157" s="8"/>
      <c r="Y157" s="38"/>
      <c r="Z157" s="244"/>
      <c r="AC157" s="71" t="s">
        <v>48</v>
      </c>
      <c r="AD157" s="72" t="s">
        <v>74</v>
      </c>
    </row>
    <row r="158" spans="1:30">
      <c r="A158" s="148">
        <v>44687</v>
      </c>
      <c r="B158" s="153">
        <f t="shared" si="11"/>
        <v>44687</v>
      </c>
      <c r="C158" s="55">
        <v>835166</v>
      </c>
      <c r="D158" s="56">
        <f t="shared" si="12"/>
        <v>15</v>
      </c>
      <c r="E158" s="57"/>
      <c r="F158" s="55">
        <v>2977098</v>
      </c>
      <c r="G158" s="58">
        <f t="shared" si="13"/>
        <v>6558</v>
      </c>
      <c r="H158" s="99"/>
      <c r="I158" s="57"/>
      <c r="J158" s="55">
        <v>1464828</v>
      </c>
      <c r="K158" s="58">
        <f t="shared" si="14"/>
        <v>5797</v>
      </c>
      <c r="L158" s="92"/>
      <c r="M158" s="57"/>
      <c r="N158" s="141">
        <v>305448</v>
      </c>
      <c r="O158" s="4">
        <f t="shared" si="10"/>
        <v>800</v>
      </c>
      <c r="P158" s="173"/>
      <c r="Q158" s="87"/>
      <c r="R158" s="44"/>
      <c r="S158" s="44"/>
      <c r="T158" s="129"/>
      <c r="U158" s="9"/>
      <c r="V158" s="38"/>
      <c r="W158" s="45"/>
      <c r="X158" s="8"/>
      <c r="Y158" s="38"/>
      <c r="Z158" s="246" t="s">
        <v>59</v>
      </c>
      <c r="AC158" s="69" t="s">
        <v>68</v>
      </c>
      <c r="AD158" s="5" t="s">
        <v>71</v>
      </c>
    </row>
    <row r="159" spans="1:30">
      <c r="A159" s="148">
        <v>44688</v>
      </c>
      <c r="B159" s="153">
        <f t="shared" si="11"/>
        <v>44688</v>
      </c>
      <c r="C159" s="55">
        <v>835181</v>
      </c>
      <c r="D159" s="56">
        <f t="shared" si="12"/>
        <v>3</v>
      </c>
      <c r="E159" s="57"/>
      <c r="F159" s="55">
        <v>2983656</v>
      </c>
      <c r="G159" s="58">
        <f t="shared" si="13"/>
        <v>13657</v>
      </c>
      <c r="H159" s="99"/>
      <c r="I159" s="57"/>
      <c r="J159" s="55">
        <v>1470625</v>
      </c>
      <c r="K159" s="58">
        <f t="shared" si="14"/>
        <v>0</v>
      </c>
      <c r="L159" s="92"/>
      <c r="M159" s="57"/>
      <c r="N159" s="141">
        <v>306248</v>
      </c>
      <c r="O159" s="4">
        <f t="shared" si="10"/>
        <v>754</v>
      </c>
      <c r="P159" s="365" t="s">
        <v>54</v>
      </c>
      <c r="Q159" s="87"/>
      <c r="R159" s="44"/>
      <c r="S159" s="44"/>
      <c r="T159" s="129"/>
      <c r="U159" s="9"/>
      <c r="V159" s="38"/>
      <c r="W159" s="45"/>
      <c r="X159" s="8"/>
      <c r="Y159" s="38"/>
      <c r="Z159" s="246" t="s">
        <v>59</v>
      </c>
      <c r="AC159" s="42" t="s">
        <v>64</v>
      </c>
      <c r="AD159" s="5" t="s">
        <v>69</v>
      </c>
    </row>
    <row r="160" spans="1:30">
      <c r="A160" s="148">
        <v>44689</v>
      </c>
      <c r="B160" s="153">
        <f t="shared" si="11"/>
        <v>44689</v>
      </c>
      <c r="C160" s="55">
        <v>835184</v>
      </c>
      <c r="D160" s="56">
        <f t="shared" si="12"/>
        <v>0</v>
      </c>
      <c r="E160" s="57"/>
      <c r="F160" s="55">
        <v>2997313</v>
      </c>
      <c r="G160" s="58">
        <f t="shared" si="13"/>
        <v>0</v>
      </c>
      <c r="H160" s="99"/>
      <c r="I160" s="57"/>
      <c r="J160" s="55">
        <v>1470625</v>
      </c>
      <c r="K160" s="58">
        <f t="shared" si="14"/>
        <v>0</v>
      </c>
      <c r="L160" s="92"/>
      <c r="M160" s="57"/>
      <c r="N160" s="46">
        <v>307002</v>
      </c>
      <c r="O160" s="12">
        <f t="shared" si="10"/>
        <v>0</v>
      </c>
      <c r="P160" s="166"/>
      <c r="Q160" s="87"/>
      <c r="R160" s="44"/>
      <c r="S160" s="44"/>
      <c r="T160" s="129"/>
      <c r="U160" s="9"/>
      <c r="V160" s="38"/>
      <c r="W160" s="45"/>
      <c r="X160" s="8"/>
      <c r="Y160" s="38"/>
      <c r="Z160" s="244"/>
      <c r="AC160" s="42" t="s">
        <v>65</v>
      </c>
      <c r="AD160" s="5" t="s">
        <v>70</v>
      </c>
    </row>
    <row r="161" spans="1:30">
      <c r="A161" s="148">
        <v>44690</v>
      </c>
      <c r="B161" s="153">
        <f t="shared" si="11"/>
        <v>44690</v>
      </c>
      <c r="C161" s="55">
        <v>835184</v>
      </c>
      <c r="D161" s="56">
        <f t="shared" si="12"/>
        <v>35</v>
      </c>
      <c r="E161" s="57"/>
      <c r="F161" s="55">
        <v>2997313</v>
      </c>
      <c r="G161" s="58">
        <f t="shared" si="13"/>
        <v>7207</v>
      </c>
      <c r="H161" s="99"/>
      <c r="I161" s="57"/>
      <c r="J161" s="55">
        <v>1470625</v>
      </c>
      <c r="K161" s="58">
        <f t="shared" si="14"/>
        <v>6140</v>
      </c>
      <c r="L161" s="92"/>
      <c r="M161" s="57"/>
      <c r="N161" s="46">
        <v>307002</v>
      </c>
      <c r="O161" s="12">
        <f t="shared" si="10"/>
        <v>835</v>
      </c>
      <c r="P161" s="166"/>
      <c r="Q161" s="87"/>
      <c r="R161" s="44"/>
      <c r="S161" s="44"/>
      <c r="T161" s="129"/>
      <c r="U161" s="9"/>
      <c r="V161" s="38"/>
      <c r="W161" s="45"/>
      <c r="X161" s="8"/>
      <c r="Y161" s="38"/>
      <c r="Z161" s="244"/>
      <c r="AC161" s="42" t="s">
        <v>66</v>
      </c>
      <c r="AD161" s="5" t="s">
        <v>72</v>
      </c>
    </row>
    <row r="162" spans="1:30">
      <c r="A162" s="148">
        <v>44691</v>
      </c>
      <c r="B162" s="153">
        <f t="shared" si="11"/>
        <v>44691</v>
      </c>
      <c r="C162" s="55">
        <v>835219</v>
      </c>
      <c r="D162" s="56">
        <f t="shared" si="12"/>
        <v>48</v>
      </c>
      <c r="E162" s="57"/>
      <c r="F162" s="55">
        <v>3004520</v>
      </c>
      <c r="G162" s="58">
        <f t="shared" si="13"/>
        <v>7045</v>
      </c>
      <c r="H162" s="99"/>
      <c r="I162" s="57"/>
      <c r="J162" s="55">
        <v>1476765</v>
      </c>
      <c r="K162" s="58">
        <f t="shared" si="14"/>
        <v>7231</v>
      </c>
      <c r="L162" s="92"/>
      <c r="M162" s="57"/>
      <c r="N162" s="46">
        <v>307837</v>
      </c>
      <c r="O162" s="12">
        <f t="shared" si="10"/>
        <v>800</v>
      </c>
      <c r="P162" s="166"/>
      <c r="Q162" s="87"/>
      <c r="R162" s="44"/>
      <c r="S162" s="44"/>
      <c r="T162" s="129"/>
      <c r="U162" s="9"/>
      <c r="V162" s="38"/>
      <c r="W162" s="45"/>
      <c r="X162" s="8"/>
      <c r="Y162" s="38"/>
      <c r="Z162" s="246" t="s">
        <v>59</v>
      </c>
      <c r="AC162" s="42" t="s">
        <v>67</v>
      </c>
      <c r="AD162" s="5" t="s">
        <v>73</v>
      </c>
    </row>
    <row r="163" spans="1:30">
      <c r="A163" s="148">
        <v>44692</v>
      </c>
      <c r="B163" s="153">
        <f t="shared" si="11"/>
        <v>44692</v>
      </c>
      <c r="C163" s="55">
        <v>835267</v>
      </c>
      <c r="D163" s="56">
        <f t="shared" si="12"/>
        <v>53</v>
      </c>
      <c r="E163" s="57"/>
      <c r="F163" s="55">
        <v>3011565</v>
      </c>
      <c r="G163" s="58">
        <f t="shared" si="13"/>
        <v>6864</v>
      </c>
      <c r="H163" s="99"/>
      <c r="I163" s="57"/>
      <c r="J163" s="55">
        <v>1483996</v>
      </c>
      <c r="K163" s="58">
        <f t="shared" si="14"/>
        <v>8126</v>
      </c>
      <c r="L163" s="92"/>
      <c r="M163" s="57"/>
      <c r="N163" s="46">
        <v>308637</v>
      </c>
      <c r="O163" s="12">
        <f t="shared" si="10"/>
        <v>830</v>
      </c>
      <c r="P163" s="166"/>
      <c r="Q163" s="87"/>
      <c r="R163" s="44"/>
      <c r="S163" s="44"/>
      <c r="T163" s="129"/>
      <c r="U163" s="9"/>
      <c r="V163" s="38"/>
      <c r="W163" s="45"/>
      <c r="X163" s="8"/>
      <c r="Y163" s="38"/>
      <c r="Z163" s="246" t="s">
        <v>59</v>
      </c>
    </row>
    <row r="164" spans="1:30">
      <c r="A164" s="148">
        <v>44693</v>
      </c>
      <c r="B164" s="153">
        <f t="shared" si="11"/>
        <v>44693</v>
      </c>
      <c r="C164" s="55">
        <v>835320</v>
      </c>
      <c r="D164" s="56">
        <f t="shared" si="12"/>
        <v>49</v>
      </c>
      <c r="E164" s="49" t="s">
        <v>57</v>
      </c>
      <c r="F164" s="55">
        <v>3018429</v>
      </c>
      <c r="G164" s="58">
        <f t="shared" si="13"/>
        <v>6757</v>
      </c>
      <c r="H164" s="99"/>
      <c r="I164" s="49" t="s">
        <v>55</v>
      </c>
      <c r="J164" s="55">
        <v>1492122</v>
      </c>
      <c r="K164" s="58">
        <f t="shared" si="14"/>
        <v>5857</v>
      </c>
      <c r="L164" s="92"/>
      <c r="M164" s="49" t="s">
        <v>56</v>
      </c>
      <c r="N164" s="46">
        <v>309467</v>
      </c>
      <c r="O164" s="12">
        <f t="shared" si="10"/>
        <v>807</v>
      </c>
      <c r="P164" s="166"/>
      <c r="Q164" s="87"/>
      <c r="R164" s="44"/>
      <c r="S164" s="44"/>
      <c r="T164" s="129"/>
      <c r="U164" s="9"/>
      <c r="V164" s="38"/>
      <c r="W164" s="45"/>
      <c r="X164" s="8"/>
      <c r="Y164" s="38"/>
      <c r="Z164" s="244"/>
    </row>
    <row r="165" spans="1:30">
      <c r="A165" s="148">
        <v>44694</v>
      </c>
      <c r="B165" s="153">
        <f t="shared" si="11"/>
        <v>44694</v>
      </c>
      <c r="C165" s="50">
        <v>835369</v>
      </c>
      <c r="D165" s="35">
        <f t="shared" si="12"/>
        <v>58</v>
      </c>
      <c r="E165" s="52"/>
      <c r="F165" s="50">
        <v>3025186</v>
      </c>
      <c r="G165" s="2">
        <f t="shared" si="13"/>
        <v>16042</v>
      </c>
      <c r="H165" s="98"/>
      <c r="I165" s="52"/>
      <c r="J165" s="50">
        <v>1497979</v>
      </c>
      <c r="K165" s="2">
        <f t="shared" si="14"/>
        <v>9039</v>
      </c>
      <c r="L165" s="91"/>
      <c r="M165" s="52"/>
      <c r="N165" s="46">
        <v>310274</v>
      </c>
      <c r="O165" s="12">
        <f t="shared" si="10"/>
        <v>1079</v>
      </c>
      <c r="P165" s="166"/>
      <c r="Q165" s="87"/>
      <c r="R165" s="44"/>
      <c r="S165" s="44"/>
      <c r="T165" s="129"/>
      <c r="U165" s="9"/>
      <c r="V165" s="38"/>
      <c r="W165" s="45"/>
      <c r="X165" s="8"/>
      <c r="Y165" s="38"/>
      <c r="Z165" s="244"/>
    </row>
    <row r="166" spans="1:30">
      <c r="A166" s="148">
        <v>44695</v>
      </c>
      <c r="B166" s="153">
        <f t="shared" si="11"/>
        <v>44695</v>
      </c>
      <c r="C166" s="50">
        <v>835427</v>
      </c>
      <c r="D166" s="35">
        <f t="shared" si="12"/>
        <v>0</v>
      </c>
      <c r="E166" s="52"/>
      <c r="F166" s="50">
        <v>3041228</v>
      </c>
      <c r="G166" s="2">
        <f t="shared" si="13"/>
        <v>0</v>
      </c>
      <c r="H166" s="98"/>
      <c r="I166" s="52"/>
      <c r="J166" s="50">
        <v>1507018</v>
      </c>
      <c r="K166" s="2">
        <f t="shared" si="14"/>
        <v>0</v>
      </c>
      <c r="L166" s="91"/>
      <c r="M166" s="52"/>
      <c r="N166" s="46">
        <v>311353</v>
      </c>
      <c r="O166" s="12">
        <f t="shared" si="10"/>
        <v>964</v>
      </c>
      <c r="P166" s="166"/>
      <c r="Q166" s="87"/>
      <c r="R166" s="44"/>
      <c r="S166" s="44"/>
      <c r="T166" s="129"/>
      <c r="U166" s="9"/>
      <c r="V166" s="38"/>
      <c r="W166" s="45"/>
      <c r="X166" s="8"/>
      <c r="Y166" s="38"/>
      <c r="Z166" s="244"/>
    </row>
    <row r="167" spans="1:30">
      <c r="A167" s="148">
        <v>44696</v>
      </c>
      <c r="B167" s="153">
        <f t="shared" si="11"/>
        <v>44696</v>
      </c>
      <c r="C167" s="50">
        <v>835427</v>
      </c>
      <c r="D167" s="35">
        <f t="shared" si="12"/>
        <v>1</v>
      </c>
      <c r="E167" s="52"/>
      <c r="F167" s="50">
        <v>3041228</v>
      </c>
      <c r="G167" s="2">
        <f t="shared" si="13"/>
        <v>3033</v>
      </c>
      <c r="H167" s="98"/>
      <c r="I167" s="52"/>
      <c r="J167" s="50">
        <v>1507018</v>
      </c>
      <c r="K167" s="2">
        <f t="shared" si="14"/>
        <v>0</v>
      </c>
      <c r="L167" s="91"/>
      <c r="M167" s="52"/>
      <c r="N167" s="46">
        <v>312317</v>
      </c>
      <c r="O167" s="12">
        <f t="shared" si="10"/>
        <v>0</v>
      </c>
      <c r="P167" s="166"/>
      <c r="Q167" s="87"/>
      <c r="R167" s="44"/>
      <c r="S167" s="44"/>
      <c r="T167" s="129"/>
      <c r="U167" s="9"/>
      <c r="V167" s="38"/>
      <c r="W167" s="45"/>
      <c r="X167" s="8"/>
      <c r="Y167" s="38"/>
      <c r="Z167" s="244"/>
    </row>
    <row r="168" spans="1:30">
      <c r="A168" s="148">
        <v>44697</v>
      </c>
      <c r="B168" s="153">
        <f t="shared" si="11"/>
        <v>44697</v>
      </c>
      <c r="C168" s="50">
        <v>835428</v>
      </c>
      <c r="D168" s="35">
        <f t="shared" si="12"/>
        <v>59</v>
      </c>
      <c r="E168" s="52"/>
      <c r="F168" s="50">
        <v>3044261</v>
      </c>
      <c r="G168" s="2">
        <f t="shared" si="13"/>
        <v>6756</v>
      </c>
      <c r="H168" s="98"/>
      <c r="I168" s="52"/>
      <c r="J168" s="50">
        <v>1507018</v>
      </c>
      <c r="K168" s="2">
        <f t="shared" si="14"/>
        <v>4961</v>
      </c>
      <c r="L168" s="91"/>
      <c r="M168" s="52"/>
      <c r="N168" s="46">
        <v>312317</v>
      </c>
      <c r="O168" s="12">
        <f t="shared" si="10"/>
        <v>820</v>
      </c>
      <c r="P168" s="166"/>
      <c r="Q168" s="87"/>
      <c r="R168" s="44"/>
      <c r="S168" s="44"/>
      <c r="T168" s="129"/>
      <c r="U168" s="9"/>
      <c r="V168" s="38"/>
      <c r="W168" s="45"/>
      <c r="X168" s="8"/>
      <c r="Y168" s="38"/>
      <c r="Z168" s="244"/>
    </row>
    <row r="169" spans="1:30">
      <c r="A169" s="148">
        <v>44698</v>
      </c>
      <c r="B169" s="153">
        <f t="shared" si="11"/>
        <v>44698</v>
      </c>
      <c r="C169" s="50">
        <v>835487</v>
      </c>
      <c r="D169" s="35">
        <f t="shared" si="12"/>
        <v>46</v>
      </c>
      <c r="E169" s="52"/>
      <c r="F169" s="50">
        <v>3051017</v>
      </c>
      <c r="G169" s="2">
        <f t="shared" si="13"/>
        <v>6831</v>
      </c>
      <c r="H169" s="98"/>
      <c r="I169" s="52"/>
      <c r="J169" s="50">
        <v>1511979</v>
      </c>
      <c r="K169" s="2">
        <f t="shared" si="14"/>
        <v>5652</v>
      </c>
      <c r="L169" s="91"/>
      <c r="M169" s="52"/>
      <c r="N169" s="46">
        <v>313137</v>
      </c>
      <c r="O169" s="12">
        <f t="shared" si="10"/>
        <v>898</v>
      </c>
      <c r="P169" s="166"/>
      <c r="Q169" s="87"/>
      <c r="R169" s="44"/>
      <c r="S169" s="44"/>
      <c r="T169" s="129"/>
      <c r="U169" s="9"/>
      <c r="V169" s="38"/>
      <c r="W169" s="45"/>
      <c r="X169" s="8"/>
      <c r="Y169" s="38"/>
      <c r="Z169" s="244"/>
    </row>
    <row r="170" spans="1:30">
      <c r="A170" s="148">
        <v>44699</v>
      </c>
      <c r="B170" s="153">
        <f t="shared" si="11"/>
        <v>44699</v>
      </c>
      <c r="C170" s="50">
        <v>835533</v>
      </c>
      <c r="D170" s="35">
        <f t="shared" si="12"/>
        <v>51</v>
      </c>
      <c r="E170" s="52"/>
      <c r="F170" s="50">
        <v>3057848</v>
      </c>
      <c r="G170" s="2">
        <f t="shared" si="13"/>
        <v>6555</v>
      </c>
      <c r="H170" s="98"/>
      <c r="I170" s="52"/>
      <c r="J170" s="50">
        <v>1517631</v>
      </c>
      <c r="K170" s="2">
        <f t="shared" si="14"/>
        <v>5927</v>
      </c>
      <c r="L170" s="91"/>
      <c r="M170" s="52"/>
      <c r="N170" s="46">
        <v>314035</v>
      </c>
      <c r="O170" s="12">
        <f t="shared" si="10"/>
        <v>935</v>
      </c>
      <c r="P170" s="166"/>
      <c r="Q170" s="87"/>
      <c r="R170" s="44"/>
      <c r="S170" s="44"/>
      <c r="T170" s="129"/>
      <c r="U170" s="9"/>
      <c r="V170" s="38"/>
      <c r="W170" s="45"/>
      <c r="X170" s="8"/>
      <c r="Y170" s="38"/>
      <c r="Z170" s="244"/>
    </row>
    <row r="171" spans="1:30">
      <c r="A171" s="148">
        <v>44700</v>
      </c>
      <c r="B171" s="153">
        <f t="shared" si="11"/>
        <v>44700</v>
      </c>
      <c r="C171" s="50">
        <v>835584</v>
      </c>
      <c r="D171" s="35">
        <f t="shared" si="12"/>
        <v>498</v>
      </c>
      <c r="E171" s="52"/>
      <c r="F171" s="50">
        <v>3064403</v>
      </c>
      <c r="G171" s="2">
        <f t="shared" si="13"/>
        <v>4346</v>
      </c>
      <c r="H171" s="98"/>
      <c r="I171" s="52"/>
      <c r="J171" s="50">
        <v>1523558</v>
      </c>
      <c r="K171" s="2">
        <f t="shared" si="14"/>
        <v>4885</v>
      </c>
      <c r="L171" s="91"/>
      <c r="M171" s="52"/>
      <c r="N171" s="46">
        <v>314970</v>
      </c>
      <c r="O171" s="12">
        <f t="shared" si="10"/>
        <v>863</v>
      </c>
      <c r="P171" s="166"/>
      <c r="Q171" s="87"/>
      <c r="R171" s="44"/>
      <c r="S171" s="44"/>
      <c r="T171" s="129"/>
      <c r="U171" s="9"/>
      <c r="V171" s="38"/>
      <c r="W171" s="45"/>
      <c r="X171" s="8"/>
      <c r="Y171" s="38"/>
      <c r="Z171" s="244"/>
    </row>
    <row r="172" spans="1:30">
      <c r="A172" s="148">
        <v>44701</v>
      </c>
      <c r="B172" s="153">
        <f t="shared" si="11"/>
        <v>44701</v>
      </c>
      <c r="C172" s="50">
        <v>836082</v>
      </c>
      <c r="D172" s="35">
        <f t="shared" si="12"/>
        <v>61</v>
      </c>
      <c r="E172" s="52"/>
      <c r="F172" s="50">
        <v>3068749</v>
      </c>
      <c r="G172" s="2">
        <f t="shared" si="13"/>
        <v>4601</v>
      </c>
      <c r="H172" s="98"/>
      <c r="I172" s="52"/>
      <c r="J172" s="50">
        <v>1528443</v>
      </c>
      <c r="K172" s="2">
        <f t="shared" si="14"/>
        <v>7683</v>
      </c>
      <c r="L172" s="91"/>
      <c r="M172" s="52"/>
      <c r="N172" s="46">
        <v>315833</v>
      </c>
      <c r="O172" s="12">
        <f t="shared" si="10"/>
        <v>767</v>
      </c>
      <c r="P172" s="166"/>
      <c r="Q172" s="87"/>
      <c r="R172" s="44"/>
      <c r="S172" s="44"/>
      <c r="T172" s="129"/>
      <c r="U172" s="9"/>
      <c r="V172" s="38"/>
      <c r="W172" s="45"/>
      <c r="X172" s="8"/>
      <c r="Y172" s="38"/>
      <c r="Z172" s="244"/>
    </row>
    <row r="173" spans="1:30">
      <c r="A173" s="148">
        <v>44702</v>
      </c>
      <c r="B173" s="153">
        <f t="shared" si="11"/>
        <v>44702</v>
      </c>
      <c r="C173" s="50">
        <v>836143</v>
      </c>
      <c r="D173" s="35">
        <f t="shared" si="12"/>
        <v>151</v>
      </c>
      <c r="E173" s="52"/>
      <c r="F173" s="50">
        <v>3073350</v>
      </c>
      <c r="G173" s="2">
        <f t="shared" si="13"/>
        <v>10943</v>
      </c>
      <c r="H173" s="98"/>
      <c r="I173" s="52"/>
      <c r="J173" s="50">
        <v>1536126</v>
      </c>
      <c r="K173" s="2">
        <f t="shared" si="14"/>
        <v>110</v>
      </c>
      <c r="L173" s="91"/>
      <c r="M173" s="52"/>
      <c r="N173" s="46">
        <v>316600</v>
      </c>
      <c r="O173" s="12">
        <f t="shared" si="10"/>
        <v>863</v>
      </c>
      <c r="P173" s="166"/>
      <c r="Q173" s="87"/>
      <c r="R173" s="44"/>
      <c r="S173" s="44"/>
      <c r="T173" s="129"/>
      <c r="U173" s="9"/>
      <c r="V173" s="38"/>
      <c r="W173" s="45"/>
      <c r="X173" s="8"/>
      <c r="Y173" s="38"/>
      <c r="Z173" s="245" t="s">
        <v>59</v>
      </c>
    </row>
    <row r="174" spans="1:30">
      <c r="A174" s="148">
        <v>44703</v>
      </c>
      <c r="B174" s="153">
        <f t="shared" si="11"/>
        <v>44703</v>
      </c>
      <c r="C174" s="50">
        <v>836294</v>
      </c>
      <c r="D174" s="35">
        <f t="shared" si="12"/>
        <v>0</v>
      </c>
      <c r="E174" s="52"/>
      <c r="F174" s="50">
        <v>3084293</v>
      </c>
      <c r="G174" s="2">
        <f t="shared" si="13"/>
        <v>0</v>
      </c>
      <c r="H174" s="98"/>
      <c r="I174" s="52"/>
      <c r="J174" s="50">
        <v>1536236</v>
      </c>
      <c r="K174" s="2">
        <f t="shared" si="14"/>
        <v>0</v>
      </c>
      <c r="L174" s="91"/>
      <c r="M174" s="52"/>
      <c r="N174" s="46">
        <v>317463</v>
      </c>
      <c r="O174" s="12">
        <f t="shared" ref="O174:O247" si="15">N175-N174</f>
        <v>0</v>
      </c>
      <c r="P174" s="166"/>
      <c r="Q174" s="87"/>
      <c r="R174" s="44"/>
      <c r="S174" s="44"/>
      <c r="T174" s="129"/>
      <c r="U174" s="9"/>
      <c r="V174" s="38"/>
      <c r="W174" s="45"/>
      <c r="X174" s="8"/>
      <c r="Y174" s="38"/>
      <c r="Z174" s="244"/>
    </row>
    <row r="175" spans="1:30">
      <c r="A175" s="148">
        <v>44704</v>
      </c>
      <c r="B175" s="153">
        <f t="shared" si="11"/>
        <v>44704</v>
      </c>
      <c r="C175" s="50">
        <v>836294</v>
      </c>
      <c r="D175" s="35">
        <f t="shared" si="12"/>
        <v>28</v>
      </c>
      <c r="E175" s="52"/>
      <c r="F175" s="50">
        <v>3084293</v>
      </c>
      <c r="G175" s="2">
        <f t="shared" si="13"/>
        <v>5546</v>
      </c>
      <c r="H175" s="98"/>
      <c r="I175" s="52"/>
      <c r="J175" s="50">
        <v>1536236</v>
      </c>
      <c r="K175" s="2">
        <f t="shared" si="14"/>
        <v>5645</v>
      </c>
      <c r="L175" s="91"/>
      <c r="M175" s="52"/>
      <c r="N175" s="46">
        <v>317463</v>
      </c>
      <c r="O175" s="12">
        <f t="shared" si="15"/>
        <v>725</v>
      </c>
      <c r="P175" s="166"/>
      <c r="Q175" s="87"/>
      <c r="R175" s="44"/>
      <c r="S175" s="44"/>
      <c r="T175" s="129"/>
      <c r="U175" s="9"/>
      <c r="V175" s="38"/>
      <c r="W175" s="45"/>
      <c r="X175" s="8"/>
      <c r="Y175" s="38"/>
      <c r="Z175" s="244"/>
    </row>
    <row r="176" spans="1:30">
      <c r="A176" s="148">
        <v>44705</v>
      </c>
      <c r="B176" s="153">
        <f t="shared" si="11"/>
        <v>44705</v>
      </c>
      <c r="C176" s="50">
        <v>836322</v>
      </c>
      <c r="D176" s="35">
        <f t="shared" si="12"/>
        <v>37</v>
      </c>
      <c r="E176" s="52"/>
      <c r="F176" s="50">
        <v>3089839</v>
      </c>
      <c r="G176" s="2">
        <f t="shared" si="13"/>
        <v>5856</v>
      </c>
      <c r="H176" s="98"/>
      <c r="I176" s="52"/>
      <c r="J176" s="50">
        <v>1541881</v>
      </c>
      <c r="K176" s="2">
        <f t="shared" si="14"/>
        <v>9408</v>
      </c>
      <c r="L176" s="91"/>
      <c r="M176" s="52"/>
      <c r="N176" s="46">
        <v>318188</v>
      </c>
      <c r="O176" s="12">
        <f t="shared" si="15"/>
        <v>982</v>
      </c>
      <c r="P176" s="166"/>
      <c r="Q176" s="87"/>
      <c r="R176" s="44"/>
      <c r="S176" s="44"/>
      <c r="T176" s="129"/>
      <c r="U176" s="9"/>
      <c r="V176" s="38"/>
      <c r="W176" s="45"/>
      <c r="X176" s="8"/>
      <c r="Y176" s="38"/>
      <c r="Z176" s="244"/>
    </row>
    <row r="177" spans="1:26">
      <c r="A177" s="148">
        <v>44706</v>
      </c>
      <c r="B177" s="153">
        <f t="shared" si="11"/>
        <v>44706</v>
      </c>
      <c r="C177" s="50">
        <v>836359</v>
      </c>
      <c r="D177" s="35">
        <f t="shared" si="12"/>
        <v>50</v>
      </c>
      <c r="E177" s="52"/>
      <c r="F177" s="50">
        <v>3095695</v>
      </c>
      <c r="G177" s="2">
        <f t="shared" si="13"/>
        <v>5502</v>
      </c>
      <c r="H177" s="98"/>
      <c r="I177" s="52"/>
      <c r="J177" s="50">
        <v>1551289</v>
      </c>
      <c r="K177" s="2">
        <f t="shared" si="14"/>
        <v>5922</v>
      </c>
      <c r="L177" s="91"/>
      <c r="M177" s="52"/>
      <c r="N177" s="46">
        <v>319170</v>
      </c>
      <c r="O177" s="12">
        <f t="shared" si="15"/>
        <v>1265</v>
      </c>
      <c r="P177" s="166"/>
      <c r="Q177" s="87"/>
      <c r="R177" s="44"/>
      <c r="S177" s="44"/>
      <c r="T177" s="129"/>
      <c r="U177" s="9"/>
      <c r="V177" s="38"/>
      <c r="W177" s="45"/>
      <c r="X177" s="8"/>
      <c r="Y177" s="38"/>
      <c r="Z177" s="248" t="s">
        <v>59</v>
      </c>
    </row>
    <row r="178" spans="1:26">
      <c r="A178" s="148">
        <v>44707</v>
      </c>
      <c r="B178" s="153">
        <f t="shared" si="11"/>
        <v>44707</v>
      </c>
      <c r="C178" s="50">
        <v>836409</v>
      </c>
      <c r="D178" s="35">
        <f t="shared" si="12"/>
        <v>57</v>
      </c>
      <c r="E178" s="52"/>
      <c r="F178" s="50">
        <v>3101197</v>
      </c>
      <c r="G178" s="2">
        <f t="shared" si="13"/>
        <v>5565</v>
      </c>
      <c r="H178" s="98"/>
      <c r="I178" s="52"/>
      <c r="J178" s="50">
        <v>1557211</v>
      </c>
      <c r="K178" s="2">
        <f t="shared" si="14"/>
        <v>5497</v>
      </c>
      <c r="L178" s="91"/>
      <c r="M178" s="52"/>
      <c r="N178" s="46">
        <v>320435</v>
      </c>
      <c r="O178" s="12">
        <f t="shared" si="15"/>
        <v>904</v>
      </c>
      <c r="P178" s="166"/>
      <c r="Q178" s="87"/>
      <c r="R178" s="44">
        <f>Q179-Q178</f>
        <v>530834</v>
      </c>
      <c r="S178" s="44"/>
      <c r="T178" s="129"/>
      <c r="U178" s="9"/>
      <c r="V178" s="38"/>
      <c r="W178" s="45"/>
      <c r="X178" s="8"/>
      <c r="Y178" s="38"/>
      <c r="Z178" s="244"/>
    </row>
    <row r="179" spans="1:26">
      <c r="A179" s="148">
        <v>44708</v>
      </c>
      <c r="B179" s="153">
        <f t="shared" si="11"/>
        <v>44708</v>
      </c>
      <c r="C179" s="50">
        <v>836466</v>
      </c>
      <c r="D179" s="35">
        <f t="shared" si="12"/>
        <v>61</v>
      </c>
      <c r="E179" s="52"/>
      <c r="F179" s="50">
        <v>3106762</v>
      </c>
      <c r="G179" s="2">
        <f t="shared" si="13"/>
        <v>5365</v>
      </c>
      <c r="H179" s="98"/>
      <c r="I179" s="52"/>
      <c r="J179" s="50">
        <v>1562708</v>
      </c>
      <c r="K179" s="2">
        <f t="shared" si="14"/>
        <v>5024</v>
      </c>
      <c r="L179" s="91"/>
      <c r="M179" s="52"/>
      <c r="N179" s="46">
        <v>321339</v>
      </c>
      <c r="O179" s="12">
        <f t="shared" si="15"/>
        <v>939</v>
      </c>
      <c r="P179" s="166"/>
      <c r="Q179" s="87">
        <v>530834</v>
      </c>
      <c r="R179" s="44">
        <f t="shared" ref="R179:R243" si="16">Q180-Q179</f>
        <v>196</v>
      </c>
      <c r="S179" s="44"/>
      <c r="T179" s="129"/>
      <c r="U179" s="9"/>
      <c r="V179" s="38"/>
      <c r="W179" s="45"/>
      <c r="X179" s="8"/>
      <c r="Y179" s="38"/>
      <c r="Z179" s="246" t="s">
        <v>59</v>
      </c>
    </row>
    <row r="180" spans="1:26">
      <c r="A180" s="148">
        <v>44709</v>
      </c>
      <c r="B180" s="153">
        <f t="shared" si="11"/>
        <v>44709</v>
      </c>
      <c r="C180" s="50">
        <v>836527</v>
      </c>
      <c r="D180" s="35">
        <f t="shared" si="12"/>
        <v>37</v>
      </c>
      <c r="E180" s="52"/>
      <c r="F180" s="50">
        <v>3112127</v>
      </c>
      <c r="G180" s="2">
        <f t="shared" si="13"/>
        <v>6847</v>
      </c>
      <c r="H180" s="98"/>
      <c r="I180" s="52"/>
      <c r="J180" s="50">
        <v>1567732</v>
      </c>
      <c r="K180" s="2">
        <f t="shared" si="14"/>
        <v>205</v>
      </c>
      <c r="L180" s="91"/>
      <c r="M180" s="52"/>
      <c r="N180" s="46">
        <v>322278</v>
      </c>
      <c r="O180" s="12">
        <f t="shared" si="15"/>
        <v>867</v>
      </c>
      <c r="P180" s="166"/>
      <c r="Q180" s="88">
        <v>531030</v>
      </c>
      <c r="R180" s="44">
        <f t="shared" si="16"/>
        <v>298</v>
      </c>
      <c r="S180" s="358"/>
      <c r="T180" s="129"/>
      <c r="U180" s="9"/>
      <c r="V180" s="38"/>
      <c r="W180" s="45"/>
      <c r="X180" s="8"/>
      <c r="Y180" s="38"/>
      <c r="Z180" s="244"/>
    </row>
    <row r="181" spans="1:26" ht="15" customHeight="1">
      <c r="A181" s="148">
        <v>44710</v>
      </c>
      <c r="B181" s="153">
        <f t="shared" si="11"/>
        <v>44710</v>
      </c>
      <c r="C181" s="50">
        <v>836564</v>
      </c>
      <c r="D181" s="35">
        <f t="shared" si="12"/>
        <v>18</v>
      </c>
      <c r="E181" s="52"/>
      <c r="F181" s="50">
        <v>3118974</v>
      </c>
      <c r="G181" s="2">
        <f t="shared" si="13"/>
        <v>1381</v>
      </c>
      <c r="H181" s="98"/>
      <c r="I181" s="52"/>
      <c r="J181" s="50">
        <v>1567937</v>
      </c>
      <c r="K181" s="2">
        <f t="shared" si="14"/>
        <v>0</v>
      </c>
      <c r="L181" s="91"/>
      <c r="M181" s="52"/>
      <c r="N181" s="46">
        <v>323145</v>
      </c>
      <c r="O181" s="12">
        <f t="shared" si="15"/>
        <v>0</v>
      </c>
      <c r="P181" s="166"/>
      <c r="Q181" s="88">
        <v>531328</v>
      </c>
      <c r="R181" s="44">
        <f t="shared" si="16"/>
        <v>0</v>
      </c>
      <c r="S181" s="358"/>
      <c r="T181" s="129"/>
      <c r="U181" s="9"/>
      <c r="V181" s="38"/>
      <c r="W181" s="45"/>
      <c r="X181" s="8"/>
      <c r="Y181" s="38"/>
      <c r="Z181" s="249" t="s">
        <v>59</v>
      </c>
    </row>
    <row r="182" spans="1:26">
      <c r="A182" s="148">
        <v>44711</v>
      </c>
      <c r="B182" s="153">
        <f t="shared" si="11"/>
        <v>44711</v>
      </c>
      <c r="C182" s="50">
        <v>836582</v>
      </c>
      <c r="D182" s="35">
        <f t="shared" si="12"/>
        <v>30</v>
      </c>
      <c r="E182" s="52"/>
      <c r="F182" s="50">
        <v>3120355</v>
      </c>
      <c r="G182" s="2">
        <f t="shared" si="13"/>
        <v>5692</v>
      </c>
      <c r="H182" s="98"/>
      <c r="I182" s="52"/>
      <c r="J182" s="50">
        <v>1567937</v>
      </c>
      <c r="K182" s="2">
        <f t="shared" si="14"/>
        <v>5871</v>
      </c>
      <c r="L182" s="91"/>
      <c r="M182" s="52"/>
      <c r="N182" s="46">
        <v>323145</v>
      </c>
      <c r="O182" s="12">
        <f t="shared" si="15"/>
        <v>824</v>
      </c>
      <c r="P182" s="166"/>
      <c r="Q182" s="88">
        <v>531328</v>
      </c>
      <c r="R182" s="44">
        <f t="shared" si="16"/>
        <v>290</v>
      </c>
      <c r="S182" s="358"/>
      <c r="T182" s="129"/>
      <c r="U182" s="9"/>
      <c r="V182" s="38"/>
      <c r="W182" s="45"/>
      <c r="X182" s="8"/>
      <c r="Y182" s="38"/>
      <c r="Z182" s="244"/>
    </row>
    <row r="183" spans="1:26" ht="16.5" customHeight="1">
      <c r="A183" s="148">
        <v>44712</v>
      </c>
      <c r="B183" s="153">
        <f t="shared" si="11"/>
        <v>44712</v>
      </c>
      <c r="C183" s="77">
        <v>836612</v>
      </c>
      <c r="D183" s="35">
        <f t="shared" si="12"/>
        <v>25</v>
      </c>
      <c r="E183" s="52"/>
      <c r="F183" s="50">
        <v>3126047</v>
      </c>
      <c r="G183" s="2">
        <f t="shared" si="13"/>
        <v>5581</v>
      </c>
      <c r="H183" s="98"/>
      <c r="I183" s="52"/>
      <c r="J183" s="50">
        <v>1573808</v>
      </c>
      <c r="K183" s="2">
        <f t="shared" si="14"/>
        <v>9280</v>
      </c>
      <c r="L183" s="91"/>
      <c r="M183" s="52"/>
      <c r="N183" s="46">
        <v>323969</v>
      </c>
      <c r="O183" s="12">
        <f t="shared" si="15"/>
        <v>929</v>
      </c>
      <c r="P183" s="166"/>
      <c r="Q183" s="88">
        <v>531618</v>
      </c>
      <c r="R183" s="44">
        <f t="shared" si="16"/>
        <v>0</v>
      </c>
      <c r="S183" s="358"/>
      <c r="T183" s="129"/>
      <c r="U183" s="9"/>
      <c r="V183" s="38"/>
      <c r="W183" s="45"/>
      <c r="X183" s="8"/>
      <c r="Y183" s="38"/>
      <c r="Z183" s="244"/>
    </row>
    <row r="184" spans="1:26">
      <c r="A184" s="148">
        <v>44713</v>
      </c>
      <c r="B184" s="153">
        <f t="shared" si="11"/>
        <v>44713</v>
      </c>
      <c r="C184" s="77">
        <v>836637</v>
      </c>
      <c r="D184" s="35">
        <f t="shared" si="12"/>
        <v>7567</v>
      </c>
      <c r="E184" s="52"/>
      <c r="F184" s="50">
        <v>3131628</v>
      </c>
      <c r="G184" s="2">
        <f t="shared" si="13"/>
        <v>6562</v>
      </c>
      <c r="H184" s="98"/>
      <c r="I184" s="52"/>
      <c r="J184" s="50">
        <v>1583088</v>
      </c>
      <c r="K184" s="2">
        <f t="shared" si="14"/>
        <v>5528</v>
      </c>
      <c r="L184" s="91"/>
      <c r="M184" s="52"/>
      <c r="N184" s="46">
        <v>324898</v>
      </c>
      <c r="O184" s="12">
        <f t="shared" si="15"/>
        <v>1028</v>
      </c>
      <c r="P184" s="166"/>
      <c r="Q184" s="88">
        <v>531618</v>
      </c>
      <c r="R184" s="44">
        <f t="shared" si="16"/>
        <v>358</v>
      </c>
      <c r="S184" s="358"/>
      <c r="T184" s="129"/>
      <c r="U184" s="9"/>
      <c r="V184" s="38"/>
      <c r="W184" s="45"/>
      <c r="X184" s="8"/>
      <c r="Y184" s="38"/>
      <c r="Z184" s="246" t="s">
        <v>59</v>
      </c>
    </row>
    <row r="185" spans="1:26">
      <c r="A185" s="148">
        <v>44714</v>
      </c>
      <c r="B185" s="153">
        <f t="shared" si="11"/>
        <v>44714</v>
      </c>
      <c r="C185" s="77">
        <v>844204</v>
      </c>
      <c r="D185" s="35">
        <f t="shared" si="12"/>
        <v>13597</v>
      </c>
      <c r="E185" s="52"/>
      <c r="F185" s="50">
        <v>3138190</v>
      </c>
      <c r="G185" s="2">
        <f t="shared" si="13"/>
        <v>16806</v>
      </c>
      <c r="H185" s="98"/>
      <c r="I185" s="52"/>
      <c r="J185" s="50">
        <v>1588616</v>
      </c>
      <c r="K185" s="2">
        <f t="shared" si="14"/>
        <v>6319</v>
      </c>
      <c r="L185" s="91"/>
      <c r="M185" s="52"/>
      <c r="N185" s="46">
        <v>325926</v>
      </c>
      <c r="O185" s="12">
        <f t="shared" si="15"/>
        <v>883</v>
      </c>
      <c r="P185" s="166"/>
      <c r="Q185" s="88">
        <v>531976</v>
      </c>
      <c r="R185" s="44">
        <f t="shared" si="16"/>
        <v>202</v>
      </c>
      <c r="S185" s="358"/>
      <c r="T185" s="129"/>
      <c r="U185" s="9"/>
      <c r="V185" s="38"/>
      <c r="W185" s="45"/>
      <c r="X185" s="8"/>
      <c r="Y185" s="38"/>
      <c r="Z185" s="250"/>
    </row>
    <row r="186" spans="1:26">
      <c r="A186" s="148">
        <v>44715</v>
      </c>
      <c r="B186" s="153">
        <f t="shared" si="11"/>
        <v>44715</v>
      </c>
      <c r="C186" s="77">
        <v>857801</v>
      </c>
      <c r="D186" s="35">
        <f t="shared" si="12"/>
        <v>5639</v>
      </c>
      <c r="E186" s="52"/>
      <c r="F186" s="50">
        <v>3154996</v>
      </c>
      <c r="G186" s="2">
        <f t="shared" si="13"/>
        <v>12075</v>
      </c>
      <c r="H186" s="98"/>
      <c r="I186" s="52"/>
      <c r="J186" s="50">
        <v>1594935</v>
      </c>
      <c r="K186" s="2">
        <f t="shared" si="14"/>
        <v>5275</v>
      </c>
      <c r="L186" s="91"/>
      <c r="M186" s="52"/>
      <c r="N186" s="46">
        <v>326809</v>
      </c>
      <c r="O186" s="12">
        <f t="shared" si="15"/>
        <v>818</v>
      </c>
      <c r="P186" s="166"/>
      <c r="Q186" s="88">
        <v>532178</v>
      </c>
      <c r="R186" s="44">
        <f t="shared" si="16"/>
        <v>154</v>
      </c>
      <c r="S186" s="358"/>
      <c r="T186" s="129"/>
      <c r="U186" s="9"/>
      <c r="V186" s="38"/>
      <c r="W186" s="45"/>
      <c r="X186" s="8"/>
      <c r="Y186" s="38"/>
      <c r="Z186" s="244"/>
    </row>
    <row r="187" spans="1:26">
      <c r="A187" s="148">
        <v>44716</v>
      </c>
      <c r="B187" s="153">
        <f t="shared" si="11"/>
        <v>44716</v>
      </c>
      <c r="C187" s="77">
        <v>863440</v>
      </c>
      <c r="D187" s="35">
        <f t="shared" si="12"/>
        <v>145</v>
      </c>
      <c r="E187" s="52"/>
      <c r="F187" s="50">
        <v>3167071</v>
      </c>
      <c r="G187" s="2">
        <f t="shared" si="13"/>
        <v>5813</v>
      </c>
      <c r="H187" s="98"/>
      <c r="I187" s="52"/>
      <c r="J187" s="50">
        <v>1600210</v>
      </c>
      <c r="K187" s="2">
        <f t="shared" si="14"/>
        <v>16</v>
      </c>
      <c r="L187" s="91"/>
      <c r="M187" s="52"/>
      <c r="N187" s="46">
        <v>327627</v>
      </c>
      <c r="O187" s="12">
        <f t="shared" si="15"/>
        <v>1647</v>
      </c>
      <c r="P187" s="166"/>
      <c r="Q187" s="88">
        <v>532332</v>
      </c>
      <c r="R187" s="44">
        <f t="shared" si="16"/>
        <v>255</v>
      </c>
      <c r="S187" s="358"/>
      <c r="T187" s="129"/>
      <c r="U187" s="9"/>
      <c r="V187" s="38"/>
      <c r="W187" s="45"/>
      <c r="X187" s="8"/>
      <c r="Y187" s="38"/>
      <c r="Z187" s="251"/>
    </row>
    <row r="188" spans="1:26">
      <c r="A188" s="148">
        <v>44717</v>
      </c>
      <c r="B188" s="153">
        <f t="shared" si="11"/>
        <v>44717</v>
      </c>
      <c r="C188" s="77">
        <v>863585</v>
      </c>
      <c r="D188" s="35">
        <f t="shared" si="12"/>
        <v>0</v>
      </c>
      <c r="E188" s="52"/>
      <c r="F188" s="50">
        <v>3172884</v>
      </c>
      <c r="G188" s="2">
        <f t="shared" si="13"/>
        <v>0</v>
      </c>
      <c r="H188" s="98"/>
      <c r="I188" s="52"/>
      <c r="J188" s="50">
        <v>1600226</v>
      </c>
      <c r="K188" s="2">
        <f t="shared" si="14"/>
        <v>0</v>
      </c>
      <c r="L188" s="91"/>
      <c r="M188" s="52"/>
      <c r="N188" s="46">
        <v>329274</v>
      </c>
      <c r="O188" s="12">
        <f t="shared" si="15"/>
        <v>0</v>
      </c>
      <c r="P188" s="166"/>
      <c r="Q188" s="88">
        <v>532587</v>
      </c>
      <c r="R188" s="44">
        <f t="shared" si="16"/>
        <v>0</v>
      </c>
      <c r="S188" s="358"/>
      <c r="T188" s="129"/>
      <c r="U188" s="9"/>
      <c r="V188" s="38"/>
      <c r="W188" s="45"/>
      <c r="X188" s="8"/>
      <c r="Y188" s="38"/>
      <c r="Z188" s="244"/>
    </row>
    <row r="189" spans="1:26">
      <c r="A189" s="148">
        <v>44718</v>
      </c>
      <c r="B189" s="153">
        <f t="shared" si="11"/>
        <v>44718</v>
      </c>
      <c r="C189" s="77">
        <v>863585</v>
      </c>
      <c r="D189" s="35">
        <f t="shared" si="12"/>
        <v>5214</v>
      </c>
      <c r="E189" s="52"/>
      <c r="F189" s="50">
        <v>3172884</v>
      </c>
      <c r="G189" s="2">
        <f t="shared" si="13"/>
        <v>12169</v>
      </c>
      <c r="H189" s="98"/>
      <c r="I189" s="52"/>
      <c r="J189" s="50">
        <v>1600226</v>
      </c>
      <c r="K189" s="2">
        <f t="shared" si="14"/>
        <v>9424</v>
      </c>
      <c r="L189" s="91"/>
      <c r="M189" s="52"/>
      <c r="N189" s="46">
        <v>329274</v>
      </c>
      <c r="O189" s="12">
        <f t="shared" si="15"/>
        <v>914</v>
      </c>
      <c r="P189" s="166"/>
      <c r="Q189" s="88">
        <v>532587</v>
      </c>
      <c r="R189" s="44">
        <f t="shared" si="16"/>
        <v>168</v>
      </c>
      <c r="S189" s="358"/>
      <c r="T189" s="129"/>
      <c r="U189" s="9"/>
      <c r="V189" s="38"/>
      <c r="W189" s="45"/>
      <c r="X189" s="8"/>
      <c r="Y189" s="38"/>
      <c r="Z189" s="244"/>
    </row>
    <row r="190" spans="1:26">
      <c r="A190" s="148">
        <v>44719</v>
      </c>
      <c r="B190" s="153">
        <f t="shared" si="11"/>
        <v>44719</v>
      </c>
      <c r="C190" s="77">
        <v>868799</v>
      </c>
      <c r="D190" s="35">
        <f t="shared" si="12"/>
        <v>4006</v>
      </c>
      <c r="E190" s="52"/>
      <c r="F190" s="50">
        <v>3185053</v>
      </c>
      <c r="G190" s="2">
        <f t="shared" si="13"/>
        <v>8833</v>
      </c>
      <c r="H190" s="98"/>
      <c r="I190" s="52"/>
      <c r="J190" s="50">
        <v>1609650</v>
      </c>
      <c r="K190" s="2">
        <f t="shared" si="14"/>
        <v>5210</v>
      </c>
      <c r="L190" s="91"/>
      <c r="M190" s="52"/>
      <c r="N190" s="46">
        <v>330188</v>
      </c>
      <c r="O190" s="12">
        <f t="shared" si="15"/>
        <v>1144</v>
      </c>
      <c r="P190" s="365" t="s">
        <v>77</v>
      </c>
      <c r="Q190" s="88">
        <v>532755</v>
      </c>
      <c r="R190" s="44">
        <f t="shared" si="16"/>
        <v>130</v>
      </c>
      <c r="S190" s="358"/>
      <c r="T190" s="129"/>
      <c r="U190" s="9"/>
      <c r="V190" s="38"/>
      <c r="W190" s="45"/>
      <c r="X190" s="8"/>
      <c r="Y190" s="38"/>
      <c r="Z190" s="244"/>
    </row>
    <row r="191" spans="1:26">
      <c r="A191" s="148">
        <v>44720</v>
      </c>
      <c r="B191" s="153">
        <f t="shared" si="11"/>
        <v>44720</v>
      </c>
      <c r="C191" s="77">
        <v>872805</v>
      </c>
      <c r="D191" s="35">
        <f t="shared" si="12"/>
        <v>4333</v>
      </c>
      <c r="E191" s="52"/>
      <c r="F191" s="50">
        <v>3193886</v>
      </c>
      <c r="G191" s="2">
        <f>IF(F192&gt;0,F192-F191," ")</f>
        <v>10559</v>
      </c>
      <c r="H191" s="98"/>
      <c r="I191" s="52"/>
      <c r="J191" s="50">
        <v>1614860</v>
      </c>
      <c r="K191" s="2">
        <f>IF(J192&gt;0,J192-J191," ")</f>
        <v>5853</v>
      </c>
      <c r="L191" s="91"/>
      <c r="M191" s="52"/>
      <c r="N191" s="45">
        <v>331332</v>
      </c>
      <c r="O191" s="8">
        <f>N192-N191</f>
        <v>948</v>
      </c>
      <c r="P191" s="9"/>
      <c r="Q191" s="88">
        <v>532885</v>
      </c>
      <c r="R191" s="44">
        <f t="shared" si="16"/>
        <v>276</v>
      </c>
      <c r="S191" s="358"/>
      <c r="T191" s="129"/>
      <c r="U191" s="9"/>
      <c r="V191" s="38"/>
      <c r="W191" s="45"/>
      <c r="X191" s="8"/>
      <c r="Y191" s="38"/>
      <c r="Z191" s="244"/>
    </row>
    <row r="192" spans="1:26">
      <c r="A192" s="148">
        <v>44721</v>
      </c>
      <c r="B192" s="153">
        <f t="shared" si="11"/>
        <v>44721</v>
      </c>
      <c r="C192" s="77">
        <v>877138</v>
      </c>
      <c r="D192" s="35">
        <f t="shared" si="12"/>
        <v>4297</v>
      </c>
      <c r="E192" s="52"/>
      <c r="F192" s="50">
        <v>3204445</v>
      </c>
      <c r="G192" s="2">
        <f t="shared" si="13"/>
        <v>10160</v>
      </c>
      <c r="H192" s="98"/>
      <c r="I192" s="52"/>
      <c r="J192" s="50">
        <v>1620713</v>
      </c>
      <c r="K192" s="2">
        <f t="shared" si="14"/>
        <v>5331</v>
      </c>
      <c r="L192" s="91"/>
      <c r="M192" s="52"/>
      <c r="N192" s="45">
        <v>332280</v>
      </c>
      <c r="O192" s="8">
        <f t="shared" si="15"/>
        <v>1052</v>
      </c>
      <c r="P192" s="9"/>
      <c r="Q192" s="88">
        <v>533161</v>
      </c>
      <c r="R192" s="44">
        <f t="shared" si="16"/>
        <v>314</v>
      </c>
      <c r="S192" s="358"/>
      <c r="T192" s="129"/>
      <c r="U192" s="9"/>
      <c r="V192" s="38"/>
      <c r="W192" s="45"/>
      <c r="X192" s="8"/>
      <c r="Y192" s="38"/>
      <c r="Z192" s="244"/>
    </row>
    <row r="193" spans="1:26">
      <c r="A193" s="148">
        <v>44722</v>
      </c>
      <c r="B193" s="153">
        <f t="shared" si="11"/>
        <v>44722</v>
      </c>
      <c r="C193" s="46">
        <v>881435</v>
      </c>
      <c r="D193" s="35">
        <f t="shared" si="12"/>
        <v>4515</v>
      </c>
      <c r="E193" s="39"/>
      <c r="F193" s="46">
        <v>3214605</v>
      </c>
      <c r="G193" s="2">
        <f t="shared" si="13"/>
        <v>11088</v>
      </c>
      <c r="H193" s="100"/>
      <c r="I193" s="39"/>
      <c r="J193" s="46">
        <v>1626044</v>
      </c>
      <c r="K193" s="2">
        <f t="shared" si="14"/>
        <v>5251</v>
      </c>
      <c r="L193" s="93"/>
      <c r="M193" s="39"/>
      <c r="N193" s="45">
        <v>333332</v>
      </c>
      <c r="O193" s="8">
        <f t="shared" si="15"/>
        <v>961</v>
      </c>
      <c r="P193" s="9"/>
      <c r="Q193" s="42">
        <v>533475</v>
      </c>
      <c r="R193" s="44">
        <f t="shared" si="16"/>
        <v>297</v>
      </c>
      <c r="S193" s="358"/>
      <c r="T193" s="129"/>
      <c r="U193" s="9"/>
      <c r="V193" s="38"/>
      <c r="W193" s="45"/>
      <c r="X193" s="8"/>
      <c r="Y193" s="38"/>
      <c r="Z193" s="244"/>
    </row>
    <row r="194" spans="1:26">
      <c r="A194" s="148">
        <v>44723</v>
      </c>
      <c r="B194" s="153">
        <f t="shared" si="11"/>
        <v>44723</v>
      </c>
      <c r="C194" s="46">
        <v>885950</v>
      </c>
      <c r="D194" s="35">
        <f t="shared" si="12"/>
        <v>4359</v>
      </c>
      <c r="E194" s="40" t="s">
        <v>75</v>
      </c>
      <c r="F194" s="46">
        <v>3225693</v>
      </c>
      <c r="G194" s="2">
        <f t="shared" si="13"/>
        <v>11068</v>
      </c>
      <c r="H194" s="100"/>
      <c r="I194" s="40" t="s">
        <v>76</v>
      </c>
      <c r="J194" s="46">
        <v>1631295</v>
      </c>
      <c r="K194" s="2">
        <f t="shared" si="14"/>
        <v>2031</v>
      </c>
      <c r="L194" s="93"/>
      <c r="M194" s="40" t="s">
        <v>40</v>
      </c>
      <c r="N194" s="45">
        <v>334293</v>
      </c>
      <c r="O194" s="8">
        <f t="shared" si="15"/>
        <v>1045</v>
      </c>
      <c r="P194" s="9"/>
      <c r="Q194" s="42">
        <v>533772</v>
      </c>
      <c r="R194" s="44">
        <f t="shared" si="16"/>
        <v>0</v>
      </c>
      <c r="S194" s="358"/>
      <c r="T194" s="129"/>
      <c r="U194" s="9"/>
      <c r="V194" s="38"/>
      <c r="W194" s="45"/>
      <c r="X194" s="8"/>
      <c r="Y194" s="38"/>
      <c r="Z194" s="244"/>
    </row>
    <row r="195" spans="1:26">
      <c r="A195" s="150">
        <v>44724</v>
      </c>
      <c r="B195" s="154">
        <f t="shared" si="11"/>
        <v>44724</v>
      </c>
      <c r="C195" s="45">
        <v>890309</v>
      </c>
      <c r="D195" s="34">
        <f t="shared" si="12"/>
        <v>428</v>
      </c>
      <c r="E195" s="38"/>
      <c r="F195" s="45">
        <v>3236761</v>
      </c>
      <c r="G195" s="1">
        <f t="shared" si="13"/>
        <v>4783</v>
      </c>
      <c r="H195" s="101">
        <f t="shared" ref="H195:H226" si="17">(G195+D195-1600)/373</f>
        <v>9.6809651474530831</v>
      </c>
      <c r="I195" s="38"/>
      <c r="J195" s="45">
        <v>1633326</v>
      </c>
      <c r="K195" s="1">
        <f t="shared" si="14"/>
        <v>0</v>
      </c>
      <c r="L195" s="94">
        <f t="shared" ref="L195:L226" si="18">K195/135</f>
        <v>0</v>
      </c>
      <c r="M195" s="38"/>
      <c r="N195" s="45">
        <v>335338</v>
      </c>
      <c r="O195" s="8">
        <f t="shared" si="15"/>
        <v>0</v>
      </c>
      <c r="P195" s="9"/>
      <c r="Q195" s="42">
        <v>533772</v>
      </c>
      <c r="R195" s="44">
        <f t="shared" si="16"/>
        <v>116</v>
      </c>
      <c r="S195" s="358"/>
      <c r="T195" s="129"/>
      <c r="U195" s="9"/>
      <c r="V195" s="38"/>
      <c r="W195" s="45"/>
      <c r="X195" s="8"/>
      <c r="Y195" s="38"/>
      <c r="Z195" s="244"/>
    </row>
    <row r="196" spans="1:26">
      <c r="A196" s="150">
        <v>44725</v>
      </c>
      <c r="B196" s="154">
        <f t="shared" si="11"/>
        <v>44725</v>
      </c>
      <c r="C196" s="45">
        <v>890737</v>
      </c>
      <c r="D196" s="34">
        <f t="shared" si="12"/>
        <v>4087</v>
      </c>
      <c r="E196" s="38"/>
      <c r="F196" s="45">
        <v>3241544</v>
      </c>
      <c r="G196" s="1">
        <f t="shared" si="13"/>
        <v>12164</v>
      </c>
      <c r="H196" s="101">
        <f t="shared" si="17"/>
        <v>39.278820375335123</v>
      </c>
      <c r="I196" s="38"/>
      <c r="J196" s="45">
        <v>1633326</v>
      </c>
      <c r="K196" s="1">
        <f t="shared" si="14"/>
        <v>7548</v>
      </c>
      <c r="L196" s="94">
        <f t="shared" si="18"/>
        <v>55.911111111111111</v>
      </c>
      <c r="M196" s="38"/>
      <c r="N196" s="45">
        <v>335338</v>
      </c>
      <c r="O196" s="8">
        <f t="shared" si="15"/>
        <v>841</v>
      </c>
      <c r="P196" s="9"/>
      <c r="Q196" s="42">
        <v>533888</v>
      </c>
      <c r="R196" s="44">
        <f t="shared" si="16"/>
        <v>177</v>
      </c>
      <c r="S196" s="358"/>
      <c r="T196" s="129"/>
      <c r="U196" s="9"/>
      <c r="V196" s="38"/>
      <c r="W196" s="45"/>
      <c r="X196" s="8"/>
      <c r="Y196" s="38"/>
      <c r="Z196" s="244"/>
    </row>
    <row r="197" spans="1:26">
      <c r="A197" s="150">
        <v>44726</v>
      </c>
      <c r="B197" s="154">
        <f t="shared" si="11"/>
        <v>44726</v>
      </c>
      <c r="C197" s="45">
        <v>894824</v>
      </c>
      <c r="D197" s="34">
        <f t="shared" si="12"/>
        <v>2926</v>
      </c>
      <c r="E197" s="38"/>
      <c r="F197" s="45">
        <v>3253708</v>
      </c>
      <c r="G197" s="1">
        <f t="shared" si="13"/>
        <v>10572</v>
      </c>
      <c r="H197" s="101">
        <f t="shared" si="17"/>
        <v>31.898123324396781</v>
      </c>
      <c r="I197" s="38"/>
      <c r="J197" s="45">
        <v>1640874</v>
      </c>
      <c r="K197" s="1">
        <f t="shared" si="14"/>
        <v>5008</v>
      </c>
      <c r="L197" s="94">
        <f t="shared" si="18"/>
        <v>37.096296296296295</v>
      </c>
      <c r="M197" s="38"/>
      <c r="N197" s="45">
        <v>336179</v>
      </c>
      <c r="O197" s="8">
        <f t="shared" si="15"/>
        <v>866</v>
      </c>
      <c r="P197" s="9"/>
      <c r="Q197" s="42">
        <v>534065</v>
      </c>
      <c r="R197" s="44">
        <f t="shared" si="16"/>
        <v>185</v>
      </c>
      <c r="S197" s="358"/>
      <c r="T197" s="129"/>
      <c r="U197" s="9"/>
      <c r="V197" s="38"/>
      <c r="W197" s="45"/>
      <c r="X197" s="8"/>
      <c r="Y197" s="38"/>
      <c r="Z197" s="244"/>
    </row>
    <row r="198" spans="1:26">
      <c r="A198" s="150">
        <v>44727</v>
      </c>
      <c r="B198" s="154">
        <f t="shared" si="11"/>
        <v>44727</v>
      </c>
      <c r="C198" s="45">
        <v>897750</v>
      </c>
      <c r="D198" s="34">
        <f t="shared" si="12"/>
        <v>3229</v>
      </c>
      <c r="E198" s="38"/>
      <c r="F198" s="45">
        <v>3264280</v>
      </c>
      <c r="G198" s="1">
        <f t="shared" si="13"/>
        <v>10736</v>
      </c>
      <c r="H198" s="101">
        <f t="shared" si="17"/>
        <v>33.150134048257371</v>
      </c>
      <c r="I198" s="38"/>
      <c r="J198" s="45">
        <v>1645882</v>
      </c>
      <c r="K198" s="1">
        <f t="shared" si="14"/>
        <v>5070</v>
      </c>
      <c r="L198" s="94">
        <f t="shared" si="18"/>
        <v>37.555555555555557</v>
      </c>
      <c r="M198" s="38"/>
      <c r="N198" s="45">
        <v>337045</v>
      </c>
      <c r="O198" s="8">
        <f t="shared" si="15"/>
        <v>887</v>
      </c>
      <c r="P198" s="9"/>
      <c r="Q198" s="42">
        <v>534250</v>
      </c>
      <c r="R198" s="44">
        <f t="shared" si="16"/>
        <v>0</v>
      </c>
      <c r="S198" s="358"/>
      <c r="T198" s="129"/>
      <c r="U198" s="9"/>
      <c r="V198" s="38"/>
      <c r="W198" s="45"/>
      <c r="X198" s="8"/>
      <c r="Y198" s="38"/>
      <c r="Z198" s="244"/>
    </row>
    <row r="199" spans="1:26">
      <c r="A199" s="150">
        <v>44728</v>
      </c>
      <c r="B199" s="154">
        <f t="shared" si="11"/>
        <v>44728</v>
      </c>
      <c r="C199" s="45">
        <v>900979</v>
      </c>
      <c r="D199" s="34">
        <f t="shared" si="12"/>
        <v>3856</v>
      </c>
      <c r="E199" s="38"/>
      <c r="F199" s="45">
        <v>3275016</v>
      </c>
      <c r="G199" s="1">
        <f t="shared" si="13"/>
        <v>10164</v>
      </c>
      <c r="H199" s="101">
        <f t="shared" si="17"/>
        <v>33.297587131367294</v>
      </c>
      <c r="I199" s="38"/>
      <c r="J199" s="45">
        <v>1650952</v>
      </c>
      <c r="K199" s="1">
        <f t="shared" si="14"/>
        <v>5688</v>
      </c>
      <c r="L199" s="94">
        <f t="shared" si="18"/>
        <v>42.133333333333333</v>
      </c>
      <c r="M199" s="38"/>
      <c r="N199" s="45">
        <v>337932</v>
      </c>
      <c r="O199" s="8">
        <f t="shared" si="15"/>
        <v>903</v>
      </c>
      <c r="P199" s="9"/>
      <c r="Q199" s="42">
        <v>534250</v>
      </c>
      <c r="R199" s="44">
        <f t="shared" si="16"/>
        <v>368</v>
      </c>
      <c r="S199" s="358"/>
      <c r="T199" s="129"/>
      <c r="U199" s="9"/>
      <c r="V199" s="38"/>
      <c r="W199" s="45"/>
      <c r="X199" s="8"/>
      <c r="Y199" s="38"/>
      <c r="Z199" s="244"/>
    </row>
    <row r="200" spans="1:26">
      <c r="A200" s="150">
        <v>44729</v>
      </c>
      <c r="B200" s="154">
        <f t="shared" si="11"/>
        <v>44729</v>
      </c>
      <c r="C200" s="45">
        <v>904835</v>
      </c>
      <c r="D200" s="34">
        <f t="shared" si="12"/>
        <v>3517</v>
      </c>
      <c r="E200" s="38"/>
      <c r="F200" s="45">
        <v>3285180</v>
      </c>
      <c r="G200" s="1">
        <f t="shared" si="13"/>
        <v>10562</v>
      </c>
      <c r="H200" s="101">
        <f t="shared" si="17"/>
        <v>33.455764075067023</v>
      </c>
      <c r="I200" s="38"/>
      <c r="J200" s="45">
        <v>1656640</v>
      </c>
      <c r="K200" s="1">
        <f t="shared" si="14"/>
        <v>6157</v>
      </c>
      <c r="L200" s="94">
        <f t="shared" si="18"/>
        <v>45.607407407407408</v>
      </c>
      <c r="M200" s="38"/>
      <c r="N200" s="45">
        <v>338835</v>
      </c>
      <c r="O200" s="8">
        <f t="shared" si="15"/>
        <v>969</v>
      </c>
      <c r="P200" s="9"/>
      <c r="Q200" s="42">
        <v>534618</v>
      </c>
      <c r="R200" s="44">
        <f t="shared" si="16"/>
        <v>195</v>
      </c>
      <c r="S200" s="358"/>
      <c r="T200" s="129"/>
      <c r="U200" s="9"/>
      <c r="V200" s="38"/>
      <c r="W200" s="45"/>
      <c r="X200" s="8"/>
      <c r="Y200" s="38"/>
      <c r="Z200" s="244"/>
    </row>
    <row r="201" spans="1:26">
      <c r="A201" s="150">
        <v>44730</v>
      </c>
      <c r="B201" s="154">
        <f t="shared" si="11"/>
        <v>44730</v>
      </c>
      <c r="C201" s="45">
        <v>908352</v>
      </c>
      <c r="D201" s="34">
        <f t="shared" si="12"/>
        <v>2015</v>
      </c>
      <c r="E201" s="38"/>
      <c r="F201" s="45">
        <v>3295742</v>
      </c>
      <c r="G201" s="1">
        <f t="shared" si="13"/>
        <v>7810</v>
      </c>
      <c r="H201" s="101">
        <f t="shared" si="17"/>
        <v>22.050938337801608</v>
      </c>
      <c r="I201" s="38"/>
      <c r="J201" s="45">
        <v>1662797</v>
      </c>
      <c r="K201" s="1">
        <f t="shared" si="14"/>
        <v>3846</v>
      </c>
      <c r="L201" s="94">
        <f t="shared" si="18"/>
        <v>28.488888888888887</v>
      </c>
      <c r="M201" s="38"/>
      <c r="N201" s="45">
        <v>339804</v>
      </c>
      <c r="O201" s="8">
        <f t="shared" si="15"/>
        <v>1073</v>
      </c>
      <c r="P201" s="9"/>
      <c r="Q201" s="42">
        <v>534813</v>
      </c>
      <c r="R201" s="44">
        <f t="shared" si="16"/>
        <v>429</v>
      </c>
      <c r="S201" s="358"/>
      <c r="T201" s="129"/>
      <c r="U201" s="9"/>
      <c r="V201" s="38"/>
      <c r="W201" s="45"/>
      <c r="X201" s="8"/>
      <c r="Y201" s="38"/>
      <c r="Z201" s="244"/>
    </row>
    <row r="202" spans="1:26">
      <c r="A202" s="150">
        <v>44731</v>
      </c>
      <c r="B202" s="154">
        <f t="shared" si="11"/>
        <v>44731</v>
      </c>
      <c r="C202" s="45">
        <v>910367</v>
      </c>
      <c r="D202" s="34">
        <f t="shared" si="12"/>
        <v>0</v>
      </c>
      <c r="E202" s="38"/>
      <c r="F202" s="45">
        <v>3303552</v>
      </c>
      <c r="G202" s="1">
        <f t="shared" si="13"/>
        <v>0</v>
      </c>
      <c r="H202" s="101">
        <f t="shared" si="17"/>
        <v>-4.2895442359249332</v>
      </c>
      <c r="I202" s="38"/>
      <c r="J202" s="45">
        <v>1666643</v>
      </c>
      <c r="K202" s="1">
        <f t="shared" si="14"/>
        <v>0</v>
      </c>
      <c r="L202" s="94">
        <f t="shared" si="18"/>
        <v>0</v>
      </c>
      <c r="M202" s="38"/>
      <c r="N202" s="45">
        <v>340877</v>
      </c>
      <c r="O202" s="8">
        <f t="shared" si="15"/>
        <v>0</v>
      </c>
      <c r="P202" s="9"/>
      <c r="Q202" s="42">
        <v>535242</v>
      </c>
      <c r="R202" s="44">
        <f t="shared" si="16"/>
        <v>0</v>
      </c>
      <c r="S202" s="358"/>
      <c r="T202" s="129"/>
      <c r="U202" s="9"/>
      <c r="V202" s="38"/>
      <c r="W202" s="45"/>
      <c r="X202" s="8"/>
      <c r="Y202" s="38"/>
      <c r="Z202" s="244"/>
    </row>
    <row r="203" spans="1:26">
      <c r="A203" s="150">
        <v>44732</v>
      </c>
      <c r="B203" s="154">
        <f t="shared" si="11"/>
        <v>44732</v>
      </c>
      <c r="C203" s="45">
        <v>910367</v>
      </c>
      <c r="D203" s="34">
        <f t="shared" si="12"/>
        <v>2053</v>
      </c>
      <c r="E203" s="38"/>
      <c r="F203" s="45">
        <v>3303552</v>
      </c>
      <c r="G203" s="1">
        <f t="shared" si="13"/>
        <v>8090</v>
      </c>
      <c r="H203" s="101">
        <f t="shared" si="17"/>
        <v>22.903485254691688</v>
      </c>
      <c r="I203" s="38"/>
      <c r="J203" s="45">
        <v>1666643</v>
      </c>
      <c r="K203" s="1">
        <f t="shared" si="14"/>
        <v>5257</v>
      </c>
      <c r="L203" s="94">
        <f t="shared" si="18"/>
        <v>38.940740740740743</v>
      </c>
      <c r="M203" s="38"/>
      <c r="N203" s="45">
        <v>340877</v>
      </c>
      <c r="O203" s="8">
        <f t="shared" si="15"/>
        <v>915</v>
      </c>
      <c r="P203" s="9"/>
      <c r="Q203" s="42">
        <v>535242</v>
      </c>
      <c r="R203" s="44">
        <f t="shared" si="16"/>
        <v>223</v>
      </c>
      <c r="S203" s="358"/>
      <c r="T203" s="129"/>
      <c r="U203" s="9"/>
      <c r="V203" s="38"/>
      <c r="W203" s="45"/>
      <c r="X203" s="8"/>
      <c r="Y203" s="38"/>
      <c r="Z203" s="244"/>
    </row>
    <row r="204" spans="1:26">
      <c r="A204" s="150">
        <v>44733</v>
      </c>
      <c r="B204" s="154">
        <f t="shared" si="11"/>
        <v>44733</v>
      </c>
      <c r="C204" s="45">
        <v>912420</v>
      </c>
      <c r="D204" s="34">
        <f t="shared" si="12"/>
        <v>1816</v>
      </c>
      <c r="E204" s="38"/>
      <c r="F204" s="45">
        <v>3311642</v>
      </c>
      <c r="G204" s="1">
        <f t="shared" si="13"/>
        <v>8175</v>
      </c>
      <c r="H204" s="101">
        <f t="shared" si="17"/>
        <v>22.495978552278821</v>
      </c>
      <c r="I204" s="38"/>
      <c r="J204" s="45">
        <v>1671900</v>
      </c>
      <c r="K204" s="1">
        <f t="shared" si="14"/>
        <v>5932</v>
      </c>
      <c r="L204" s="94">
        <f t="shared" si="18"/>
        <v>43.940740740740743</v>
      </c>
      <c r="M204" s="38"/>
      <c r="N204" s="45">
        <v>341792</v>
      </c>
      <c r="O204" s="8">
        <f t="shared" si="15"/>
        <v>1058</v>
      </c>
      <c r="P204" s="9"/>
      <c r="Q204" s="42">
        <v>535465</v>
      </c>
      <c r="R204" s="44">
        <f t="shared" si="16"/>
        <v>174</v>
      </c>
      <c r="S204" s="358"/>
      <c r="T204" s="129"/>
      <c r="U204" s="9"/>
      <c r="V204" s="38"/>
      <c r="W204" s="45"/>
      <c r="X204" s="8"/>
      <c r="Y204" s="38"/>
      <c r="Z204" s="244"/>
    </row>
    <row r="205" spans="1:26">
      <c r="A205" s="150">
        <v>44734</v>
      </c>
      <c r="B205" s="154">
        <f t="shared" si="11"/>
        <v>44734</v>
      </c>
      <c r="C205" s="45">
        <v>914236</v>
      </c>
      <c r="D205" s="34">
        <f t="shared" si="12"/>
        <v>1761</v>
      </c>
      <c r="E205" s="38"/>
      <c r="F205" s="45">
        <v>3319817</v>
      </c>
      <c r="G205" s="1">
        <f t="shared" si="13"/>
        <v>8152</v>
      </c>
      <c r="H205" s="101">
        <f t="shared" si="17"/>
        <v>22.286863270777481</v>
      </c>
      <c r="I205" s="38"/>
      <c r="J205" s="45">
        <v>1677832</v>
      </c>
      <c r="K205" s="1">
        <f t="shared" si="14"/>
        <v>6315</v>
      </c>
      <c r="L205" s="94">
        <f t="shared" si="18"/>
        <v>46.777777777777779</v>
      </c>
      <c r="M205" s="38"/>
      <c r="N205" s="45">
        <v>342850</v>
      </c>
      <c r="O205" s="8">
        <f t="shared" si="15"/>
        <v>886</v>
      </c>
      <c r="P205" s="9"/>
      <c r="Q205" s="42">
        <v>535639</v>
      </c>
      <c r="R205" s="44">
        <f t="shared" si="16"/>
        <v>195</v>
      </c>
      <c r="S205" s="358"/>
      <c r="T205" s="129"/>
      <c r="U205" s="9"/>
      <c r="V205" s="38"/>
      <c r="W205" s="45"/>
      <c r="X205" s="8"/>
      <c r="Y205" s="38"/>
      <c r="Z205" s="244"/>
    </row>
    <row r="206" spans="1:26">
      <c r="A206" s="150">
        <v>44735</v>
      </c>
      <c r="B206" s="154">
        <f t="shared" ref="B206:B269" si="19">+A206</f>
        <v>44735</v>
      </c>
      <c r="C206" s="45">
        <v>915997</v>
      </c>
      <c r="D206" s="34">
        <f t="shared" si="12"/>
        <v>1818</v>
      </c>
      <c r="E206" s="38"/>
      <c r="F206" s="45">
        <v>3327969</v>
      </c>
      <c r="G206" s="1">
        <f t="shared" si="13"/>
        <v>8097</v>
      </c>
      <c r="H206" s="101">
        <f t="shared" si="17"/>
        <v>22.292225201072387</v>
      </c>
      <c r="I206" s="38"/>
      <c r="J206" s="45">
        <v>1684147</v>
      </c>
      <c r="K206" s="1">
        <f t="shared" si="14"/>
        <v>6314</v>
      </c>
      <c r="L206" s="94">
        <f t="shared" si="18"/>
        <v>46.770370370370372</v>
      </c>
      <c r="M206" s="38"/>
      <c r="N206" s="45">
        <v>343736</v>
      </c>
      <c r="O206" s="8">
        <f t="shared" si="15"/>
        <v>904</v>
      </c>
      <c r="P206" s="9"/>
      <c r="Q206" s="42">
        <v>535834</v>
      </c>
      <c r="R206" s="44">
        <f t="shared" si="16"/>
        <v>197</v>
      </c>
      <c r="S206" s="358"/>
      <c r="T206" s="129"/>
      <c r="U206" s="9"/>
      <c r="V206" s="38"/>
      <c r="W206" s="45"/>
      <c r="X206" s="8"/>
      <c r="Y206" s="38"/>
      <c r="Z206" s="244"/>
    </row>
    <row r="207" spans="1:26">
      <c r="A207" s="150">
        <v>44736</v>
      </c>
      <c r="B207" s="154">
        <f t="shared" si="19"/>
        <v>44736</v>
      </c>
      <c r="C207" s="45">
        <v>917815</v>
      </c>
      <c r="D207" s="34">
        <f t="shared" si="12"/>
        <v>1522</v>
      </c>
      <c r="E207" s="38"/>
      <c r="F207" s="45">
        <v>3336066</v>
      </c>
      <c r="G207" s="1">
        <f t="shared" si="13"/>
        <v>8251</v>
      </c>
      <c r="H207" s="101">
        <f t="shared" si="17"/>
        <v>21.91152815013405</v>
      </c>
      <c r="I207" s="38"/>
      <c r="J207" s="45">
        <v>1690461</v>
      </c>
      <c r="K207" s="1">
        <f t="shared" si="14"/>
        <v>6284</v>
      </c>
      <c r="L207" s="94">
        <f t="shared" si="18"/>
        <v>46.548148148148151</v>
      </c>
      <c r="M207" s="38"/>
      <c r="N207" s="45">
        <v>344640</v>
      </c>
      <c r="O207" s="8">
        <f t="shared" si="15"/>
        <v>997</v>
      </c>
      <c r="P207" s="9"/>
      <c r="Q207" s="42">
        <v>536031</v>
      </c>
      <c r="R207" s="44">
        <f t="shared" si="16"/>
        <v>584</v>
      </c>
      <c r="S207" s="358"/>
      <c r="T207" s="129"/>
      <c r="U207" s="9"/>
      <c r="V207" s="38"/>
      <c r="W207" s="45"/>
      <c r="X207" s="8"/>
      <c r="Y207" s="38"/>
      <c r="Z207" s="244"/>
    </row>
    <row r="208" spans="1:26">
      <c r="A208" s="150">
        <v>44737</v>
      </c>
      <c r="B208" s="154">
        <f t="shared" si="19"/>
        <v>44737</v>
      </c>
      <c r="C208" s="45">
        <v>919337</v>
      </c>
      <c r="D208" s="34">
        <f t="shared" si="12"/>
        <v>1480</v>
      </c>
      <c r="E208" s="38"/>
      <c r="F208" s="45">
        <v>3344317</v>
      </c>
      <c r="G208" s="1">
        <f t="shared" si="13"/>
        <v>9634</v>
      </c>
      <c r="H208" s="101">
        <f t="shared" si="17"/>
        <v>25.506702412868634</v>
      </c>
      <c r="I208" s="38"/>
      <c r="J208" s="45">
        <v>1696745</v>
      </c>
      <c r="K208" s="1">
        <f t="shared" si="14"/>
        <v>492</v>
      </c>
      <c r="L208" s="94">
        <f t="shared" si="18"/>
        <v>3.6444444444444444</v>
      </c>
      <c r="M208" s="38"/>
      <c r="N208" s="45">
        <v>345637</v>
      </c>
      <c r="O208" s="8">
        <f t="shared" si="15"/>
        <v>946</v>
      </c>
      <c r="P208" s="9"/>
      <c r="Q208" s="42">
        <v>536615</v>
      </c>
      <c r="R208" s="44">
        <f t="shared" si="16"/>
        <v>0</v>
      </c>
      <c r="S208" s="358"/>
      <c r="T208" s="129"/>
      <c r="U208" s="9"/>
      <c r="V208" s="38"/>
      <c r="W208" s="45"/>
      <c r="X208" s="8"/>
      <c r="Y208" s="38"/>
      <c r="Z208" s="244"/>
    </row>
    <row r="209" spans="1:26">
      <c r="A209" s="150">
        <v>44738</v>
      </c>
      <c r="B209" s="154">
        <f t="shared" si="19"/>
        <v>44738</v>
      </c>
      <c r="C209" s="45">
        <v>920817</v>
      </c>
      <c r="D209" s="34">
        <f t="shared" si="12"/>
        <v>5580</v>
      </c>
      <c r="E209" s="38"/>
      <c r="F209" s="45">
        <v>3353951</v>
      </c>
      <c r="G209" s="1">
        <f t="shared" si="13"/>
        <v>7985</v>
      </c>
      <c r="H209" s="101">
        <f t="shared" si="17"/>
        <v>32.077747989276141</v>
      </c>
      <c r="I209" s="38"/>
      <c r="J209" s="45">
        <v>1697237</v>
      </c>
      <c r="K209" s="1">
        <f t="shared" ref="K209:K278" si="20">IF(J210&gt;0,J210-J209," ")</f>
        <v>0</v>
      </c>
      <c r="L209" s="94">
        <f t="shared" si="18"/>
        <v>0</v>
      </c>
      <c r="M209" s="38"/>
      <c r="N209" s="45">
        <v>346583</v>
      </c>
      <c r="O209" s="8">
        <f t="shared" si="15"/>
        <v>0</v>
      </c>
      <c r="P209" s="9"/>
      <c r="Q209" s="42">
        <v>536615</v>
      </c>
      <c r="R209" s="44">
        <f t="shared" si="16"/>
        <v>0</v>
      </c>
      <c r="S209" s="358"/>
      <c r="T209" s="129"/>
      <c r="U209" s="9"/>
      <c r="V209" s="38"/>
      <c r="W209" s="45"/>
      <c r="X209" s="8"/>
      <c r="Y209" s="38"/>
      <c r="Z209" s="244"/>
    </row>
    <row r="210" spans="1:26">
      <c r="A210" s="150">
        <v>44739</v>
      </c>
      <c r="B210" s="154">
        <f t="shared" si="19"/>
        <v>44739</v>
      </c>
      <c r="C210" s="45">
        <v>926397</v>
      </c>
      <c r="D210" s="34">
        <f t="shared" si="12"/>
        <v>1989</v>
      </c>
      <c r="E210" s="38"/>
      <c r="F210" s="45">
        <v>3361936</v>
      </c>
      <c r="G210" s="1">
        <f t="shared" si="13"/>
        <v>8356</v>
      </c>
      <c r="H210" s="101">
        <f t="shared" si="17"/>
        <v>23.445040214477213</v>
      </c>
      <c r="I210" s="38"/>
      <c r="J210" s="45">
        <v>1697237</v>
      </c>
      <c r="K210" s="1">
        <f t="shared" si="20"/>
        <v>8419</v>
      </c>
      <c r="L210" s="94">
        <f t="shared" si="18"/>
        <v>62.36296296296296</v>
      </c>
      <c r="M210" s="38"/>
      <c r="N210" s="45">
        <v>346583</v>
      </c>
      <c r="O210" s="8">
        <f t="shared" si="15"/>
        <v>893</v>
      </c>
      <c r="P210" s="9"/>
      <c r="Q210" s="42">
        <v>536615</v>
      </c>
      <c r="R210" s="44">
        <f t="shared" si="16"/>
        <v>183</v>
      </c>
      <c r="S210" s="358"/>
      <c r="T210" s="129"/>
      <c r="U210" s="9"/>
      <c r="V210" s="38"/>
      <c r="W210" s="45"/>
      <c r="X210" s="8"/>
      <c r="Y210" s="38"/>
      <c r="Z210" s="244"/>
    </row>
    <row r="211" spans="1:26">
      <c r="A211" s="150">
        <v>44740</v>
      </c>
      <c r="B211" s="154">
        <f t="shared" si="19"/>
        <v>44740</v>
      </c>
      <c r="C211" s="45">
        <v>928386</v>
      </c>
      <c r="D211" s="34">
        <f t="shared" si="12"/>
        <v>1771</v>
      </c>
      <c r="E211" s="38"/>
      <c r="F211" s="45">
        <v>3370292</v>
      </c>
      <c r="G211" s="1">
        <f t="shared" si="13"/>
        <v>9235</v>
      </c>
      <c r="H211" s="101">
        <f t="shared" si="17"/>
        <v>25.217158176943698</v>
      </c>
      <c r="I211" s="38"/>
      <c r="J211" s="45">
        <v>1705656</v>
      </c>
      <c r="K211" s="1">
        <f t="shared" si="20"/>
        <v>5513</v>
      </c>
      <c r="L211" s="94">
        <f t="shared" si="18"/>
        <v>40.837037037037035</v>
      </c>
      <c r="M211" s="38"/>
      <c r="N211" s="45">
        <v>347476</v>
      </c>
      <c r="O211" s="8">
        <f t="shared" si="15"/>
        <v>894</v>
      </c>
      <c r="P211" s="9"/>
      <c r="Q211" s="42">
        <v>536798</v>
      </c>
      <c r="R211" s="44">
        <f t="shared" si="16"/>
        <v>209</v>
      </c>
      <c r="S211" s="358"/>
      <c r="T211" s="129"/>
      <c r="U211" s="9"/>
      <c r="V211" s="38"/>
      <c r="W211" s="45"/>
      <c r="X211" s="8"/>
      <c r="Y211" s="38"/>
      <c r="Z211" s="244"/>
    </row>
    <row r="212" spans="1:26">
      <c r="A212" s="150">
        <v>44741</v>
      </c>
      <c r="B212" s="154">
        <f t="shared" si="19"/>
        <v>44741</v>
      </c>
      <c r="C212" s="45">
        <v>930157</v>
      </c>
      <c r="D212" s="34">
        <f t="shared" si="12"/>
        <v>2018</v>
      </c>
      <c r="E212" s="38"/>
      <c r="F212" s="45">
        <v>3379527</v>
      </c>
      <c r="G212" s="1">
        <f t="shared" si="13"/>
        <v>9275</v>
      </c>
      <c r="H212" s="101">
        <f t="shared" si="17"/>
        <v>25.986595174262735</v>
      </c>
      <c r="I212" s="38"/>
      <c r="J212" s="45">
        <v>1711169</v>
      </c>
      <c r="K212" s="1">
        <f t="shared" si="20"/>
        <v>6083</v>
      </c>
      <c r="L212" s="94">
        <f t="shared" si="18"/>
        <v>45.059259259259257</v>
      </c>
      <c r="M212" s="38"/>
      <c r="N212" s="45">
        <v>348370</v>
      </c>
      <c r="O212" s="8">
        <f t="shared" si="15"/>
        <v>843</v>
      </c>
      <c r="P212" s="9"/>
      <c r="Q212" s="42">
        <v>537007</v>
      </c>
      <c r="R212" s="44">
        <f t="shared" si="16"/>
        <v>180</v>
      </c>
      <c r="S212" s="358"/>
      <c r="T212" s="129"/>
      <c r="U212" s="9"/>
      <c r="V212" s="38"/>
      <c r="W212" s="45"/>
      <c r="X212" s="8"/>
      <c r="Y212" s="38"/>
      <c r="Z212" s="244"/>
    </row>
    <row r="213" spans="1:26">
      <c r="A213" s="150">
        <v>44742</v>
      </c>
      <c r="B213" s="154">
        <f t="shared" si="19"/>
        <v>44742</v>
      </c>
      <c r="C213" s="45">
        <v>932175</v>
      </c>
      <c r="D213" s="34">
        <f t="shared" si="12"/>
        <v>1503</v>
      </c>
      <c r="E213" s="38"/>
      <c r="F213" s="45">
        <v>3388802</v>
      </c>
      <c r="G213" s="1">
        <f t="shared" si="13"/>
        <v>8914</v>
      </c>
      <c r="H213" s="101">
        <f t="shared" si="17"/>
        <v>23.638069705093834</v>
      </c>
      <c r="I213" s="38"/>
      <c r="J213" s="45">
        <v>1717252</v>
      </c>
      <c r="K213" s="1">
        <f t="shared" si="20"/>
        <v>6030</v>
      </c>
      <c r="L213" s="94">
        <f t="shared" si="18"/>
        <v>44.666666666666664</v>
      </c>
      <c r="M213" s="38"/>
      <c r="N213" s="45">
        <v>349213</v>
      </c>
      <c r="O213" s="8">
        <f t="shared" si="15"/>
        <v>881</v>
      </c>
      <c r="P213" s="9"/>
      <c r="Q213" s="42">
        <v>537187</v>
      </c>
      <c r="R213" s="44">
        <f t="shared" si="16"/>
        <v>269</v>
      </c>
      <c r="S213" s="358"/>
      <c r="T213" s="129"/>
      <c r="U213" s="9"/>
      <c r="V213" s="38"/>
      <c r="W213" s="45"/>
      <c r="X213" s="8"/>
      <c r="Y213" s="38"/>
      <c r="Z213" s="244"/>
    </row>
    <row r="214" spans="1:26">
      <c r="A214" s="150">
        <v>44743</v>
      </c>
      <c r="B214" s="154">
        <f t="shared" si="19"/>
        <v>44743</v>
      </c>
      <c r="C214" s="45">
        <v>933678</v>
      </c>
      <c r="D214" s="34">
        <f t="shared" si="12"/>
        <v>10389</v>
      </c>
      <c r="E214" s="38"/>
      <c r="F214" s="45">
        <v>3397716</v>
      </c>
      <c r="G214" s="1">
        <f t="shared" si="13"/>
        <v>13280</v>
      </c>
      <c r="H214" s="101">
        <f t="shared" si="17"/>
        <v>59.166219839142094</v>
      </c>
      <c r="I214" s="38"/>
      <c r="J214" s="45">
        <v>1723282</v>
      </c>
      <c r="K214" s="1">
        <f t="shared" si="20"/>
        <v>6648</v>
      </c>
      <c r="L214" s="94">
        <f t="shared" si="18"/>
        <v>49.244444444444447</v>
      </c>
      <c r="M214" s="38"/>
      <c r="N214" s="45">
        <v>350094</v>
      </c>
      <c r="O214" s="8">
        <f t="shared" si="15"/>
        <v>815</v>
      </c>
      <c r="P214" s="9"/>
      <c r="Q214" s="42">
        <v>537456</v>
      </c>
      <c r="R214" s="44">
        <f t="shared" si="16"/>
        <v>762</v>
      </c>
      <c r="S214" s="358"/>
      <c r="T214" s="129"/>
      <c r="U214" s="9"/>
      <c r="V214" s="38"/>
      <c r="W214" s="45"/>
      <c r="X214" s="8"/>
      <c r="Y214" s="38"/>
      <c r="Z214" s="246" t="s">
        <v>59</v>
      </c>
    </row>
    <row r="215" spans="1:26">
      <c r="A215" s="150">
        <v>44744</v>
      </c>
      <c r="B215" s="154">
        <f t="shared" si="19"/>
        <v>44744</v>
      </c>
      <c r="C215" s="45">
        <v>944067</v>
      </c>
      <c r="D215" s="34">
        <f t="shared" si="12"/>
        <v>133</v>
      </c>
      <c r="E215" s="38"/>
      <c r="F215" s="45">
        <v>3410996</v>
      </c>
      <c r="G215" s="1">
        <f t="shared" si="13"/>
        <v>14060</v>
      </c>
      <c r="H215" s="101">
        <f t="shared" si="17"/>
        <v>33.761394101876675</v>
      </c>
      <c r="I215" s="38"/>
      <c r="J215" s="45">
        <v>1729930</v>
      </c>
      <c r="K215" s="1">
        <f t="shared" si="20"/>
        <v>3881</v>
      </c>
      <c r="L215" s="94">
        <f t="shared" si="18"/>
        <v>28.748148148148147</v>
      </c>
      <c r="M215" s="38"/>
      <c r="N215" s="45">
        <v>350909</v>
      </c>
      <c r="O215" s="8">
        <f t="shared" si="15"/>
        <v>830</v>
      </c>
      <c r="P215" s="9"/>
      <c r="Q215" s="42">
        <v>538218</v>
      </c>
      <c r="R215" s="44">
        <f t="shared" si="16"/>
        <v>0</v>
      </c>
      <c r="S215" s="358"/>
      <c r="T215" s="129"/>
      <c r="U215" s="9"/>
      <c r="V215" s="38"/>
      <c r="W215" s="45"/>
      <c r="X215" s="8"/>
      <c r="Y215" s="38"/>
      <c r="Z215" s="381" t="s">
        <v>59</v>
      </c>
    </row>
    <row r="216" spans="1:26">
      <c r="A216" s="150">
        <v>44745</v>
      </c>
      <c r="B216" s="154">
        <f t="shared" si="19"/>
        <v>44745</v>
      </c>
      <c r="C216" s="45">
        <v>944200</v>
      </c>
      <c r="D216" s="34">
        <f t="shared" si="12"/>
        <v>0</v>
      </c>
      <c r="E216" s="38"/>
      <c r="F216" s="45">
        <v>3425056</v>
      </c>
      <c r="G216" s="1">
        <f t="shared" si="13"/>
        <v>0</v>
      </c>
      <c r="H216" s="101">
        <f t="shared" si="17"/>
        <v>-4.2895442359249332</v>
      </c>
      <c r="I216" s="38"/>
      <c r="J216" s="45">
        <v>1733811</v>
      </c>
      <c r="K216" s="1">
        <f t="shared" si="20"/>
        <v>0</v>
      </c>
      <c r="L216" s="94">
        <f t="shared" si="18"/>
        <v>0</v>
      </c>
      <c r="M216" s="38"/>
      <c r="N216" s="45">
        <v>351739</v>
      </c>
      <c r="O216" s="8">
        <f t="shared" si="15"/>
        <v>0</v>
      </c>
      <c r="P216" s="9"/>
      <c r="Q216" s="42">
        <v>538218</v>
      </c>
      <c r="R216" s="44">
        <f t="shared" si="16"/>
        <v>0</v>
      </c>
      <c r="S216" s="358"/>
      <c r="T216" s="129"/>
      <c r="U216" s="9"/>
      <c r="V216" s="38"/>
      <c r="W216" s="45"/>
      <c r="X216" s="8"/>
      <c r="Y216" s="38"/>
      <c r="Z216" s="382"/>
    </row>
    <row r="217" spans="1:26">
      <c r="A217" s="150">
        <v>44746</v>
      </c>
      <c r="B217" s="154">
        <f t="shared" si="19"/>
        <v>44746</v>
      </c>
      <c r="C217" s="45">
        <v>944200</v>
      </c>
      <c r="D217" s="34">
        <f t="shared" si="12"/>
        <v>9</v>
      </c>
      <c r="E217" s="38"/>
      <c r="F217" s="45">
        <v>3425056</v>
      </c>
      <c r="G217" s="1">
        <f t="shared" si="13"/>
        <v>8515</v>
      </c>
      <c r="H217" s="101">
        <f t="shared" si="17"/>
        <v>18.563002680965148</v>
      </c>
      <c r="I217" s="38"/>
      <c r="J217" s="45">
        <v>1733811</v>
      </c>
      <c r="K217" s="1">
        <f t="shared" si="20"/>
        <v>5699</v>
      </c>
      <c r="L217" s="94">
        <f t="shared" si="18"/>
        <v>42.214814814814815</v>
      </c>
      <c r="M217" s="38"/>
      <c r="N217" s="45">
        <v>351739</v>
      </c>
      <c r="O217" s="8">
        <f t="shared" si="15"/>
        <v>702</v>
      </c>
      <c r="P217" s="9"/>
      <c r="Q217" s="42">
        <v>538218</v>
      </c>
      <c r="R217" s="44">
        <f t="shared" si="16"/>
        <v>0</v>
      </c>
      <c r="S217" s="358"/>
      <c r="T217" s="129"/>
      <c r="U217" s="9"/>
      <c r="V217" s="38"/>
      <c r="W217" s="45"/>
      <c r="X217" s="8"/>
      <c r="Y217" s="38"/>
      <c r="Z217" s="383"/>
    </row>
    <row r="218" spans="1:26">
      <c r="A218" s="150">
        <v>44747</v>
      </c>
      <c r="B218" s="154">
        <f t="shared" si="19"/>
        <v>44747</v>
      </c>
      <c r="C218" s="45">
        <v>944209</v>
      </c>
      <c r="D218" s="34">
        <f t="shared" si="12"/>
        <v>10</v>
      </c>
      <c r="E218" s="38"/>
      <c r="F218" s="45">
        <v>3433571</v>
      </c>
      <c r="G218" s="1">
        <f t="shared" si="13"/>
        <v>8871</v>
      </c>
      <c r="H218" s="101">
        <f t="shared" si="17"/>
        <v>19.520107238605899</v>
      </c>
      <c r="I218" s="38"/>
      <c r="J218" s="45">
        <v>1739510</v>
      </c>
      <c r="K218" s="1">
        <f t="shared" si="20"/>
        <v>6199</v>
      </c>
      <c r="L218" s="94">
        <f t="shared" si="18"/>
        <v>45.918518518518518</v>
      </c>
      <c r="M218" s="38"/>
      <c r="N218" s="45">
        <v>352441</v>
      </c>
      <c r="O218" s="8">
        <f t="shared" si="15"/>
        <v>788</v>
      </c>
      <c r="P218" s="9"/>
      <c r="Q218" s="42">
        <v>538218</v>
      </c>
      <c r="R218" s="44">
        <f t="shared" si="16"/>
        <v>206</v>
      </c>
      <c r="S218" s="358"/>
      <c r="T218" s="129"/>
      <c r="U218" s="9"/>
      <c r="V218" s="38"/>
      <c r="W218" s="45"/>
      <c r="X218" s="8"/>
      <c r="Y218" s="38"/>
      <c r="Z218" s="244"/>
    </row>
    <row r="219" spans="1:26">
      <c r="A219" s="150">
        <v>44748</v>
      </c>
      <c r="B219" s="154">
        <f t="shared" si="19"/>
        <v>44748</v>
      </c>
      <c r="C219" s="45">
        <v>944219</v>
      </c>
      <c r="D219" s="34">
        <f t="shared" si="12"/>
        <v>8</v>
      </c>
      <c r="E219" s="38"/>
      <c r="F219" s="45">
        <v>3442442</v>
      </c>
      <c r="G219" s="1">
        <f t="shared" si="13"/>
        <v>8907</v>
      </c>
      <c r="H219" s="101">
        <f t="shared" si="17"/>
        <v>19.611260053619304</v>
      </c>
      <c r="I219" s="38"/>
      <c r="J219" s="45">
        <v>1745709</v>
      </c>
      <c r="K219" s="1">
        <f t="shared" si="20"/>
        <v>6305</v>
      </c>
      <c r="L219" s="94">
        <f t="shared" si="18"/>
        <v>46.703703703703702</v>
      </c>
      <c r="M219" s="38"/>
      <c r="N219" s="45">
        <v>353229</v>
      </c>
      <c r="O219" s="8">
        <f t="shared" si="15"/>
        <v>932</v>
      </c>
      <c r="P219" s="9"/>
      <c r="Q219" s="42">
        <v>538424</v>
      </c>
      <c r="R219" s="44">
        <f t="shared" si="16"/>
        <v>190</v>
      </c>
      <c r="S219" s="358"/>
      <c r="T219" s="129"/>
      <c r="U219" s="9"/>
      <c r="V219" s="38"/>
      <c r="W219" s="45"/>
      <c r="X219" s="8"/>
      <c r="Y219" s="38"/>
      <c r="Z219" s="244"/>
    </row>
    <row r="220" spans="1:26">
      <c r="A220" s="150">
        <v>44749</v>
      </c>
      <c r="B220" s="154">
        <f t="shared" si="19"/>
        <v>44749</v>
      </c>
      <c r="C220" s="45">
        <v>944227</v>
      </c>
      <c r="D220" s="34">
        <f t="shared" si="12"/>
        <v>7791</v>
      </c>
      <c r="E220" s="38"/>
      <c r="F220" s="45">
        <v>3451349</v>
      </c>
      <c r="G220" s="1">
        <f t="shared" si="13"/>
        <v>10032</v>
      </c>
      <c r="H220" s="101">
        <f t="shared" si="17"/>
        <v>43.493297587131366</v>
      </c>
      <c r="I220" s="38"/>
      <c r="J220" s="45">
        <v>1752014</v>
      </c>
      <c r="K220" s="1">
        <f t="shared" si="20"/>
        <v>6302</v>
      </c>
      <c r="L220" s="94">
        <f t="shared" si="18"/>
        <v>46.681481481481484</v>
      </c>
      <c r="M220" s="38"/>
      <c r="N220" s="45">
        <v>354161</v>
      </c>
      <c r="O220" s="8">
        <f t="shared" si="15"/>
        <v>726</v>
      </c>
      <c r="P220" s="365" t="s">
        <v>78</v>
      </c>
      <c r="Q220" s="42">
        <v>538614</v>
      </c>
      <c r="R220" s="44">
        <f t="shared" si="16"/>
        <v>213</v>
      </c>
      <c r="S220" s="358"/>
      <c r="T220" s="129"/>
      <c r="U220" s="9"/>
      <c r="V220" s="38"/>
      <c r="W220" s="45"/>
      <c r="X220" s="8"/>
      <c r="Y220" s="38"/>
      <c r="Z220" s="244"/>
    </row>
    <row r="221" spans="1:26">
      <c r="A221" s="150">
        <v>44750</v>
      </c>
      <c r="B221" s="154">
        <f t="shared" si="19"/>
        <v>44750</v>
      </c>
      <c r="C221" s="45">
        <v>952018</v>
      </c>
      <c r="D221" s="34">
        <f t="shared" si="12"/>
        <v>11774</v>
      </c>
      <c r="E221" s="38"/>
      <c r="F221" s="45">
        <v>3461381</v>
      </c>
      <c r="G221" s="1">
        <f t="shared" si="13"/>
        <v>8984</v>
      </c>
      <c r="H221" s="101">
        <f t="shared" si="17"/>
        <v>51.361930294906166</v>
      </c>
      <c r="I221" s="38"/>
      <c r="J221" s="45">
        <v>1758316</v>
      </c>
      <c r="K221" s="1">
        <f t="shared" si="20"/>
        <v>6951</v>
      </c>
      <c r="L221" s="94">
        <f t="shared" si="18"/>
        <v>51.488888888888887</v>
      </c>
      <c r="M221" s="38"/>
      <c r="N221" s="46">
        <v>354887</v>
      </c>
      <c r="O221" s="12">
        <f t="shared" si="15"/>
        <v>1267</v>
      </c>
      <c r="P221" s="166"/>
      <c r="Q221" s="42">
        <v>538827</v>
      </c>
      <c r="R221" s="44">
        <f t="shared" si="16"/>
        <v>372</v>
      </c>
      <c r="S221" s="358"/>
      <c r="T221" s="129"/>
      <c r="U221" s="9"/>
      <c r="V221" s="38"/>
      <c r="W221" s="45"/>
      <c r="X221" s="8"/>
      <c r="Y221" s="38"/>
      <c r="Z221" s="244"/>
    </row>
    <row r="222" spans="1:26">
      <c r="A222" s="150">
        <v>44751</v>
      </c>
      <c r="B222" s="154">
        <f t="shared" si="19"/>
        <v>44751</v>
      </c>
      <c r="C222" s="45">
        <v>963792</v>
      </c>
      <c r="D222" s="34">
        <f t="shared" si="12"/>
        <v>843</v>
      </c>
      <c r="E222" s="38"/>
      <c r="F222" s="45">
        <v>3470365</v>
      </c>
      <c r="G222" s="1">
        <f t="shared" si="13"/>
        <v>7452</v>
      </c>
      <c r="H222" s="101">
        <f t="shared" si="17"/>
        <v>17.949061662198392</v>
      </c>
      <c r="I222" s="38"/>
      <c r="J222" s="45">
        <v>1765267</v>
      </c>
      <c r="K222" s="1">
        <f t="shared" si="20"/>
        <v>3795</v>
      </c>
      <c r="L222" s="94">
        <f t="shared" si="18"/>
        <v>28.111111111111111</v>
      </c>
      <c r="M222" s="38"/>
      <c r="N222" s="46">
        <v>356154</v>
      </c>
      <c r="O222" s="12">
        <f t="shared" si="15"/>
        <v>0</v>
      </c>
      <c r="P222" s="166"/>
      <c r="Q222" s="42">
        <v>539199</v>
      </c>
      <c r="R222" s="44">
        <f t="shared" si="16"/>
        <v>186</v>
      </c>
      <c r="S222" s="358"/>
      <c r="T222" s="129"/>
      <c r="U222" s="9"/>
      <c r="V222" s="38"/>
      <c r="W222" s="45"/>
      <c r="X222" s="8"/>
      <c r="Y222" s="38"/>
      <c r="Z222" s="244"/>
    </row>
    <row r="223" spans="1:26">
      <c r="A223" s="150">
        <v>44752</v>
      </c>
      <c r="B223" s="154">
        <f t="shared" si="19"/>
        <v>44752</v>
      </c>
      <c r="C223" s="45">
        <v>964635</v>
      </c>
      <c r="D223" s="34">
        <f t="shared" si="12"/>
        <v>0</v>
      </c>
      <c r="E223" s="38"/>
      <c r="F223" s="45">
        <v>3477817</v>
      </c>
      <c r="G223" s="1">
        <f t="shared" si="13"/>
        <v>2304</v>
      </c>
      <c r="H223" s="101">
        <f t="shared" si="17"/>
        <v>1.8873994638069704</v>
      </c>
      <c r="I223" s="38"/>
      <c r="J223" s="45">
        <v>1769062</v>
      </c>
      <c r="K223" s="1">
        <f t="shared" si="20"/>
        <v>0</v>
      </c>
      <c r="L223" s="94">
        <f t="shared" si="18"/>
        <v>0</v>
      </c>
      <c r="M223" s="38"/>
      <c r="N223" s="46">
        <v>356154</v>
      </c>
      <c r="O223" s="12">
        <f t="shared" si="15"/>
        <v>0</v>
      </c>
      <c r="P223" s="166"/>
      <c r="Q223" s="42">
        <v>539385</v>
      </c>
      <c r="R223" s="44">
        <f t="shared" si="16"/>
        <v>0</v>
      </c>
      <c r="S223" s="358"/>
      <c r="T223" s="129"/>
      <c r="U223" s="9"/>
      <c r="V223" s="38"/>
      <c r="W223" s="45"/>
      <c r="X223" s="8"/>
      <c r="Y223" s="38"/>
      <c r="Z223" s="244"/>
    </row>
    <row r="224" spans="1:26">
      <c r="A224" s="150">
        <v>44753</v>
      </c>
      <c r="B224" s="154">
        <f t="shared" si="19"/>
        <v>44753</v>
      </c>
      <c r="C224" s="45">
        <v>964635</v>
      </c>
      <c r="D224" s="34">
        <f t="shared" si="12"/>
        <v>979</v>
      </c>
      <c r="E224" s="38"/>
      <c r="F224" s="45">
        <v>3480121</v>
      </c>
      <c r="G224" s="1">
        <f t="shared" si="13"/>
        <v>7534</v>
      </c>
      <c r="H224" s="101">
        <f t="shared" si="17"/>
        <v>18.533512064343164</v>
      </c>
      <c r="I224" s="38"/>
      <c r="J224" s="45">
        <v>1769062</v>
      </c>
      <c r="K224" s="1">
        <f t="shared" si="20"/>
        <v>5620</v>
      </c>
      <c r="L224" s="94">
        <f t="shared" si="18"/>
        <v>41.629629629629626</v>
      </c>
      <c r="M224" s="38"/>
      <c r="N224" s="46">
        <v>356154</v>
      </c>
      <c r="O224" s="12">
        <f t="shared" si="15"/>
        <v>772</v>
      </c>
      <c r="P224" s="166"/>
      <c r="Q224" s="42">
        <v>539385</v>
      </c>
      <c r="R224" s="44">
        <f t="shared" si="16"/>
        <v>217</v>
      </c>
      <c r="S224" s="358"/>
      <c r="T224" s="129"/>
      <c r="U224" s="9"/>
      <c r="V224" s="38"/>
      <c r="W224" s="45"/>
      <c r="X224" s="8"/>
      <c r="Y224" s="38"/>
      <c r="Z224" s="244"/>
    </row>
    <row r="225" spans="1:26">
      <c r="A225" s="150">
        <v>44754</v>
      </c>
      <c r="B225" s="154">
        <f t="shared" si="19"/>
        <v>44754</v>
      </c>
      <c r="C225" s="45">
        <v>965614</v>
      </c>
      <c r="D225" s="34">
        <f t="shared" si="12"/>
        <v>1260</v>
      </c>
      <c r="E225" s="40" t="s">
        <v>78</v>
      </c>
      <c r="F225" s="45">
        <v>3487655</v>
      </c>
      <c r="G225" s="1">
        <f t="shared" si="13"/>
        <v>8131</v>
      </c>
      <c r="H225" s="102">
        <f t="shared" si="17"/>
        <v>20.887399463806972</v>
      </c>
      <c r="I225" s="40" t="s">
        <v>78</v>
      </c>
      <c r="J225" s="45">
        <v>1774682</v>
      </c>
      <c r="K225" s="1">
        <f t="shared" si="20"/>
        <v>6180</v>
      </c>
      <c r="L225" s="95">
        <f t="shared" si="18"/>
        <v>45.777777777777779</v>
      </c>
      <c r="M225" s="40" t="s">
        <v>78</v>
      </c>
      <c r="N225" s="46">
        <v>356926</v>
      </c>
      <c r="O225" s="12">
        <f t="shared" si="15"/>
        <v>780</v>
      </c>
      <c r="P225" s="166"/>
      <c r="Q225" s="42">
        <v>539602</v>
      </c>
      <c r="R225" s="44">
        <f t="shared" si="16"/>
        <v>185</v>
      </c>
      <c r="S225" s="358"/>
      <c r="T225" s="129"/>
      <c r="U225" s="9"/>
      <c r="V225" s="38"/>
      <c r="W225" s="45"/>
      <c r="X225" s="8"/>
      <c r="Y225" s="38"/>
      <c r="Z225" s="244"/>
    </row>
    <row r="226" spans="1:26">
      <c r="A226" s="150">
        <v>44755</v>
      </c>
      <c r="B226" s="154">
        <f t="shared" si="19"/>
        <v>44755</v>
      </c>
      <c r="C226" s="46">
        <v>966874</v>
      </c>
      <c r="D226" s="35">
        <f t="shared" si="12"/>
        <v>1030</v>
      </c>
      <c r="E226" s="39"/>
      <c r="F226" s="46">
        <v>3495786</v>
      </c>
      <c r="G226" s="2">
        <f t="shared" si="13"/>
        <v>8412</v>
      </c>
      <c r="H226" s="100">
        <f t="shared" si="17"/>
        <v>21.024128686327078</v>
      </c>
      <c r="I226" s="39"/>
      <c r="J226" s="46">
        <v>1780862</v>
      </c>
      <c r="K226" s="2">
        <f t="shared" si="20"/>
        <v>6297</v>
      </c>
      <c r="L226" s="93">
        <f t="shared" si="18"/>
        <v>46.644444444444446</v>
      </c>
      <c r="M226" s="39"/>
      <c r="N226" s="46">
        <v>357706</v>
      </c>
      <c r="O226" s="12">
        <f t="shared" si="15"/>
        <v>767</v>
      </c>
      <c r="P226" s="166"/>
      <c r="Q226" s="42">
        <v>539787</v>
      </c>
      <c r="R226" s="44">
        <f t="shared" si="16"/>
        <v>179</v>
      </c>
      <c r="S226" s="358"/>
      <c r="T226" s="129"/>
      <c r="U226" s="9"/>
      <c r="V226" s="38"/>
      <c r="W226" s="45"/>
      <c r="X226" s="8"/>
      <c r="Y226" s="38"/>
      <c r="Z226" s="244"/>
    </row>
    <row r="227" spans="1:26">
      <c r="A227" s="150">
        <v>44756</v>
      </c>
      <c r="B227" s="154">
        <f t="shared" si="19"/>
        <v>44756</v>
      </c>
      <c r="C227" s="46">
        <v>967904</v>
      </c>
      <c r="D227" s="35">
        <f t="shared" si="12"/>
        <v>1569</v>
      </c>
      <c r="E227" s="39"/>
      <c r="F227" s="46">
        <v>3504198</v>
      </c>
      <c r="G227" s="2">
        <f t="shared" si="13"/>
        <v>8695</v>
      </c>
      <c r="H227" s="100">
        <f t="shared" ref="H227:H281" si="21">(G227+D227-1600)/373</f>
        <v>23.227882037533512</v>
      </c>
      <c r="I227" s="39"/>
      <c r="J227" s="46">
        <v>1787159</v>
      </c>
      <c r="K227" s="2">
        <f t="shared" si="20"/>
        <v>6507</v>
      </c>
      <c r="L227" s="93">
        <f t="shared" ref="L227:L291" si="22">K227/135</f>
        <v>48.2</v>
      </c>
      <c r="M227" s="39"/>
      <c r="N227" s="46">
        <v>358473</v>
      </c>
      <c r="O227" s="12">
        <f t="shared" si="15"/>
        <v>872</v>
      </c>
      <c r="P227" s="166"/>
      <c r="Q227" s="42">
        <v>539966</v>
      </c>
      <c r="R227" s="44">
        <f t="shared" si="16"/>
        <v>206</v>
      </c>
      <c r="S227" s="358"/>
      <c r="T227" s="129"/>
      <c r="U227" s="9"/>
      <c r="V227" s="38"/>
      <c r="W227" s="45"/>
      <c r="X227" s="8"/>
      <c r="Y227" s="38"/>
      <c r="Z227" s="244"/>
    </row>
    <row r="228" spans="1:26">
      <c r="A228" s="150">
        <v>44757</v>
      </c>
      <c r="B228" s="154">
        <f t="shared" si="19"/>
        <v>44757</v>
      </c>
      <c r="C228" s="46">
        <v>969473</v>
      </c>
      <c r="D228" s="35">
        <f t="shared" si="12"/>
        <v>1452</v>
      </c>
      <c r="E228" s="39"/>
      <c r="F228" s="46">
        <v>3512893</v>
      </c>
      <c r="G228" s="2">
        <f t="shared" si="13"/>
        <v>8756</v>
      </c>
      <c r="H228" s="100">
        <f t="shared" si="21"/>
        <v>23.077747989276141</v>
      </c>
      <c r="I228" s="39"/>
      <c r="J228" s="46">
        <v>1793666</v>
      </c>
      <c r="K228" s="2">
        <f t="shared" si="20"/>
        <v>9769</v>
      </c>
      <c r="L228" s="93">
        <f t="shared" si="22"/>
        <v>72.362962962962968</v>
      </c>
      <c r="M228" s="39"/>
      <c r="N228" s="46">
        <v>359345</v>
      </c>
      <c r="O228" s="12">
        <f t="shared" si="15"/>
        <v>709</v>
      </c>
      <c r="P228" s="166"/>
      <c r="Q228" s="42">
        <v>540172</v>
      </c>
      <c r="R228" s="44">
        <f t="shared" si="16"/>
        <v>192</v>
      </c>
      <c r="S228" s="358"/>
      <c r="T228" s="129"/>
      <c r="U228" s="9"/>
      <c r="V228" s="38"/>
      <c r="W228" s="45"/>
      <c r="X228" s="8"/>
      <c r="Y228" s="38"/>
      <c r="Z228" s="244"/>
    </row>
    <row r="229" spans="1:26">
      <c r="A229" s="150">
        <v>44758</v>
      </c>
      <c r="B229" s="154">
        <f t="shared" si="19"/>
        <v>44758</v>
      </c>
      <c r="C229" s="46">
        <v>970925</v>
      </c>
      <c r="D229" s="35">
        <f t="shared" si="12"/>
        <v>2059</v>
      </c>
      <c r="E229" s="39"/>
      <c r="F229" s="46">
        <v>3521649</v>
      </c>
      <c r="G229" s="2">
        <f t="shared" si="13"/>
        <v>10624</v>
      </c>
      <c r="H229" s="100">
        <f t="shared" si="21"/>
        <v>29.713136729222519</v>
      </c>
      <c r="I229" s="39"/>
      <c r="J229" s="46">
        <v>1803435</v>
      </c>
      <c r="K229" s="2">
        <f t="shared" si="20"/>
        <v>0</v>
      </c>
      <c r="L229" s="93">
        <f t="shared" si="22"/>
        <v>0</v>
      </c>
      <c r="M229" s="39"/>
      <c r="N229" s="46">
        <v>360054</v>
      </c>
      <c r="O229" s="12">
        <f t="shared" si="15"/>
        <v>995</v>
      </c>
      <c r="P229" s="166"/>
      <c r="Q229" s="42">
        <v>540364</v>
      </c>
      <c r="R229" s="44">
        <f t="shared" si="16"/>
        <v>353</v>
      </c>
      <c r="S229" s="358"/>
      <c r="T229" s="129"/>
      <c r="U229" s="9"/>
      <c r="V229" s="38"/>
      <c r="W229" s="45"/>
      <c r="X229" s="8"/>
      <c r="Y229" s="38"/>
      <c r="Z229" s="244"/>
    </row>
    <row r="230" spans="1:26">
      <c r="A230" s="150">
        <v>44759</v>
      </c>
      <c r="B230" s="154">
        <f t="shared" si="19"/>
        <v>44759</v>
      </c>
      <c r="C230" s="46">
        <v>972984</v>
      </c>
      <c r="D230" s="35">
        <f t="shared" si="12"/>
        <v>509</v>
      </c>
      <c r="E230" s="39"/>
      <c r="F230" s="46">
        <v>3532273</v>
      </c>
      <c r="G230" s="2">
        <f t="shared" si="13"/>
        <v>6416</v>
      </c>
      <c r="H230" s="100">
        <f t="shared" si="21"/>
        <v>14.276139410187668</v>
      </c>
      <c r="I230" s="39"/>
      <c r="J230" s="46">
        <v>1803435</v>
      </c>
      <c r="K230" s="2">
        <f t="shared" si="20"/>
        <v>0</v>
      </c>
      <c r="L230" s="93">
        <f t="shared" si="22"/>
        <v>0</v>
      </c>
      <c r="M230" s="39"/>
      <c r="N230" s="46">
        <v>361049</v>
      </c>
      <c r="O230" s="12">
        <f t="shared" si="15"/>
        <v>0</v>
      </c>
      <c r="P230" s="166"/>
      <c r="Q230" s="42">
        <v>540717</v>
      </c>
      <c r="R230" s="44">
        <f t="shared" si="16"/>
        <v>0</v>
      </c>
      <c r="S230" s="358"/>
      <c r="T230" s="129"/>
      <c r="U230" s="9"/>
      <c r="V230" s="38"/>
      <c r="W230" s="45"/>
      <c r="X230" s="8"/>
      <c r="Y230" s="38"/>
      <c r="Z230" s="244"/>
    </row>
    <row r="231" spans="1:26">
      <c r="A231" s="150">
        <v>44760</v>
      </c>
      <c r="B231" s="154">
        <f t="shared" si="19"/>
        <v>44760</v>
      </c>
      <c r="C231" s="46">
        <v>973493</v>
      </c>
      <c r="D231" s="35">
        <f t="shared" si="12"/>
        <v>1400</v>
      </c>
      <c r="E231" s="39"/>
      <c r="F231" s="46">
        <v>3538689</v>
      </c>
      <c r="G231" s="2">
        <f t="shared" si="13"/>
        <v>8134</v>
      </c>
      <c r="H231" s="100">
        <f t="shared" si="21"/>
        <v>21.270777479892761</v>
      </c>
      <c r="I231" s="39"/>
      <c r="J231" s="46">
        <v>1803435</v>
      </c>
      <c r="K231" s="2">
        <f t="shared" si="20"/>
        <v>5456</v>
      </c>
      <c r="L231" s="93">
        <f t="shared" si="22"/>
        <v>40.414814814814818</v>
      </c>
      <c r="M231" s="39"/>
      <c r="N231" s="46">
        <v>361049</v>
      </c>
      <c r="O231" s="12">
        <f t="shared" si="15"/>
        <v>867</v>
      </c>
      <c r="P231" s="166"/>
      <c r="Q231" s="42">
        <v>540717</v>
      </c>
      <c r="R231" s="44">
        <f t="shared" si="16"/>
        <v>188</v>
      </c>
      <c r="S231" s="358"/>
      <c r="T231" s="129"/>
      <c r="U231" s="9"/>
      <c r="V231" s="38"/>
      <c r="W231" s="45"/>
      <c r="X231" s="8"/>
      <c r="Y231" s="38"/>
      <c r="Z231" s="244"/>
    </row>
    <row r="232" spans="1:26">
      <c r="A232" s="150">
        <v>44761</v>
      </c>
      <c r="B232" s="154">
        <f t="shared" si="19"/>
        <v>44761</v>
      </c>
      <c r="C232" s="46">
        <v>974893</v>
      </c>
      <c r="D232" s="35">
        <f t="shared" si="12"/>
        <v>1129</v>
      </c>
      <c r="E232" s="39"/>
      <c r="F232" s="46">
        <v>3546823</v>
      </c>
      <c r="G232" s="2">
        <f t="shared" si="13"/>
        <v>8418</v>
      </c>
      <c r="H232" s="100">
        <f t="shared" si="21"/>
        <v>21.305630026809652</v>
      </c>
      <c r="I232" s="39"/>
      <c r="J232" s="46">
        <v>1808891</v>
      </c>
      <c r="K232" s="2">
        <f t="shared" si="20"/>
        <v>6414</v>
      </c>
      <c r="L232" s="93">
        <f t="shared" si="22"/>
        <v>47.511111111111113</v>
      </c>
      <c r="M232" s="39"/>
      <c r="N232" s="46">
        <v>361916</v>
      </c>
      <c r="O232" s="12">
        <f t="shared" si="15"/>
        <v>1033</v>
      </c>
      <c r="P232" s="166"/>
      <c r="Q232" s="42">
        <v>540905</v>
      </c>
      <c r="R232" s="44">
        <f t="shared" si="16"/>
        <v>201</v>
      </c>
      <c r="S232" s="358"/>
      <c r="T232" s="129"/>
      <c r="U232" s="9"/>
      <c r="V232" s="38"/>
      <c r="W232" s="45"/>
      <c r="X232" s="8"/>
      <c r="Y232" s="38"/>
      <c r="Z232" s="244"/>
    </row>
    <row r="233" spans="1:26">
      <c r="A233" s="150">
        <v>44762</v>
      </c>
      <c r="B233" s="154">
        <f t="shared" si="19"/>
        <v>44762</v>
      </c>
      <c r="C233" s="46">
        <v>976022</v>
      </c>
      <c r="D233" s="35">
        <f t="shared" si="12"/>
        <v>1044</v>
      </c>
      <c r="E233" s="39"/>
      <c r="F233" s="46">
        <v>3555241</v>
      </c>
      <c r="G233" s="2">
        <f t="shared" si="13"/>
        <v>8408</v>
      </c>
      <c r="H233" s="100">
        <f t="shared" si="21"/>
        <v>21.050938337801608</v>
      </c>
      <c r="I233" s="39"/>
      <c r="J233" s="46">
        <v>1815305</v>
      </c>
      <c r="K233" s="2">
        <f t="shared" si="20"/>
        <v>6095</v>
      </c>
      <c r="L233" s="93">
        <f t="shared" si="22"/>
        <v>45.148148148148145</v>
      </c>
      <c r="M233" s="39"/>
      <c r="N233" s="46">
        <v>362949</v>
      </c>
      <c r="O233" s="12">
        <f t="shared" si="15"/>
        <v>820</v>
      </c>
      <c r="P233" s="166"/>
      <c r="Q233" s="42">
        <v>541106</v>
      </c>
      <c r="R233" s="44">
        <f t="shared" si="16"/>
        <v>230</v>
      </c>
      <c r="S233" s="358"/>
      <c r="T233" s="129"/>
      <c r="U233" s="9"/>
      <c r="V233" s="38"/>
      <c r="W233" s="45"/>
      <c r="X233" s="8"/>
      <c r="Y233" s="38"/>
      <c r="Z233" s="244"/>
    </row>
    <row r="234" spans="1:26">
      <c r="A234" s="150">
        <v>44763</v>
      </c>
      <c r="B234" s="154">
        <f t="shared" si="19"/>
        <v>44763</v>
      </c>
      <c r="C234" s="46">
        <v>977066</v>
      </c>
      <c r="D234" s="35">
        <f t="shared" si="12"/>
        <v>10032</v>
      </c>
      <c r="E234" s="39"/>
      <c r="F234" s="46">
        <v>3563649</v>
      </c>
      <c r="G234" s="2">
        <f t="shared" si="13"/>
        <v>11704</v>
      </c>
      <c r="H234" s="100">
        <f t="shared" si="21"/>
        <v>53.983914209115284</v>
      </c>
      <c r="I234" s="39"/>
      <c r="J234" s="46">
        <v>1821400</v>
      </c>
      <c r="K234" s="2">
        <f t="shared" si="20"/>
        <v>10268</v>
      </c>
      <c r="L234" s="93">
        <f t="shared" si="22"/>
        <v>76.059259259259264</v>
      </c>
      <c r="M234" s="39"/>
      <c r="N234" s="46">
        <v>363769</v>
      </c>
      <c r="O234" s="12">
        <f t="shared" si="15"/>
        <v>908</v>
      </c>
      <c r="P234" s="166"/>
      <c r="Q234" s="42">
        <v>541336</v>
      </c>
      <c r="R234" s="44">
        <f t="shared" si="16"/>
        <v>216</v>
      </c>
      <c r="S234" s="358"/>
      <c r="T234" s="129"/>
      <c r="U234" s="9"/>
      <c r="V234" s="38"/>
      <c r="W234" s="45"/>
      <c r="X234" s="8"/>
      <c r="Y234" s="38"/>
      <c r="Z234" s="244"/>
    </row>
    <row r="235" spans="1:26">
      <c r="A235" s="150">
        <v>44764</v>
      </c>
      <c r="B235" s="154">
        <f t="shared" si="19"/>
        <v>44764</v>
      </c>
      <c r="C235" s="46">
        <v>987098</v>
      </c>
      <c r="D235" s="35">
        <f t="shared" si="12"/>
        <v>13210</v>
      </c>
      <c r="E235" s="39"/>
      <c r="F235" s="46">
        <v>3575353</v>
      </c>
      <c r="G235" s="2">
        <f t="shared" si="13"/>
        <v>14041</v>
      </c>
      <c r="H235" s="100">
        <f t="shared" si="21"/>
        <v>68.769436997319033</v>
      </c>
      <c r="I235" s="39"/>
      <c r="J235" s="46">
        <v>1831668</v>
      </c>
      <c r="K235" s="2">
        <f t="shared" si="20"/>
        <v>6305</v>
      </c>
      <c r="L235" s="93">
        <f t="shared" si="22"/>
        <v>46.703703703703702</v>
      </c>
      <c r="M235" s="39"/>
      <c r="N235" s="46">
        <v>364677</v>
      </c>
      <c r="O235" s="12">
        <f t="shared" si="15"/>
        <v>815</v>
      </c>
      <c r="P235" s="166"/>
      <c r="Q235" s="42">
        <v>541552</v>
      </c>
      <c r="R235" s="44">
        <f t="shared" si="16"/>
        <v>246</v>
      </c>
      <c r="S235" s="358"/>
      <c r="T235" s="129"/>
      <c r="U235" s="9"/>
      <c r="V235" s="38"/>
      <c r="W235" s="45"/>
      <c r="X235" s="8"/>
      <c r="Y235" s="38"/>
      <c r="Z235" s="244"/>
    </row>
    <row r="236" spans="1:26">
      <c r="A236" s="150">
        <v>44765</v>
      </c>
      <c r="B236" s="154">
        <f t="shared" si="19"/>
        <v>44765</v>
      </c>
      <c r="C236" s="46">
        <v>1000308</v>
      </c>
      <c r="D236" s="35">
        <f t="shared" si="12"/>
        <v>0</v>
      </c>
      <c r="E236" s="39"/>
      <c r="F236" s="46">
        <v>3589394</v>
      </c>
      <c r="G236" s="2">
        <f t="shared" si="13"/>
        <v>3326</v>
      </c>
      <c r="H236" s="100">
        <f t="shared" si="21"/>
        <v>4.6273458445040214</v>
      </c>
      <c r="I236" s="39"/>
      <c r="J236" s="46">
        <v>1837973</v>
      </c>
      <c r="K236" s="2">
        <f t="shared" si="20"/>
        <v>0</v>
      </c>
      <c r="L236" s="93">
        <f t="shared" si="22"/>
        <v>0</v>
      </c>
      <c r="M236" s="39"/>
      <c r="N236" s="46">
        <v>365492</v>
      </c>
      <c r="O236" s="12">
        <f t="shared" si="15"/>
        <v>830</v>
      </c>
      <c r="P236" s="166"/>
      <c r="Q236" s="42">
        <v>541798</v>
      </c>
      <c r="R236" s="44">
        <f t="shared" si="16"/>
        <v>438</v>
      </c>
      <c r="S236" s="358"/>
      <c r="T236" s="129"/>
      <c r="U236" s="9"/>
      <c r="V236" s="38"/>
      <c r="W236" s="45"/>
      <c r="X236" s="8"/>
      <c r="Y236" s="38"/>
      <c r="Z236" s="244"/>
    </row>
    <row r="237" spans="1:26">
      <c r="A237" s="150">
        <v>44766</v>
      </c>
      <c r="B237" s="154">
        <f t="shared" si="19"/>
        <v>44766</v>
      </c>
      <c r="C237" s="46">
        <v>1000308</v>
      </c>
      <c r="D237" s="35">
        <f t="shared" si="12"/>
        <v>0</v>
      </c>
      <c r="E237" s="39"/>
      <c r="F237" s="46">
        <v>3592720</v>
      </c>
      <c r="G237" s="2">
        <f t="shared" si="13"/>
        <v>1244</v>
      </c>
      <c r="H237" s="100">
        <f t="shared" si="21"/>
        <v>-0.95442359249329756</v>
      </c>
      <c r="I237" s="39"/>
      <c r="J237" s="46">
        <v>1837973</v>
      </c>
      <c r="K237" s="2">
        <f t="shared" si="20"/>
        <v>0</v>
      </c>
      <c r="L237" s="93">
        <f t="shared" si="22"/>
        <v>0</v>
      </c>
      <c r="M237" s="39"/>
      <c r="N237" s="46">
        <v>366322</v>
      </c>
      <c r="O237" s="12">
        <f t="shared" si="15"/>
        <v>0</v>
      </c>
      <c r="P237" s="166"/>
      <c r="Q237" s="42">
        <v>542236</v>
      </c>
      <c r="R237" s="44">
        <f t="shared" si="16"/>
        <v>0</v>
      </c>
      <c r="S237" s="358"/>
      <c r="T237" s="129"/>
      <c r="U237" s="9"/>
      <c r="V237" s="38"/>
      <c r="W237" s="45"/>
      <c r="X237" s="8"/>
      <c r="Y237" s="38"/>
      <c r="Z237" s="244"/>
    </row>
    <row r="238" spans="1:26">
      <c r="A238" s="150">
        <v>44767</v>
      </c>
      <c r="B238" s="154">
        <f t="shared" si="19"/>
        <v>44767</v>
      </c>
      <c r="C238" s="46">
        <v>1000308</v>
      </c>
      <c r="D238" s="35">
        <f t="shared" si="12"/>
        <v>933</v>
      </c>
      <c r="E238" s="39"/>
      <c r="F238" s="46">
        <v>3593964</v>
      </c>
      <c r="G238" s="2">
        <f t="shared" si="13"/>
        <v>7072</v>
      </c>
      <c r="H238" s="100">
        <f t="shared" si="21"/>
        <v>17.171581769436997</v>
      </c>
      <c r="I238" s="39"/>
      <c r="J238" s="46">
        <v>1837973</v>
      </c>
      <c r="K238" s="2">
        <f t="shared" si="20"/>
        <v>6917</v>
      </c>
      <c r="L238" s="93">
        <f t="shared" si="22"/>
        <v>51.237037037037034</v>
      </c>
      <c r="M238" s="39"/>
      <c r="N238" s="46">
        <v>366322</v>
      </c>
      <c r="O238" s="12">
        <f t="shared" si="15"/>
        <v>1033</v>
      </c>
      <c r="P238" s="166"/>
      <c r="Q238" s="42">
        <v>542236</v>
      </c>
      <c r="R238" s="44">
        <f t="shared" si="16"/>
        <v>199</v>
      </c>
      <c r="S238" s="358"/>
      <c r="T238" s="129"/>
      <c r="U238" s="9"/>
      <c r="V238" s="38"/>
      <c r="W238" s="45"/>
      <c r="X238" s="8"/>
      <c r="Y238" s="38"/>
      <c r="Z238" s="244"/>
    </row>
    <row r="239" spans="1:26">
      <c r="A239" s="150">
        <v>44768</v>
      </c>
      <c r="B239" s="154">
        <f t="shared" si="19"/>
        <v>44768</v>
      </c>
      <c r="C239" s="46">
        <v>1001241</v>
      </c>
      <c r="D239" s="35">
        <f t="shared" si="12"/>
        <v>692</v>
      </c>
      <c r="E239" s="39"/>
      <c r="F239" s="46">
        <v>3601036</v>
      </c>
      <c r="G239" s="2">
        <f t="shared" si="13"/>
        <v>7966</v>
      </c>
      <c r="H239" s="100">
        <f t="shared" si="21"/>
        <v>18.922252010723859</v>
      </c>
      <c r="I239" s="39"/>
      <c r="J239" s="46">
        <v>1844890</v>
      </c>
      <c r="K239" s="2">
        <f t="shared" si="20"/>
        <v>6799</v>
      </c>
      <c r="L239" s="93">
        <f t="shared" si="22"/>
        <v>50.36296296296296</v>
      </c>
      <c r="M239" s="39"/>
      <c r="N239" s="46">
        <v>367355</v>
      </c>
      <c r="O239" s="12">
        <f t="shared" si="15"/>
        <v>892</v>
      </c>
      <c r="P239" s="166"/>
      <c r="Q239" s="42">
        <v>542435</v>
      </c>
      <c r="R239" s="44">
        <f t="shared" si="16"/>
        <v>179</v>
      </c>
      <c r="S239" s="358"/>
      <c r="T239" s="129"/>
      <c r="U239" s="9"/>
      <c r="V239" s="38"/>
      <c r="W239" s="45"/>
      <c r="X239" s="8"/>
      <c r="Y239" s="38"/>
      <c r="Z239" s="244"/>
    </row>
    <row r="240" spans="1:26">
      <c r="A240" s="150">
        <v>44769</v>
      </c>
      <c r="B240" s="154">
        <f t="shared" si="19"/>
        <v>44769</v>
      </c>
      <c r="C240" s="46">
        <v>1001933</v>
      </c>
      <c r="D240" s="35">
        <f t="shared" si="12"/>
        <v>11133</v>
      </c>
      <c r="E240" s="39"/>
      <c r="F240" s="46">
        <v>3609002</v>
      </c>
      <c r="G240" s="2">
        <f t="shared" si="13"/>
        <v>11581</v>
      </c>
      <c r="H240" s="100">
        <f t="shared" si="21"/>
        <v>56.605898123324394</v>
      </c>
      <c r="I240" s="39"/>
      <c r="J240" s="46">
        <v>1851689</v>
      </c>
      <c r="K240" s="2">
        <f t="shared" si="20"/>
        <v>7616</v>
      </c>
      <c r="L240" s="93">
        <f t="shared" si="22"/>
        <v>56.414814814814818</v>
      </c>
      <c r="M240" s="39"/>
      <c r="N240" s="46">
        <v>368247</v>
      </c>
      <c r="O240" s="12">
        <f t="shared" si="15"/>
        <v>882</v>
      </c>
      <c r="P240" s="166"/>
      <c r="Q240" s="42">
        <v>542614</v>
      </c>
      <c r="R240" s="44">
        <f t="shared" si="16"/>
        <v>208</v>
      </c>
      <c r="S240" s="358"/>
      <c r="T240" s="129"/>
      <c r="U240" s="9"/>
      <c r="V240" s="38"/>
      <c r="W240" s="45"/>
      <c r="X240" s="8"/>
      <c r="Y240" s="38"/>
      <c r="Z240" s="244"/>
    </row>
    <row r="241" spans="1:26">
      <c r="A241" s="150">
        <v>44770</v>
      </c>
      <c r="B241" s="154">
        <f t="shared" si="19"/>
        <v>44770</v>
      </c>
      <c r="C241" s="46">
        <v>1013066</v>
      </c>
      <c r="D241" s="35">
        <f t="shared" si="12"/>
        <v>1455</v>
      </c>
      <c r="E241" s="39"/>
      <c r="F241" s="46">
        <v>3620583</v>
      </c>
      <c r="G241" s="2">
        <f t="shared" si="13"/>
        <v>8231</v>
      </c>
      <c r="H241" s="100">
        <f t="shared" si="21"/>
        <v>21.678284182305632</v>
      </c>
      <c r="I241" s="39"/>
      <c r="J241" s="46">
        <v>1859305</v>
      </c>
      <c r="K241" s="2">
        <f t="shared" si="20"/>
        <v>7479</v>
      </c>
      <c r="L241" s="93">
        <f t="shared" si="22"/>
        <v>55.4</v>
      </c>
      <c r="M241" s="39"/>
      <c r="N241" s="46">
        <v>369129</v>
      </c>
      <c r="O241" s="12">
        <f t="shared" si="15"/>
        <v>941</v>
      </c>
      <c r="P241" s="166"/>
      <c r="Q241" s="42">
        <v>542822</v>
      </c>
      <c r="R241" s="44">
        <f t="shared" si="16"/>
        <v>183</v>
      </c>
      <c r="S241" s="358"/>
      <c r="T241" s="129"/>
      <c r="U241" s="9"/>
      <c r="V241" s="38"/>
      <c r="W241" s="45"/>
      <c r="X241" s="8"/>
      <c r="Y241" s="38"/>
      <c r="Z241" s="244"/>
    </row>
    <row r="242" spans="1:26">
      <c r="A242" s="150">
        <v>44771</v>
      </c>
      <c r="B242" s="154">
        <f t="shared" si="19"/>
        <v>44771</v>
      </c>
      <c r="C242" s="46">
        <v>1014521</v>
      </c>
      <c r="D242" s="35">
        <f t="shared" si="12"/>
        <v>9</v>
      </c>
      <c r="E242" s="39"/>
      <c r="F242" s="46">
        <v>3628814</v>
      </c>
      <c r="G242" s="2">
        <f t="shared" si="13"/>
        <v>8805</v>
      </c>
      <c r="H242" s="100">
        <f t="shared" si="21"/>
        <v>19.34048257372654</v>
      </c>
      <c r="I242" s="39"/>
      <c r="J242" s="46">
        <v>1866784</v>
      </c>
      <c r="K242" s="2">
        <f t="shared" si="20"/>
        <v>6332</v>
      </c>
      <c r="L242" s="93">
        <f t="shared" si="22"/>
        <v>46.903703703703705</v>
      </c>
      <c r="M242" s="39"/>
      <c r="N242" s="46">
        <v>370070</v>
      </c>
      <c r="O242" s="12">
        <f t="shared" si="15"/>
        <v>850</v>
      </c>
      <c r="P242" s="166"/>
      <c r="Q242" s="42">
        <v>543005</v>
      </c>
      <c r="R242" s="44">
        <f t="shared" si="16"/>
        <v>198</v>
      </c>
      <c r="S242" s="358"/>
      <c r="T242" s="129"/>
      <c r="U242" s="9"/>
      <c r="V242" s="38"/>
      <c r="W242" s="45"/>
      <c r="X242" s="8"/>
      <c r="Y242" s="38"/>
      <c r="Z242" s="244"/>
    </row>
    <row r="243" spans="1:26">
      <c r="A243" s="150">
        <v>44772</v>
      </c>
      <c r="B243" s="154">
        <f t="shared" si="19"/>
        <v>44772</v>
      </c>
      <c r="C243" s="46">
        <v>1014530</v>
      </c>
      <c r="D243" s="35">
        <f t="shared" si="12"/>
        <v>1</v>
      </c>
      <c r="E243" s="39"/>
      <c r="F243" s="46">
        <v>3637619</v>
      </c>
      <c r="G243" s="2">
        <f t="shared" si="13"/>
        <v>11409</v>
      </c>
      <c r="H243" s="100">
        <f t="shared" si="21"/>
        <v>26.300268096514746</v>
      </c>
      <c r="I243" s="39"/>
      <c r="J243" s="46">
        <v>1873116</v>
      </c>
      <c r="K243" s="2">
        <f t="shared" si="20"/>
        <v>37</v>
      </c>
      <c r="L243" s="93">
        <f t="shared" si="22"/>
        <v>0.27407407407407408</v>
      </c>
      <c r="M243" s="39"/>
      <c r="N243" s="46">
        <v>370920</v>
      </c>
      <c r="O243" s="12">
        <f t="shared" si="15"/>
        <v>0</v>
      </c>
      <c r="P243" s="166"/>
      <c r="Q243" s="42">
        <v>543203</v>
      </c>
      <c r="R243" s="44">
        <f t="shared" si="16"/>
        <v>339</v>
      </c>
      <c r="S243" s="358"/>
      <c r="T243" s="129"/>
      <c r="U243" s="9"/>
      <c r="V243" s="38"/>
      <c r="W243" s="45"/>
      <c r="X243" s="8"/>
      <c r="Y243" s="38"/>
      <c r="Z243" s="244"/>
    </row>
    <row r="244" spans="1:26">
      <c r="A244" s="150">
        <v>44773</v>
      </c>
      <c r="B244" s="154">
        <f t="shared" si="19"/>
        <v>44773</v>
      </c>
      <c r="C244" s="46">
        <v>1014531</v>
      </c>
      <c r="D244" s="35">
        <f t="shared" si="12"/>
        <v>0</v>
      </c>
      <c r="E244" s="39"/>
      <c r="F244" s="46">
        <v>3649028</v>
      </c>
      <c r="G244" s="2">
        <f t="shared" si="13"/>
        <v>6170</v>
      </c>
      <c r="H244" s="100">
        <f t="shared" si="21"/>
        <v>12.25201072386059</v>
      </c>
      <c r="I244" s="39"/>
      <c r="J244" s="46">
        <v>1873153</v>
      </c>
      <c r="K244" s="2">
        <f t="shared" si="20"/>
        <v>0</v>
      </c>
      <c r="L244" s="93">
        <f t="shared" si="22"/>
        <v>0</v>
      </c>
      <c r="M244" s="39"/>
      <c r="N244" s="46">
        <v>370920</v>
      </c>
      <c r="O244" s="12">
        <f t="shared" si="15"/>
        <v>786</v>
      </c>
      <c r="P244" s="166"/>
      <c r="Q244" s="42">
        <v>543542</v>
      </c>
      <c r="R244" s="44">
        <f t="shared" ref="R244:R312" si="23">Q245-Q244</f>
        <v>0</v>
      </c>
      <c r="S244" s="358"/>
      <c r="T244" s="129"/>
      <c r="U244" s="9"/>
      <c r="V244" s="38"/>
      <c r="W244" s="45"/>
      <c r="X244" s="8"/>
      <c r="Y244" s="38"/>
      <c r="Z244" s="244"/>
    </row>
    <row r="245" spans="1:26">
      <c r="A245" s="150">
        <v>44774</v>
      </c>
      <c r="B245" s="154">
        <f t="shared" si="19"/>
        <v>44774</v>
      </c>
      <c r="C245" s="46">
        <v>1014531</v>
      </c>
      <c r="D245" s="35">
        <f t="shared" ref="D245:D312" si="24">IF(C246&gt;0,C246-C245," ")</f>
        <v>45</v>
      </c>
      <c r="E245" s="39"/>
      <c r="F245" s="46">
        <v>3655198</v>
      </c>
      <c r="G245" s="2">
        <f t="shared" si="13"/>
        <v>8000</v>
      </c>
      <c r="H245" s="100">
        <f t="shared" si="21"/>
        <v>17.278820375335119</v>
      </c>
      <c r="I245" s="39"/>
      <c r="J245" s="46">
        <v>1873153</v>
      </c>
      <c r="K245" s="2">
        <f t="shared" si="20"/>
        <v>7625</v>
      </c>
      <c r="L245" s="93">
        <f t="shared" si="22"/>
        <v>56.481481481481481</v>
      </c>
      <c r="M245" s="39"/>
      <c r="N245" s="46">
        <v>371706</v>
      </c>
      <c r="O245" s="12">
        <f t="shared" si="15"/>
        <v>914</v>
      </c>
      <c r="P245" s="166"/>
      <c r="Q245" s="42">
        <v>543542</v>
      </c>
      <c r="R245" s="44">
        <f t="shared" si="23"/>
        <v>273</v>
      </c>
      <c r="S245" s="358"/>
      <c r="T245" s="129"/>
      <c r="U245" s="9"/>
      <c r="V245" s="38"/>
      <c r="W245" s="45"/>
      <c r="X245" s="8"/>
      <c r="Y245" s="38"/>
      <c r="Z245" s="244"/>
    </row>
    <row r="246" spans="1:26">
      <c r="A246" s="150">
        <v>44775</v>
      </c>
      <c r="B246" s="154">
        <f t="shared" si="19"/>
        <v>44775</v>
      </c>
      <c r="C246" s="46">
        <v>1014576</v>
      </c>
      <c r="D246" s="35">
        <f t="shared" si="24"/>
        <v>8</v>
      </c>
      <c r="E246" s="39"/>
      <c r="F246" s="46">
        <v>3663198</v>
      </c>
      <c r="G246" s="2">
        <f t="shared" si="13"/>
        <v>8502</v>
      </c>
      <c r="H246" s="100">
        <f t="shared" si="21"/>
        <v>18.525469168900806</v>
      </c>
      <c r="I246" s="39"/>
      <c r="J246" s="46">
        <v>1880778</v>
      </c>
      <c r="K246" s="2">
        <f t="shared" si="20"/>
        <v>8220</v>
      </c>
      <c r="L246" s="93">
        <f t="shared" si="22"/>
        <v>60.888888888888886</v>
      </c>
      <c r="M246" s="39"/>
      <c r="N246" s="46">
        <v>372620</v>
      </c>
      <c r="O246" s="12">
        <f t="shared" si="15"/>
        <v>822</v>
      </c>
      <c r="P246" s="166"/>
      <c r="Q246" s="42">
        <v>543815</v>
      </c>
      <c r="R246" s="44">
        <f t="shared" si="23"/>
        <v>229</v>
      </c>
      <c r="S246" s="358"/>
      <c r="T246" s="129"/>
      <c r="U246" s="9"/>
      <c r="V246" s="38"/>
      <c r="W246" s="45"/>
      <c r="X246" s="8"/>
      <c r="Y246" s="38"/>
      <c r="Z246" s="244"/>
    </row>
    <row r="247" spans="1:26">
      <c r="A247" s="150">
        <v>44776</v>
      </c>
      <c r="B247" s="154">
        <f t="shared" si="19"/>
        <v>44776</v>
      </c>
      <c r="C247" s="46">
        <v>1014584</v>
      </c>
      <c r="D247" s="35">
        <f t="shared" si="24"/>
        <v>8808</v>
      </c>
      <c r="E247" s="39"/>
      <c r="F247" s="46">
        <v>3671700</v>
      </c>
      <c r="G247" s="2">
        <f t="shared" si="13"/>
        <v>9919</v>
      </c>
      <c r="H247" s="100">
        <f t="shared" si="21"/>
        <v>45.916890080428956</v>
      </c>
      <c r="I247" s="39"/>
      <c r="J247" s="46">
        <v>1888998</v>
      </c>
      <c r="K247" s="2">
        <f t="shared" si="20"/>
        <v>6005</v>
      </c>
      <c r="L247" s="93">
        <f t="shared" si="22"/>
        <v>44.481481481481481</v>
      </c>
      <c r="M247" s="39"/>
      <c r="N247" s="46">
        <v>373442</v>
      </c>
      <c r="O247" s="12">
        <f t="shared" si="15"/>
        <v>923</v>
      </c>
      <c r="P247" s="166"/>
      <c r="Q247" s="42">
        <v>544044</v>
      </c>
      <c r="R247" s="44">
        <f t="shared" si="23"/>
        <v>197</v>
      </c>
      <c r="S247" s="358"/>
      <c r="T247" s="129"/>
      <c r="U247" s="9"/>
      <c r="V247" s="38"/>
      <c r="W247" s="45"/>
      <c r="X247" s="8"/>
      <c r="Y247" s="38"/>
      <c r="Z247" s="246" t="s">
        <v>59</v>
      </c>
    </row>
    <row r="248" spans="1:26">
      <c r="A248" s="150">
        <v>44777</v>
      </c>
      <c r="B248" s="154">
        <f t="shared" si="19"/>
        <v>44777</v>
      </c>
      <c r="C248" s="46">
        <v>1023392</v>
      </c>
      <c r="D248" s="35">
        <f t="shared" si="24"/>
        <v>8974</v>
      </c>
      <c r="E248" s="39"/>
      <c r="F248" s="46">
        <v>3681619</v>
      </c>
      <c r="G248" s="2">
        <f t="shared" si="13"/>
        <v>2321</v>
      </c>
      <c r="H248" s="100">
        <f t="shared" si="21"/>
        <v>25.991957104557642</v>
      </c>
      <c r="I248" s="39"/>
      <c r="J248" s="46">
        <v>1895003</v>
      </c>
      <c r="K248" s="2">
        <f t="shared" si="20"/>
        <v>6606</v>
      </c>
      <c r="L248" s="93">
        <f t="shared" si="22"/>
        <v>48.93333333333333</v>
      </c>
      <c r="M248" s="39"/>
      <c r="N248" s="46">
        <v>374365</v>
      </c>
      <c r="O248" s="12">
        <f t="shared" ref="O248:O312" si="25">N249-N248</f>
        <v>862</v>
      </c>
      <c r="P248" s="166"/>
      <c r="Q248" s="42">
        <v>544241</v>
      </c>
      <c r="R248" s="44">
        <f t="shared" si="23"/>
        <v>186</v>
      </c>
      <c r="S248" s="358"/>
      <c r="T248" s="129"/>
      <c r="U248" s="9"/>
      <c r="V248" s="38"/>
      <c r="W248" s="45"/>
      <c r="X248" s="8"/>
      <c r="Y248" s="38"/>
      <c r="Z248" s="244"/>
    </row>
    <row r="249" spans="1:26">
      <c r="A249" s="150">
        <v>44778</v>
      </c>
      <c r="B249" s="154">
        <f t="shared" si="19"/>
        <v>44778</v>
      </c>
      <c r="C249" s="46">
        <v>1032366</v>
      </c>
      <c r="D249" s="35">
        <f t="shared" si="24"/>
        <v>1574</v>
      </c>
      <c r="E249" s="39"/>
      <c r="F249" s="46">
        <v>3683940</v>
      </c>
      <c r="G249" s="2">
        <f t="shared" si="13"/>
        <v>74</v>
      </c>
      <c r="H249" s="100">
        <f t="shared" si="21"/>
        <v>0.12868632707774799</v>
      </c>
      <c r="I249" s="39"/>
      <c r="J249" s="46">
        <v>1901609</v>
      </c>
      <c r="K249" s="2">
        <f t="shared" si="20"/>
        <v>9618</v>
      </c>
      <c r="L249" s="93">
        <f t="shared" si="22"/>
        <v>71.24444444444444</v>
      </c>
      <c r="M249" s="39"/>
      <c r="N249" s="46">
        <v>375227</v>
      </c>
      <c r="O249" s="12">
        <f t="shared" si="25"/>
        <v>889</v>
      </c>
      <c r="P249" s="166"/>
      <c r="Q249" s="42">
        <v>544427</v>
      </c>
      <c r="R249" s="44">
        <f t="shared" si="23"/>
        <v>246</v>
      </c>
      <c r="S249" s="358"/>
      <c r="T249" s="129"/>
      <c r="U249" s="9"/>
      <c r="V249" s="38"/>
      <c r="W249" s="45"/>
      <c r="X249" s="8"/>
      <c r="Y249" s="38"/>
      <c r="Z249" s="244"/>
    </row>
    <row r="250" spans="1:26">
      <c r="A250" s="150">
        <v>44779</v>
      </c>
      <c r="B250" s="154">
        <f t="shared" si="19"/>
        <v>44779</v>
      </c>
      <c r="C250" s="46">
        <v>1033940</v>
      </c>
      <c r="D250" s="35">
        <f t="shared" si="24"/>
        <v>12053</v>
      </c>
      <c r="E250" s="39"/>
      <c r="F250" s="46">
        <v>3684014</v>
      </c>
      <c r="G250" s="2">
        <f t="shared" si="13"/>
        <v>18082</v>
      </c>
      <c r="H250" s="100">
        <f t="shared" si="21"/>
        <v>76.501340482573724</v>
      </c>
      <c r="I250" s="39"/>
      <c r="J250" s="46">
        <v>1911227</v>
      </c>
      <c r="K250" s="2">
        <f t="shared" si="20"/>
        <v>18290</v>
      </c>
      <c r="L250" s="93">
        <f t="shared" si="22"/>
        <v>135.4814814814815</v>
      </c>
      <c r="M250" s="39"/>
      <c r="N250" s="46">
        <v>376116</v>
      </c>
      <c r="O250" s="12">
        <f t="shared" si="25"/>
        <v>883</v>
      </c>
      <c r="P250" s="365" t="s">
        <v>78</v>
      </c>
      <c r="Q250" s="42">
        <v>544673</v>
      </c>
      <c r="R250" s="44">
        <f t="shared" si="23"/>
        <v>624</v>
      </c>
      <c r="S250" s="358"/>
      <c r="T250" s="129"/>
      <c r="U250" s="9"/>
      <c r="V250" s="38"/>
      <c r="W250" s="45"/>
      <c r="X250" s="8"/>
      <c r="Y250" s="38"/>
      <c r="Z250" s="244"/>
    </row>
    <row r="251" spans="1:26">
      <c r="A251" s="150">
        <v>44780</v>
      </c>
      <c r="B251" s="154">
        <f t="shared" si="19"/>
        <v>44780</v>
      </c>
      <c r="C251" s="46">
        <v>1045993</v>
      </c>
      <c r="D251" s="35">
        <f t="shared" si="24"/>
        <v>0</v>
      </c>
      <c r="E251" s="39"/>
      <c r="F251" s="46">
        <v>3702096</v>
      </c>
      <c r="G251" s="2">
        <f t="shared" ref="G251:G314" si="26">IF(F252&gt;0,F252-F251," ")</f>
        <v>0</v>
      </c>
      <c r="H251" s="100">
        <f t="shared" si="21"/>
        <v>-4.2895442359249332</v>
      </c>
      <c r="I251" s="39"/>
      <c r="J251" s="46">
        <v>1929517</v>
      </c>
      <c r="K251" s="2">
        <f t="shared" si="20"/>
        <v>0</v>
      </c>
      <c r="L251" s="93">
        <f t="shared" si="22"/>
        <v>0</v>
      </c>
      <c r="M251" s="39"/>
      <c r="N251" s="45">
        <v>376999</v>
      </c>
      <c r="O251" s="8">
        <f t="shared" si="25"/>
        <v>0</v>
      </c>
      <c r="P251" s="9"/>
      <c r="Q251" s="42">
        <v>545297</v>
      </c>
      <c r="R251" s="44">
        <f t="shared" si="23"/>
        <v>0</v>
      </c>
      <c r="S251" s="358"/>
      <c r="T251" s="129"/>
      <c r="U251" s="9"/>
      <c r="V251" s="38"/>
      <c r="W251" s="45"/>
      <c r="X251" s="8"/>
      <c r="Y251" s="38"/>
      <c r="Z251" s="244"/>
    </row>
    <row r="252" spans="1:26">
      <c r="A252" s="150">
        <v>44781</v>
      </c>
      <c r="B252" s="154">
        <f t="shared" si="19"/>
        <v>44781</v>
      </c>
      <c r="C252" s="46">
        <v>1045993</v>
      </c>
      <c r="D252" s="35">
        <f t="shared" si="24"/>
        <v>181</v>
      </c>
      <c r="E252" s="39"/>
      <c r="F252" s="46">
        <v>3702096</v>
      </c>
      <c r="G252" s="2">
        <f t="shared" si="26"/>
        <v>7867</v>
      </c>
      <c r="H252" s="100">
        <f t="shared" si="21"/>
        <v>17.286863270777481</v>
      </c>
      <c r="I252" s="39"/>
      <c r="J252" s="46">
        <v>1929517</v>
      </c>
      <c r="K252" s="2">
        <f t="shared" si="20"/>
        <v>6212</v>
      </c>
      <c r="L252" s="93">
        <f t="shared" si="22"/>
        <v>46.014814814814812</v>
      </c>
      <c r="M252" s="84"/>
      <c r="N252" s="45">
        <v>376999</v>
      </c>
      <c r="O252" s="8">
        <f t="shared" si="25"/>
        <v>719</v>
      </c>
      <c r="P252" s="9"/>
      <c r="Q252" s="42">
        <v>545297</v>
      </c>
      <c r="R252" s="44">
        <f t="shared" si="23"/>
        <v>0</v>
      </c>
      <c r="S252" s="358"/>
      <c r="T252" s="129"/>
      <c r="U252" s="9"/>
      <c r="V252" s="38"/>
      <c r="W252" s="45"/>
      <c r="X252" s="8"/>
      <c r="Y252" s="38"/>
      <c r="Z252" s="244"/>
    </row>
    <row r="253" spans="1:26">
      <c r="A253" s="150">
        <v>44782</v>
      </c>
      <c r="B253" s="154">
        <f t="shared" si="19"/>
        <v>44782</v>
      </c>
      <c r="C253" s="46">
        <v>1046174</v>
      </c>
      <c r="D253" s="35">
        <f t="shared" si="24"/>
        <v>11</v>
      </c>
      <c r="E253" s="39"/>
      <c r="F253" s="46">
        <v>3709963</v>
      </c>
      <c r="G253" s="2">
        <f t="shared" si="26"/>
        <v>8047</v>
      </c>
      <c r="H253" s="100">
        <f t="shared" si="21"/>
        <v>17.31367292225201</v>
      </c>
      <c r="I253" s="39"/>
      <c r="J253" s="46">
        <v>1935729</v>
      </c>
      <c r="K253" s="2">
        <f t="shared" si="20"/>
        <v>6499</v>
      </c>
      <c r="L253" s="93">
        <f t="shared" si="22"/>
        <v>48.140740740740739</v>
      </c>
      <c r="M253" s="39"/>
      <c r="N253" s="45">
        <v>377718</v>
      </c>
      <c r="O253" s="8">
        <f t="shared" si="25"/>
        <v>1019</v>
      </c>
      <c r="P253" s="9"/>
      <c r="Q253" s="42">
        <v>545297</v>
      </c>
      <c r="R253" s="44">
        <f t="shared" si="23"/>
        <v>244</v>
      </c>
      <c r="S253" s="358"/>
      <c r="T253" s="129"/>
      <c r="U253" s="9"/>
      <c r="V253" s="38"/>
      <c r="W253" s="45"/>
      <c r="X253" s="8"/>
      <c r="Y253" s="38"/>
      <c r="Z253" s="244"/>
    </row>
    <row r="254" spans="1:26">
      <c r="A254" s="150">
        <v>44783</v>
      </c>
      <c r="B254" s="154">
        <f t="shared" si="19"/>
        <v>44783</v>
      </c>
      <c r="C254" s="46">
        <v>1046185</v>
      </c>
      <c r="D254" s="35">
        <f t="shared" si="24"/>
        <v>8487</v>
      </c>
      <c r="E254" s="39"/>
      <c r="F254" s="46">
        <v>3718010</v>
      </c>
      <c r="G254" s="2">
        <f t="shared" si="26"/>
        <v>8954</v>
      </c>
      <c r="H254" s="100">
        <f t="shared" si="21"/>
        <v>42.469168900804291</v>
      </c>
      <c r="I254" s="39"/>
      <c r="J254" s="46">
        <v>1942228</v>
      </c>
      <c r="K254" s="2">
        <f t="shared" si="20"/>
        <v>6265</v>
      </c>
      <c r="L254" s="93">
        <f t="shared" si="22"/>
        <v>46.407407407407405</v>
      </c>
      <c r="M254" s="39"/>
      <c r="N254" s="45">
        <v>378737</v>
      </c>
      <c r="O254" s="8">
        <f t="shared" si="25"/>
        <v>960</v>
      </c>
      <c r="P254" s="9"/>
      <c r="Q254" s="42">
        <v>545541</v>
      </c>
      <c r="R254" s="44">
        <f t="shared" si="23"/>
        <v>196</v>
      </c>
      <c r="S254" s="358"/>
      <c r="T254" s="129"/>
      <c r="U254" s="9"/>
      <c r="V254" s="38"/>
      <c r="W254" s="45"/>
      <c r="X254" s="8"/>
      <c r="Y254" s="38"/>
      <c r="Z254" s="244"/>
    </row>
    <row r="255" spans="1:26">
      <c r="A255" s="150">
        <v>44784</v>
      </c>
      <c r="B255" s="154">
        <f t="shared" si="19"/>
        <v>44784</v>
      </c>
      <c r="C255" s="46">
        <v>1054672</v>
      </c>
      <c r="D255" s="35">
        <f t="shared" si="24"/>
        <v>13590</v>
      </c>
      <c r="E255" s="40" t="s">
        <v>78</v>
      </c>
      <c r="F255" s="46">
        <v>3726964</v>
      </c>
      <c r="G255" s="2">
        <f t="shared" si="26"/>
        <v>10151</v>
      </c>
      <c r="H255" s="123">
        <f t="shared" si="21"/>
        <v>59.359249329758711</v>
      </c>
      <c r="I255" s="40" t="s">
        <v>78</v>
      </c>
      <c r="J255" s="46">
        <v>1948493</v>
      </c>
      <c r="K255" s="2">
        <f t="shared" si="20"/>
        <v>7592</v>
      </c>
      <c r="L255" s="95">
        <f t="shared" si="22"/>
        <v>56.237037037037034</v>
      </c>
      <c r="M255" s="40" t="s">
        <v>78</v>
      </c>
      <c r="N255" s="45">
        <v>379697</v>
      </c>
      <c r="O255" s="8">
        <f t="shared" si="25"/>
        <v>957</v>
      </c>
      <c r="P255" s="9"/>
      <c r="Q255" s="42">
        <v>545737</v>
      </c>
      <c r="R255" s="44">
        <f t="shared" si="23"/>
        <v>201</v>
      </c>
      <c r="S255" s="358"/>
      <c r="T255" s="129"/>
      <c r="U255" s="9"/>
      <c r="V255" s="38"/>
      <c r="W255" s="45"/>
      <c r="X255" s="8"/>
      <c r="Y255" s="38"/>
      <c r="Z255" s="244"/>
    </row>
    <row r="256" spans="1:26">
      <c r="A256" s="150">
        <v>44785</v>
      </c>
      <c r="B256" s="154">
        <f t="shared" si="19"/>
        <v>44785</v>
      </c>
      <c r="C256" s="45">
        <v>1068262</v>
      </c>
      <c r="D256" s="34">
        <f t="shared" si="24"/>
        <v>214</v>
      </c>
      <c r="E256" s="38"/>
      <c r="F256" s="45">
        <v>3737115</v>
      </c>
      <c r="G256" s="1">
        <f t="shared" si="26"/>
        <v>8149</v>
      </c>
      <c r="H256" s="127">
        <f t="shared" si="21"/>
        <v>18.1313672922252</v>
      </c>
      <c r="I256" s="38"/>
      <c r="J256" s="45">
        <v>1956085</v>
      </c>
      <c r="K256" s="1">
        <f t="shared" si="20"/>
        <v>7512</v>
      </c>
      <c r="L256" s="126">
        <f t="shared" si="22"/>
        <v>55.644444444444446</v>
      </c>
      <c r="M256" s="38"/>
      <c r="N256" s="45">
        <v>380654</v>
      </c>
      <c r="O256" s="8">
        <f t="shared" si="25"/>
        <v>917</v>
      </c>
      <c r="P256" s="9"/>
      <c r="Q256" s="42">
        <v>545938</v>
      </c>
      <c r="R256" s="44">
        <f t="shared" si="23"/>
        <v>200</v>
      </c>
      <c r="S256" s="358"/>
      <c r="T256" s="129"/>
      <c r="U256" s="9"/>
      <c r="V256" s="38"/>
      <c r="W256" s="45"/>
      <c r="X256" s="8"/>
      <c r="Y256" s="38"/>
      <c r="Z256" s="244"/>
    </row>
    <row r="257" spans="1:26">
      <c r="A257" s="150">
        <v>44786</v>
      </c>
      <c r="B257" s="154">
        <f t="shared" si="19"/>
        <v>44786</v>
      </c>
      <c r="C257" s="45">
        <v>1068476</v>
      </c>
      <c r="D257" s="34">
        <f t="shared" si="24"/>
        <v>4</v>
      </c>
      <c r="E257" s="38"/>
      <c r="F257" s="45">
        <v>3745264</v>
      </c>
      <c r="G257" s="1">
        <f t="shared" si="26"/>
        <v>9430</v>
      </c>
      <c r="H257" s="127">
        <f t="shared" si="21"/>
        <v>21.002680965147452</v>
      </c>
      <c r="I257" s="38"/>
      <c r="J257" s="45">
        <v>1963597</v>
      </c>
      <c r="K257" s="1">
        <f t="shared" si="20"/>
        <v>69</v>
      </c>
      <c r="L257" s="126">
        <f t="shared" si="22"/>
        <v>0.51111111111111107</v>
      </c>
      <c r="M257" s="38"/>
      <c r="N257" s="45">
        <v>381571</v>
      </c>
      <c r="O257" s="8">
        <f t="shared" si="25"/>
        <v>2180</v>
      </c>
      <c r="P257" s="9"/>
      <c r="Q257" s="42">
        <v>546138</v>
      </c>
      <c r="R257" s="44">
        <f t="shared" si="23"/>
        <v>343</v>
      </c>
      <c r="S257" s="358"/>
      <c r="T257" s="129"/>
      <c r="U257" s="9"/>
      <c r="V257" s="38"/>
      <c r="W257" s="45"/>
      <c r="X257" s="8"/>
      <c r="Y257" s="38"/>
      <c r="Z257" s="244"/>
    </row>
    <row r="258" spans="1:26">
      <c r="A258" s="150">
        <v>44787</v>
      </c>
      <c r="B258" s="154">
        <f t="shared" si="19"/>
        <v>44787</v>
      </c>
      <c r="C258" s="45">
        <v>1068480</v>
      </c>
      <c r="D258" s="34">
        <f t="shared" si="24"/>
        <v>0</v>
      </c>
      <c r="E258" s="38"/>
      <c r="F258" s="45">
        <v>3754694</v>
      </c>
      <c r="G258" s="1">
        <f t="shared" si="26"/>
        <v>6542</v>
      </c>
      <c r="H258" s="127">
        <f t="shared" si="21"/>
        <v>13.249329758713136</v>
      </c>
      <c r="I258" s="38"/>
      <c r="J258" s="45">
        <v>1963666</v>
      </c>
      <c r="K258" s="1">
        <f t="shared" si="20"/>
        <v>0</v>
      </c>
      <c r="L258" s="126">
        <f t="shared" si="22"/>
        <v>0</v>
      </c>
      <c r="M258" s="38"/>
      <c r="N258" s="45">
        <v>383751</v>
      </c>
      <c r="O258" s="8">
        <f t="shared" si="25"/>
        <v>0</v>
      </c>
      <c r="P258" s="9"/>
      <c r="Q258" s="42">
        <v>546481</v>
      </c>
      <c r="R258" s="44">
        <f t="shared" si="23"/>
        <v>0</v>
      </c>
      <c r="S258" s="358"/>
      <c r="T258" s="129"/>
      <c r="U258" s="9"/>
      <c r="V258" s="38"/>
      <c r="W258" s="45"/>
      <c r="X258" s="8"/>
      <c r="Y258" s="38"/>
      <c r="Z258" s="244"/>
    </row>
    <row r="259" spans="1:26">
      <c r="A259" s="150">
        <v>44788</v>
      </c>
      <c r="B259" s="154">
        <f t="shared" si="19"/>
        <v>44788</v>
      </c>
      <c r="C259" s="45">
        <v>1068480</v>
      </c>
      <c r="D259" s="34">
        <f t="shared" si="24"/>
        <v>50</v>
      </c>
      <c r="E259" s="38"/>
      <c r="F259" s="45">
        <v>3761236</v>
      </c>
      <c r="G259" s="1">
        <f t="shared" si="26"/>
        <v>8013</v>
      </c>
      <c r="H259" s="127">
        <f t="shared" si="21"/>
        <v>17.327077747989275</v>
      </c>
      <c r="I259" s="38"/>
      <c r="J259" s="45">
        <v>1963666</v>
      </c>
      <c r="K259" s="1">
        <f t="shared" si="20"/>
        <v>10777</v>
      </c>
      <c r="L259" s="126">
        <f t="shared" si="22"/>
        <v>79.829629629629636</v>
      </c>
      <c r="M259" s="38"/>
      <c r="N259" s="45">
        <v>383751</v>
      </c>
      <c r="O259" s="8">
        <f t="shared" si="25"/>
        <v>0</v>
      </c>
      <c r="P259" s="9"/>
      <c r="Q259" s="42">
        <v>546481</v>
      </c>
      <c r="R259" s="44">
        <f t="shared" si="23"/>
        <v>155</v>
      </c>
      <c r="S259" s="358"/>
      <c r="T259" s="129"/>
      <c r="U259" s="9"/>
      <c r="V259" s="38"/>
      <c r="W259" s="45"/>
      <c r="X259" s="8"/>
      <c r="Y259" s="38"/>
      <c r="Z259" s="244"/>
    </row>
    <row r="260" spans="1:26">
      <c r="A260" s="150">
        <v>44789</v>
      </c>
      <c r="B260" s="154">
        <f t="shared" si="19"/>
        <v>44789</v>
      </c>
      <c r="C260" s="45">
        <v>1068530</v>
      </c>
      <c r="D260" s="34">
        <f t="shared" si="24"/>
        <v>7</v>
      </c>
      <c r="E260" s="38"/>
      <c r="F260" s="45">
        <v>3769249</v>
      </c>
      <c r="G260" s="1">
        <f t="shared" si="26"/>
        <v>8038</v>
      </c>
      <c r="H260" s="127">
        <f t="shared" si="21"/>
        <v>17.278820375335119</v>
      </c>
      <c r="I260" s="38"/>
      <c r="J260" s="45">
        <v>1974443</v>
      </c>
      <c r="K260" s="1">
        <f t="shared" si="20"/>
        <v>6794</v>
      </c>
      <c r="L260" s="126">
        <f t="shared" si="22"/>
        <v>50.325925925925922</v>
      </c>
      <c r="M260" s="38"/>
      <c r="N260" s="45">
        <v>383751</v>
      </c>
      <c r="O260" s="8">
        <f t="shared" si="25"/>
        <v>1232</v>
      </c>
      <c r="P260" s="9"/>
      <c r="Q260" s="42">
        <v>546636</v>
      </c>
      <c r="R260" s="44">
        <f t="shared" si="23"/>
        <v>236</v>
      </c>
      <c r="S260" s="358"/>
      <c r="T260" s="129"/>
      <c r="U260" s="9"/>
      <c r="V260" s="38"/>
      <c r="W260" s="45"/>
      <c r="X260" s="8"/>
      <c r="Y260" s="38"/>
      <c r="Z260" s="244"/>
    </row>
    <row r="261" spans="1:26">
      <c r="A261" s="150">
        <v>44790</v>
      </c>
      <c r="B261" s="154">
        <f t="shared" si="19"/>
        <v>44790</v>
      </c>
      <c r="C261" s="45">
        <v>1068537</v>
      </c>
      <c r="D261" s="34">
        <f t="shared" si="24"/>
        <v>11</v>
      </c>
      <c r="E261" s="38"/>
      <c r="F261" s="45">
        <v>3777287</v>
      </c>
      <c r="G261" s="1">
        <f t="shared" si="26"/>
        <v>8285</v>
      </c>
      <c r="H261" s="127">
        <f t="shared" si="21"/>
        <v>17.951742627345844</v>
      </c>
      <c r="I261" s="38"/>
      <c r="J261" s="45">
        <v>1981237</v>
      </c>
      <c r="K261" s="1">
        <f t="shared" si="20"/>
        <v>5734</v>
      </c>
      <c r="L261" s="126">
        <f t="shared" si="22"/>
        <v>42.474074074074075</v>
      </c>
      <c r="M261" s="38"/>
      <c r="N261" s="45">
        <v>384983</v>
      </c>
      <c r="O261" s="8">
        <f t="shared" si="25"/>
        <v>0</v>
      </c>
      <c r="P261" s="9"/>
      <c r="Q261" s="42">
        <v>546872</v>
      </c>
      <c r="R261" s="44">
        <f t="shared" si="23"/>
        <v>195</v>
      </c>
      <c r="S261" s="358"/>
      <c r="T261" s="129"/>
      <c r="U261" s="9"/>
      <c r="V261" s="38"/>
      <c r="W261" s="45"/>
      <c r="X261" s="8"/>
      <c r="Y261" s="38"/>
      <c r="Z261" s="244"/>
    </row>
    <row r="262" spans="1:26">
      <c r="A262" s="150">
        <v>44791</v>
      </c>
      <c r="B262" s="154">
        <f t="shared" si="19"/>
        <v>44791</v>
      </c>
      <c r="C262" s="45">
        <v>1068548</v>
      </c>
      <c r="D262" s="34">
        <f t="shared" si="24"/>
        <v>11021</v>
      </c>
      <c r="E262" s="38"/>
      <c r="F262" s="45">
        <v>3785572</v>
      </c>
      <c r="G262" s="1">
        <f t="shared" si="26"/>
        <v>11655</v>
      </c>
      <c r="H262" s="127">
        <f t="shared" si="21"/>
        <v>56.504021447721179</v>
      </c>
      <c r="I262" s="38"/>
      <c r="J262" s="45">
        <v>1986971</v>
      </c>
      <c r="K262" s="1">
        <f t="shared" si="20"/>
        <v>11278</v>
      </c>
      <c r="L262" s="126">
        <f t="shared" si="22"/>
        <v>83.540740740740745</v>
      </c>
      <c r="M262" s="38"/>
      <c r="N262" s="45">
        <v>384983</v>
      </c>
      <c r="O262" s="8">
        <f t="shared" si="25"/>
        <v>912</v>
      </c>
      <c r="P262" s="9"/>
      <c r="Q262" s="42">
        <v>547067</v>
      </c>
      <c r="R262" s="44">
        <f t="shared" si="23"/>
        <v>212</v>
      </c>
      <c r="S262" s="358"/>
      <c r="T262" s="129"/>
      <c r="U262" s="9"/>
      <c r="V262" s="38"/>
      <c r="W262" s="45"/>
      <c r="X262" s="8"/>
      <c r="Y262" s="38"/>
      <c r="Z262" s="244"/>
    </row>
    <row r="263" spans="1:26">
      <c r="A263" s="150">
        <v>44792</v>
      </c>
      <c r="B263" s="154">
        <f t="shared" si="19"/>
        <v>44792</v>
      </c>
      <c r="C263" s="45">
        <v>1079569</v>
      </c>
      <c r="D263" s="34">
        <f t="shared" si="24"/>
        <v>10612</v>
      </c>
      <c r="E263" s="38"/>
      <c r="F263" s="45">
        <v>3797227</v>
      </c>
      <c r="G263" s="1">
        <f t="shared" si="26"/>
        <v>12711</v>
      </c>
      <c r="H263" s="127">
        <f t="shared" si="21"/>
        <v>58.238605898123325</v>
      </c>
      <c r="I263" s="38"/>
      <c r="J263" s="45">
        <v>1998249</v>
      </c>
      <c r="K263" s="1">
        <f t="shared" si="20"/>
        <v>8128</v>
      </c>
      <c r="L263" s="126">
        <f t="shared" si="22"/>
        <v>60.207407407407409</v>
      </c>
      <c r="M263" s="38"/>
      <c r="N263" s="45">
        <v>385895</v>
      </c>
      <c r="O263" s="8">
        <f t="shared" si="25"/>
        <v>918</v>
      </c>
      <c r="P263" s="9"/>
      <c r="Q263" s="42">
        <v>547279</v>
      </c>
      <c r="R263" s="44">
        <f t="shared" si="23"/>
        <v>576</v>
      </c>
      <c r="S263" s="358"/>
      <c r="T263" s="129"/>
      <c r="U263" s="9"/>
      <c r="V263" s="38"/>
      <c r="W263" s="45"/>
      <c r="X263" s="8"/>
      <c r="Y263" s="38"/>
      <c r="Z263" s="244"/>
    </row>
    <row r="264" spans="1:26">
      <c r="A264" s="150">
        <v>44793</v>
      </c>
      <c r="B264" s="154">
        <f t="shared" si="19"/>
        <v>44793</v>
      </c>
      <c r="C264" s="45">
        <v>1090181</v>
      </c>
      <c r="D264" s="34">
        <f t="shared" si="24"/>
        <v>1004</v>
      </c>
      <c r="E264" s="38"/>
      <c r="F264" s="45">
        <v>3809938</v>
      </c>
      <c r="G264" s="1">
        <f t="shared" si="26"/>
        <v>12488</v>
      </c>
      <c r="H264" s="127">
        <f t="shared" si="21"/>
        <v>31.882037533512065</v>
      </c>
      <c r="I264" s="38"/>
      <c r="J264" s="45">
        <v>2006377</v>
      </c>
      <c r="K264" s="1">
        <f t="shared" si="20"/>
        <v>99</v>
      </c>
      <c r="L264" s="126">
        <f t="shared" si="22"/>
        <v>0.73333333333333328</v>
      </c>
      <c r="M264" s="38"/>
      <c r="N264" s="45">
        <v>386813</v>
      </c>
      <c r="O264" s="8">
        <f t="shared" si="25"/>
        <v>861</v>
      </c>
      <c r="P264" s="9"/>
      <c r="Q264" s="42">
        <v>547855</v>
      </c>
      <c r="R264" s="44">
        <f t="shared" si="23"/>
        <v>0</v>
      </c>
      <c r="S264" s="358"/>
      <c r="T264" s="129"/>
      <c r="U264" s="9"/>
      <c r="V264" s="38"/>
      <c r="W264" s="45"/>
      <c r="X264" s="8"/>
      <c r="Y264" s="38"/>
      <c r="Z264" s="244"/>
    </row>
    <row r="265" spans="1:26">
      <c r="A265" s="150">
        <v>44794</v>
      </c>
      <c r="B265" s="154">
        <f t="shared" si="19"/>
        <v>44794</v>
      </c>
      <c r="C265" s="45">
        <v>1091185</v>
      </c>
      <c r="D265" s="34">
        <f t="shared" si="24"/>
        <v>0</v>
      </c>
      <c r="E265" s="38"/>
      <c r="F265" s="45">
        <v>3822426</v>
      </c>
      <c r="G265" s="1">
        <f t="shared" si="26"/>
        <v>0</v>
      </c>
      <c r="H265" s="127">
        <f t="shared" si="21"/>
        <v>-4.2895442359249332</v>
      </c>
      <c r="I265" s="38"/>
      <c r="J265" s="45">
        <v>2006476</v>
      </c>
      <c r="K265" s="1">
        <f t="shared" si="20"/>
        <v>0</v>
      </c>
      <c r="L265" s="126">
        <f t="shared" si="22"/>
        <v>0</v>
      </c>
      <c r="M265" s="38"/>
      <c r="N265" s="45">
        <v>387674</v>
      </c>
      <c r="O265" s="8">
        <f t="shared" si="25"/>
        <v>0</v>
      </c>
      <c r="P265" s="9"/>
      <c r="Q265" s="42">
        <v>547855</v>
      </c>
      <c r="R265" s="44">
        <f t="shared" si="23"/>
        <v>0</v>
      </c>
      <c r="S265" s="358"/>
      <c r="T265" s="129"/>
      <c r="U265" s="9"/>
      <c r="V265" s="38"/>
      <c r="W265" s="45"/>
      <c r="X265" s="8"/>
      <c r="Y265" s="38"/>
      <c r="Z265" s="244"/>
    </row>
    <row r="266" spans="1:26">
      <c r="A266" s="150">
        <v>44795</v>
      </c>
      <c r="B266" s="154">
        <f t="shared" si="19"/>
        <v>44795</v>
      </c>
      <c r="C266" s="45">
        <v>1091185</v>
      </c>
      <c r="D266" s="34">
        <f t="shared" si="24"/>
        <v>758</v>
      </c>
      <c r="E266" s="38"/>
      <c r="F266" s="45">
        <v>3822426</v>
      </c>
      <c r="G266" s="1">
        <f t="shared" si="26"/>
        <v>7281</v>
      </c>
      <c r="H266" s="127">
        <f t="shared" si="21"/>
        <v>17.262734584450403</v>
      </c>
      <c r="I266" s="38"/>
      <c r="J266" s="45">
        <v>2006476</v>
      </c>
      <c r="K266" s="1">
        <f t="shared" si="20"/>
        <v>12526</v>
      </c>
      <c r="L266" s="126">
        <f t="shared" si="22"/>
        <v>92.785185185185185</v>
      </c>
      <c r="M266" s="38"/>
      <c r="N266" s="45">
        <v>387674</v>
      </c>
      <c r="O266" s="8">
        <f t="shared" si="25"/>
        <v>837</v>
      </c>
      <c r="P266" s="9"/>
      <c r="Q266" s="42">
        <v>547855</v>
      </c>
      <c r="R266" s="44">
        <f t="shared" si="23"/>
        <v>178</v>
      </c>
      <c r="S266" s="358"/>
      <c r="T266" s="129"/>
      <c r="U266" s="9"/>
      <c r="V266" s="38"/>
      <c r="W266" s="45"/>
      <c r="X266" s="8"/>
      <c r="Y266" s="38"/>
      <c r="Z266" s="244"/>
    </row>
    <row r="267" spans="1:26">
      <c r="A267" s="150">
        <v>44796</v>
      </c>
      <c r="B267" s="154">
        <f t="shared" si="19"/>
        <v>44796</v>
      </c>
      <c r="C267" s="45">
        <v>1091943</v>
      </c>
      <c r="D267" s="34">
        <f t="shared" si="24"/>
        <v>209</v>
      </c>
      <c r="E267" s="38"/>
      <c r="F267" s="45">
        <v>3829707</v>
      </c>
      <c r="G267" s="1">
        <f t="shared" si="26"/>
        <v>7673</v>
      </c>
      <c r="H267" s="127">
        <f t="shared" si="21"/>
        <v>16.841823056300267</v>
      </c>
      <c r="I267" s="38"/>
      <c r="J267" s="45">
        <v>2019002</v>
      </c>
      <c r="K267" s="1">
        <f t="shared" si="20"/>
        <v>6354</v>
      </c>
      <c r="L267" s="126">
        <f t="shared" si="22"/>
        <v>47.06666666666667</v>
      </c>
      <c r="M267" s="38"/>
      <c r="N267" s="45">
        <v>388511</v>
      </c>
      <c r="O267" s="8">
        <f t="shared" si="25"/>
        <v>804</v>
      </c>
      <c r="P267" s="9"/>
      <c r="Q267" s="42">
        <v>548033</v>
      </c>
      <c r="R267" s="44">
        <f t="shared" si="23"/>
        <v>203</v>
      </c>
      <c r="S267" s="358"/>
      <c r="T267" s="129"/>
      <c r="U267" s="9"/>
      <c r="V267" s="38"/>
      <c r="W267" s="45"/>
      <c r="X267" s="8"/>
      <c r="Y267" s="38"/>
      <c r="Z267" s="244"/>
    </row>
    <row r="268" spans="1:26">
      <c r="A268" s="150">
        <v>44797</v>
      </c>
      <c r="B268" s="154">
        <f t="shared" si="19"/>
        <v>44797</v>
      </c>
      <c r="C268" s="45">
        <v>1092152</v>
      </c>
      <c r="D268" s="34">
        <f t="shared" si="24"/>
        <v>147</v>
      </c>
      <c r="E268" s="38"/>
      <c r="F268" s="45">
        <v>3837380</v>
      </c>
      <c r="G268" s="1">
        <f t="shared" si="26"/>
        <v>7736</v>
      </c>
      <c r="H268" s="127">
        <f t="shared" si="21"/>
        <v>16.844504021447722</v>
      </c>
      <c r="I268" s="38"/>
      <c r="J268" s="45">
        <v>2025356</v>
      </c>
      <c r="K268" s="1">
        <f t="shared" si="20"/>
        <v>5771</v>
      </c>
      <c r="L268" s="126">
        <f t="shared" si="22"/>
        <v>42.748148148148147</v>
      </c>
      <c r="M268" s="38"/>
      <c r="N268" s="45">
        <v>389315</v>
      </c>
      <c r="O268" s="8">
        <f t="shared" si="25"/>
        <v>792</v>
      </c>
      <c r="P268" s="9"/>
      <c r="Q268" s="42">
        <v>548236</v>
      </c>
      <c r="R268" s="44">
        <f t="shared" si="23"/>
        <v>185</v>
      </c>
      <c r="S268" s="358"/>
      <c r="T268" s="129"/>
      <c r="U268" s="9"/>
      <c r="V268" s="38"/>
      <c r="W268" s="45"/>
      <c r="X268" s="8"/>
      <c r="Y268" s="38"/>
      <c r="Z268" s="244"/>
    </row>
    <row r="269" spans="1:26">
      <c r="A269" s="150">
        <v>44798</v>
      </c>
      <c r="B269" s="154">
        <f t="shared" si="19"/>
        <v>44798</v>
      </c>
      <c r="C269" s="45">
        <v>1092299</v>
      </c>
      <c r="D269" s="34">
        <f t="shared" si="24"/>
        <v>5627</v>
      </c>
      <c r="E269" s="38"/>
      <c r="F269" s="45">
        <v>3845116</v>
      </c>
      <c r="G269" s="1">
        <f t="shared" si="26"/>
        <v>9212</v>
      </c>
      <c r="H269" s="127">
        <f t="shared" si="21"/>
        <v>35.493297587131366</v>
      </c>
      <c r="I269" s="38"/>
      <c r="J269" s="45">
        <v>2031127</v>
      </c>
      <c r="K269" s="1">
        <f t="shared" si="20"/>
        <v>11080</v>
      </c>
      <c r="L269" s="126">
        <f t="shared" si="22"/>
        <v>82.074074074074076</v>
      </c>
      <c r="M269" s="38"/>
      <c r="N269" s="45">
        <v>390107</v>
      </c>
      <c r="O269" s="8">
        <f t="shared" si="25"/>
        <v>878</v>
      </c>
      <c r="P269" s="9"/>
      <c r="Q269" s="42">
        <v>548421</v>
      </c>
      <c r="R269" s="44">
        <f t="shared" si="23"/>
        <v>219</v>
      </c>
      <c r="S269" s="358"/>
      <c r="T269" s="129"/>
      <c r="U269" s="9"/>
      <c r="V269" s="38"/>
      <c r="W269" s="45"/>
      <c r="X269" s="8"/>
      <c r="Y269" s="38"/>
      <c r="Z269" s="244"/>
    </row>
    <row r="270" spans="1:26">
      <c r="A270" s="150">
        <v>44799</v>
      </c>
      <c r="B270" s="154">
        <f t="shared" ref="B270:B333" si="27">+A270</f>
        <v>44799</v>
      </c>
      <c r="C270" s="45">
        <v>1097926</v>
      </c>
      <c r="D270" s="34">
        <f t="shared" si="24"/>
        <v>11453</v>
      </c>
      <c r="E270" s="38"/>
      <c r="F270" s="45">
        <v>3854328</v>
      </c>
      <c r="G270" s="1">
        <f t="shared" si="26"/>
        <v>8453</v>
      </c>
      <c r="H270" s="127">
        <f t="shared" si="21"/>
        <v>49.077747989276141</v>
      </c>
      <c r="I270" s="38"/>
      <c r="J270" s="45">
        <v>2042207</v>
      </c>
      <c r="K270" s="1">
        <f t="shared" si="20"/>
        <v>6328</v>
      </c>
      <c r="L270" s="126">
        <f t="shared" si="22"/>
        <v>46.874074074074073</v>
      </c>
      <c r="M270" s="38"/>
      <c r="N270" s="45">
        <v>390985</v>
      </c>
      <c r="O270" s="8">
        <f t="shared" si="25"/>
        <v>371</v>
      </c>
      <c r="P270" s="9"/>
      <c r="Q270" s="42">
        <v>548640</v>
      </c>
      <c r="R270" s="44">
        <f t="shared" si="23"/>
        <v>612</v>
      </c>
      <c r="S270" s="358"/>
      <c r="T270" s="129"/>
      <c r="U270" s="9"/>
      <c r="V270" s="38"/>
      <c r="W270" s="45"/>
      <c r="X270" s="8"/>
      <c r="Y270" s="38"/>
      <c r="Z270" s="244"/>
    </row>
    <row r="271" spans="1:26">
      <c r="A271" s="150">
        <v>44800</v>
      </c>
      <c r="B271" s="154">
        <f t="shared" si="27"/>
        <v>44800</v>
      </c>
      <c r="C271" s="45">
        <v>1109379</v>
      </c>
      <c r="D271" s="34">
        <f t="shared" si="24"/>
        <v>86</v>
      </c>
      <c r="E271" s="38"/>
      <c r="F271" s="45">
        <v>3862781</v>
      </c>
      <c r="G271" s="1">
        <f t="shared" si="26"/>
        <v>15905</v>
      </c>
      <c r="H271" s="127">
        <f t="shared" si="21"/>
        <v>38.58176943699732</v>
      </c>
      <c r="I271" s="38"/>
      <c r="J271" s="45">
        <v>2048535</v>
      </c>
      <c r="K271" s="1">
        <f t="shared" si="20"/>
        <v>0</v>
      </c>
      <c r="L271" s="126">
        <f t="shared" si="22"/>
        <v>0</v>
      </c>
      <c r="M271" s="38"/>
      <c r="N271" s="45">
        <v>391356</v>
      </c>
      <c r="O271" s="8">
        <f t="shared" si="25"/>
        <v>1459</v>
      </c>
      <c r="P271" s="9"/>
      <c r="Q271" s="42">
        <v>549252</v>
      </c>
      <c r="R271" s="44">
        <f t="shared" si="23"/>
        <v>0</v>
      </c>
      <c r="S271" s="358"/>
      <c r="T271" s="129"/>
      <c r="U271" s="9"/>
      <c r="V271" s="38"/>
      <c r="W271" s="45"/>
      <c r="X271" s="8"/>
      <c r="Y271" s="38"/>
      <c r="Z271" s="244"/>
    </row>
    <row r="272" spans="1:26">
      <c r="A272" s="150">
        <v>44801</v>
      </c>
      <c r="B272" s="154">
        <f t="shared" si="27"/>
        <v>44801</v>
      </c>
      <c r="C272" s="45">
        <v>1109465</v>
      </c>
      <c r="D272" s="34">
        <f t="shared" si="24"/>
        <v>0</v>
      </c>
      <c r="E272" s="38"/>
      <c r="F272" s="45">
        <v>3878686</v>
      </c>
      <c r="G272" s="1">
        <f t="shared" si="26"/>
        <v>0</v>
      </c>
      <c r="H272" s="127">
        <f t="shared" si="21"/>
        <v>-4.2895442359249332</v>
      </c>
      <c r="I272" s="38"/>
      <c r="J272" s="45">
        <v>2048535</v>
      </c>
      <c r="K272" s="1">
        <f t="shared" si="20"/>
        <v>0</v>
      </c>
      <c r="L272" s="126">
        <f t="shared" si="22"/>
        <v>0</v>
      </c>
      <c r="M272" s="38"/>
      <c r="N272" s="45">
        <v>392815</v>
      </c>
      <c r="O272" s="8">
        <f t="shared" si="25"/>
        <v>0</v>
      </c>
      <c r="P272" s="9"/>
      <c r="Q272" s="42">
        <v>549252</v>
      </c>
      <c r="R272" s="44">
        <f t="shared" si="23"/>
        <v>0</v>
      </c>
      <c r="S272" s="358"/>
      <c r="T272" s="129"/>
      <c r="U272" s="9"/>
      <c r="V272" s="38"/>
      <c r="W272" s="45"/>
      <c r="X272" s="8"/>
      <c r="Y272" s="38"/>
      <c r="Z272" s="244"/>
    </row>
    <row r="273" spans="1:26">
      <c r="A273" s="150">
        <v>44802</v>
      </c>
      <c r="B273" s="154">
        <f t="shared" si="27"/>
        <v>44802</v>
      </c>
      <c r="C273" s="45">
        <v>1109465</v>
      </c>
      <c r="D273" s="34">
        <f t="shared" si="24"/>
        <v>4</v>
      </c>
      <c r="E273" s="38"/>
      <c r="F273" s="45">
        <v>3878686</v>
      </c>
      <c r="G273" s="1">
        <f t="shared" si="26"/>
        <v>6956</v>
      </c>
      <c r="H273" s="127">
        <f t="shared" si="21"/>
        <v>14.369973190348526</v>
      </c>
      <c r="I273" s="38"/>
      <c r="J273" s="45">
        <v>2048535</v>
      </c>
      <c r="K273" s="1">
        <f t="shared" si="20"/>
        <v>9840</v>
      </c>
      <c r="L273" s="126">
        <f t="shared" si="22"/>
        <v>72.888888888888886</v>
      </c>
      <c r="M273" s="38"/>
      <c r="N273" s="45">
        <v>392815</v>
      </c>
      <c r="O273" s="8">
        <f t="shared" si="25"/>
        <v>905</v>
      </c>
      <c r="P273" s="9"/>
      <c r="Q273" s="42">
        <v>549252</v>
      </c>
      <c r="R273" s="44">
        <f t="shared" si="23"/>
        <v>187</v>
      </c>
      <c r="S273" s="358"/>
      <c r="T273" s="129"/>
      <c r="U273" s="9"/>
      <c r="V273" s="38"/>
      <c r="W273" s="45"/>
      <c r="X273" s="8"/>
      <c r="Y273" s="38"/>
      <c r="Z273" s="244"/>
    </row>
    <row r="274" spans="1:26">
      <c r="A274" s="150">
        <v>44803</v>
      </c>
      <c r="B274" s="154">
        <f t="shared" si="27"/>
        <v>44803</v>
      </c>
      <c r="C274" s="45">
        <v>1109469</v>
      </c>
      <c r="D274" s="34">
        <f t="shared" si="24"/>
        <v>5</v>
      </c>
      <c r="E274" s="38"/>
      <c r="F274" s="45">
        <v>3885642</v>
      </c>
      <c r="G274" s="1">
        <f t="shared" si="26"/>
        <v>8092</v>
      </c>
      <c r="H274" s="127">
        <f t="shared" si="21"/>
        <v>17.41823056300268</v>
      </c>
      <c r="I274" s="38"/>
      <c r="J274" s="45">
        <v>2058375</v>
      </c>
      <c r="K274" s="1">
        <f t="shared" si="20"/>
        <v>5293</v>
      </c>
      <c r="L274" s="126">
        <f t="shared" si="22"/>
        <v>39.207407407407409</v>
      </c>
      <c r="M274" s="38"/>
      <c r="N274" s="45">
        <v>393720</v>
      </c>
      <c r="O274" s="8">
        <f t="shared" si="25"/>
        <v>1258</v>
      </c>
      <c r="P274" s="9"/>
      <c r="Q274" s="42">
        <v>549439</v>
      </c>
      <c r="R274" s="44">
        <f t="shared" si="23"/>
        <v>200</v>
      </c>
      <c r="S274" s="358"/>
      <c r="T274" s="129"/>
      <c r="U274" s="9"/>
      <c r="V274" s="38"/>
      <c r="W274" s="45"/>
      <c r="X274" s="8"/>
      <c r="Y274" s="38"/>
      <c r="Z274" s="244"/>
    </row>
    <row r="275" spans="1:26">
      <c r="A275" s="150">
        <v>44804</v>
      </c>
      <c r="B275" s="154">
        <f t="shared" si="27"/>
        <v>44804</v>
      </c>
      <c r="C275" s="45">
        <v>1109474</v>
      </c>
      <c r="D275" s="34">
        <f t="shared" si="24"/>
        <v>10172</v>
      </c>
      <c r="E275" s="38"/>
      <c r="F275" s="45">
        <v>3893734</v>
      </c>
      <c r="G275" s="1">
        <f t="shared" si="26"/>
        <v>8689</v>
      </c>
      <c r="H275" s="127">
        <f t="shared" si="21"/>
        <v>46.276139410187668</v>
      </c>
      <c r="I275" s="38"/>
      <c r="J275" s="45">
        <v>2063668</v>
      </c>
      <c r="K275" s="1">
        <f t="shared" si="20"/>
        <v>6133</v>
      </c>
      <c r="L275" s="126">
        <f t="shared" si="22"/>
        <v>45.42962962962963</v>
      </c>
      <c r="M275" s="38"/>
      <c r="N275" s="45">
        <v>394978</v>
      </c>
      <c r="O275" s="8">
        <f t="shared" si="25"/>
        <v>475</v>
      </c>
      <c r="P275" s="9"/>
      <c r="Q275" s="42">
        <v>549639</v>
      </c>
      <c r="R275" s="44">
        <f t="shared" si="23"/>
        <v>191</v>
      </c>
      <c r="S275" s="358"/>
      <c r="T275" s="129"/>
      <c r="U275" s="9"/>
      <c r="V275" s="38"/>
      <c r="W275" s="45"/>
      <c r="X275" s="8"/>
      <c r="Y275" s="38"/>
      <c r="Z275" s="244"/>
    </row>
    <row r="276" spans="1:26">
      <c r="A276" s="150">
        <v>44805</v>
      </c>
      <c r="B276" s="154">
        <f t="shared" si="27"/>
        <v>44805</v>
      </c>
      <c r="C276" s="45">
        <v>1119646</v>
      </c>
      <c r="D276" s="34">
        <f>IF(C277&gt;0,C277-C276," ")</f>
        <v>7757</v>
      </c>
      <c r="E276" s="38"/>
      <c r="F276" s="45">
        <v>3902423</v>
      </c>
      <c r="G276" s="1">
        <f t="shared" si="26"/>
        <v>10918</v>
      </c>
      <c r="H276" s="127">
        <f t="shared" si="21"/>
        <v>45.777479892761392</v>
      </c>
      <c r="I276" s="38"/>
      <c r="J276" s="45">
        <v>2069801</v>
      </c>
      <c r="K276" s="1">
        <f t="shared" si="20"/>
        <v>10888</v>
      </c>
      <c r="L276" s="126">
        <f t="shared" si="22"/>
        <v>80.651851851851845</v>
      </c>
      <c r="M276" s="38"/>
      <c r="N276" s="45">
        <v>395453</v>
      </c>
      <c r="O276" s="8">
        <f t="shared" si="25"/>
        <v>943</v>
      </c>
      <c r="P276" s="9"/>
      <c r="Q276" s="42">
        <v>549830</v>
      </c>
      <c r="R276" s="44">
        <f t="shared" si="23"/>
        <v>221</v>
      </c>
      <c r="S276" s="358"/>
      <c r="T276" s="129">
        <v>55132</v>
      </c>
      <c r="U276" s="9">
        <f>T277-T276</f>
        <v>0</v>
      </c>
      <c r="V276" s="38"/>
      <c r="W276" s="45">
        <v>43372</v>
      </c>
      <c r="X276" s="8">
        <f>W277-W276</f>
        <v>14</v>
      </c>
      <c r="Y276" s="38"/>
      <c r="Z276" s="244"/>
    </row>
    <row r="277" spans="1:26">
      <c r="A277" s="150">
        <v>44806</v>
      </c>
      <c r="B277" s="154">
        <f t="shared" si="27"/>
        <v>44806</v>
      </c>
      <c r="C277" s="45">
        <v>1127403</v>
      </c>
      <c r="D277" s="34">
        <f t="shared" si="24"/>
        <v>202</v>
      </c>
      <c r="E277" s="38"/>
      <c r="F277" s="45">
        <v>3913341</v>
      </c>
      <c r="G277" s="1">
        <f t="shared" si="26"/>
        <v>7873</v>
      </c>
      <c r="H277" s="127">
        <f t="shared" si="21"/>
        <v>17.359249329758715</v>
      </c>
      <c r="I277" s="38"/>
      <c r="J277" s="45">
        <v>2080689</v>
      </c>
      <c r="K277" s="1">
        <f t="shared" si="20"/>
        <v>5209</v>
      </c>
      <c r="L277" s="126">
        <f t="shared" si="22"/>
        <v>38.585185185185182</v>
      </c>
      <c r="M277" s="38"/>
      <c r="N277" s="45">
        <v>396396</v>
      </c>
      <c r="O277" s="8">
        <f t="shared" si="25"/>
        <v>804</v>
      </c>
      <c r="P277" s="9"/>
      <c r="Q277" s="42">
        <v>550051</v>
      </c>
      <c r="R277" s="44">
        <f t="shared" si="23"/>
        <v>526</v>
      </c>
      <c r="S277" s="358"/>
      <c r="T277" s="129">
        <v>55132</v>
      </c>
      <c r="U277" s="9">
        <f t="shared" ref="U277:U340" si="28">T278-T277</f>
        <v>1</v>
      </c>
      <c r="V277" s="38"/>
      <c r="W277" s="45">
        <v>43386</v>
      </c>
      <c r="X277" s="8">
        <f t="shared" ref="X277:X340" si="29">W278-W277</f>
        <v>42</v>
      </c>
      <c r="Y277" s="38"/>
      <c r="Z277" s="246" t="s">
        <v>59</v>
      </c>
    </row>
    <row r="278" spans="1:26">
      <c r="A278" s="150">
        <v>44807</v>
      </c>
      <c r="B278" s="154">
        <f t="shared" si="27"/>
        <v>44807</v>
      </c>
      <c r="C278" s="45">
        <v>1127605</v>
      </c>
      <c r="D278" s="34">
        <f t="shared" si="24"/>
        <v>626</v>
      </c>
      <c r="E278" s="38"/>
      <c r="F278" s="45">
        <v>3921214</v>
      </c>
      <c r="G278" s="1">
        <f t="shared" si="26"/>
        <v>16415</v>
      </c>
      <c r="H278" s="127">
        <f t="shared" si="21"/>
        <v>41.396782841823054</v>
      </c>
      <c r="I278" s="38"/>
      <c r="J278" s="45">
        <v>2085898</v>
      </c>
      <c r="K278" s="1">
        <f t="shared" si="20"/>
        <v>4011</v>
      </c>
      <c r="L278" s="126">
        <f t="shared" si="22"/>
        <v>29.711111111111112</v>
      </c>
      <c r="M278" s="38"/>
      <c r="N278" s="45">
        <v>397200</v>
      </c>
      <c r="O278" s="8">
        <f t="shared" si="25"/>
        <v>858</v>
      </c>
      <c r="P278" s="9"/>
      <c r="Q278" s="42">
        <v>550577</v>
      </c>
      <c r="R278" s="44">
        <f t="shared" si="23"/>
        <v>0</v>
      </c>
      <c r="S278" s="358"/>
      <c r="T278" s="129">
        <v>55133</v>
      </c>
      <c r="U278" s="9">
        <f t="shared" si="28"/>
        <v>0</v>
      </c>
      <c r="V278" s="38"/>
      <c r="W278" s="45">
        <v>43428</v>
      </c>
      <c r="X278" s="8">
        <f t="shared" si="29"/>
        <v>0</v>
      </c>
      <c r="Y278" s="38"/>
      <c r="Z278" s="246" t="s">
        <v>59</v>
      </c>
    </row>
    <row r="279" spans="1:26">
      <c r="A279" s="150">
        <v>44808</v>
      </c>
      <c r="B279" s="154">
        <f t="shared" si="27"/>
        <v>44808</v>
      </c>
      <c r="C279" s="45">
        <v>1128231</v>
      </c>
      <c r="D279" s="34">
        <f t="shared" si="24"/>
        <v>631</v>
      </c>
      <c r="E279" s="38"/>
      <c r="F279" s="45">
        <v>3937629</v>
      </c>
      <c r="G279" s="1">
        <f t="shared" si="26"/>
        <v>0</v>
      </c>
      <c r="H279" s="127">
        <f t="shared" si="21"/>
        <v>-2.5978552278820377</v>
      </c>
      <c r="I279" s="38"/>
      <c r="J279" s="45">
        <v>2089909</v>
      </c>
      <c r="K279" s="1">
        <f t="shared" ref="K279:K348" si="30">IF(J280&gt;0,J280-J279," ")</f>
        <v>0</v>
      </c>
      <c r="L279" s="126">
        <f t="shared" si="22"/>
        <v>0</v>
      </c>
      <c r="M279" s="38"/>
      <c r="N279" s="45">
        <v>398058</v>
      </c>
      <c r="O279" s="8">
        <f t="shared" si="25"/>
        <v>0</v>
      </c>
      <c r="P279" s="9"/>
      <c r="Q279" s="42">
        <v>550577</v>
      </c>
      <c r="R279" s="44">
        <f t="shared" si="23"/>
        <v>0</v>
      </c>
      <c r="S279" s="358"/>
      <c r="T279" s="129">
        <v>55133</v>
      </c>
      <c r="U279" s="9">
        <f t="shared" si="28"/>
        <v>0</v>
      </c>
      <c r="V279" s="38"/>
      <c r="W279" s="45">
        <v>43428</v>
      </c>
      <c r="X279" s="8">
        <f t="shared" si="29"/>
        <v>0</v>
      </c>
      <c r="Y279" s="38"/>
      <c r="Z279" s="244"/>
    </row>
    <row r="280" spans="1:26">
      <c r="A280" s="150">
        <v>44809</v>
      </c>
      <c r="B280" s="154">
        <f t="shared" si="27"/>
        <v>44809</v>
      </c>
      <c r="C280" s="45">
        <v>1128862</v>
      </c>
      <c r="D280" s="34">
        <f t="shared" si="24"/>
        <v>391</v>
      </c>
      <c r="E280" s="38"/>
      <c r="F280" s="45">
        <v>3937629</v>
      </c>
      <c r="G280" s="1">
        <f t="shared" si="26"/>
        <v>7695</v>
      </c>
      <c r="H280" s="127">
        <f t="shared" si="21"/>
        <v>17.388739946380696</v>
      </c>
      <c r="I280" s="38"/>
      <c r="J280" s="45">
        <v>2089909</v>
      </c>
      <c r="K280" s="1">
        <f t="shared" si="30"/>
        <v>5899</v>
      </c>
      <c r="L280" s="126">
        <f t="shared" si="22"/>
        <v>43.696296296296296</v>
      </c>
      <c r="M280" s="38"/>
      <c r="N280" s="45">
        <v>398058</v>
      </c>
      <c r="O280" s="8">
        <f t="shared" si="25"/>
        <v>985</v>
      </c>
      <c r="P280" s="9"/>
      <c r="Q280" s="42">
        <v>550577</v>
      </c>
      <c r="R280" s="44">
        <f t="shared" si="23"/>
        <v>218</v>
      </c>
      <c r="S280" s="358"/>
      <c r="T280" s="129">
        <v>55133</v>
      </c>
      <c r="U280" s="9">
        <f t="shared" si="28"/>
        <v>0</v>
      </c>
      <c r="V280" s="38"/>
      <c r="W280" s="45">
        <v>43428</v>
      </c>
      <c r="X280" s="8">
        <f t="shared" si="29"/>
        <v>0</v>
      </c>
      <c r="Y280" s="38"/>
      <c r="Z280" s="244"/>
    </row>
    <row r="281" spans="1:26">
      <c r="A281" s="150">
        <v>44810</v>
      </c>
      <c r="B281" s="154">
        <f t="shared" si="27"/>
        <v>44810</v>
      </c>
      <c r="C281" s="45">
        <v>1129253</v>
      </c>
      <c r="D281" s="34">
        <f t="shared" si="24"/>
        <v>752</v>
      </c>
      <c r="E281" s="38"/>
      <c r="F281" s="45">
        <v>3945324</v>
      </c>
      <c r="G281" s="1">
        <f t="shared" si="26"/>
        <v>15510</v>
      </c>
      <c r="H281" s="127">
        <f t="shared" si="21"/>
        <v>39.308310991957107</v>
      </c>
      <c r="I281" s="38"/>
      <c r="J281" s="45">
        <v>2095808</v>
      </c>
      <c r="K281" s="1">
        <f t="shared" si="30"/>
        <v>9952</v>
      </c>
      <c r="L281" s="126">
        <f t="shared" si="22"/>
        <v>73.718518518518522</v>
      </c>
      <c r="M281" s="38"/>
      <c r="N281" s="45">
        <v>399043</v>
      </c>
      <c r="O281" s="8">
        <f t="shared" si="25"/>
        <v>1025</v>
      </c>
      <c r="P281" s="365" t="s">
        <v>78</v>
      </c>
      <c r="Q281" s="42">
        <v>550795</v>
      </c>
      <c r="R281" s="44">
        <f t="shared" si="23"/>
        <v>359</v>
      </c>
      <c r="S281" s="358"/>
      <c r="T281" s="129">
        <v>55133</v>
      </c>
      <c r="U281" s="9">
        <f t="shared" si="28"/>
        <v>217</v>
      </c>
      <c r="V281" s="38"/>
      <c r="W281" s="45">
        <v>43428</v>
      </c>
      <c r="X281" s="8">
        <f t="shared" si="29"/>
        <v>29</v>
      </c>
      <c r="Y281" s="38"/>
      <c r="Z281" s="244"/>
    </row>
    <row r="282" spans="1:26">
      <c r="A282" s="150">
        <v>44811</v>
      </c>
      <c r="B282" s="154">
        <f t="shared" si="27"/>
        <v>44811</v>
      </c>
      <c r="C282" s="45">
        <v>1130005</v>
      </c>
      <c r="D282" s="34">
        <f t="shared" si="24"/>
        <v>0</v>
      </c>
      <c r="E282" s="38"/>
      <c r="F282" s="45">
        <v>3960834</v>
      </c>
      <c r="G282" s="1">
        <f t="shared" si="26"/>
        <v>0</v>
      </c>
      <c r="H282" s="127">
        <f>(G282+D282-1595)/373</f>
        <v>-4.2761394101876675</v>
      </c>
      <c r="I282" s="38"/>
      <c r="J282" s="45">
        <v>2105760</v>
      </c>
      <c r="K282" s="1">
        <f t="shared" si="30"/>
        <v>0</v>
      </c>
      <c r="L282" s="126">
        <f t="shared" si="22"/>
        <v>0</v>
      </c>
      <c r="M282" s="38"/>
      <c r="N282" s="46">
        <v>400068</v>
      </c>
      <c r="O282" s="12">
        <f t="shared" si="25"/>
        <v>0</v>
      </c>
      <c r="P282" s="166"/>
      <c r="Q282" s="42">
        <v>551154</v>
      </c>
      <c r="R282" s="44">
        <f t="shared" si="23"/>
        <v>0</v>
      </c>
      <c r="S282" s="358"/>
      <c r="T282" s="129">
        <v>55350</v>
      </c>
      <c r="U282" s="9">
        <f>T283-T282</f>
        <v>0</v>
      </c>
      <c r="V282" s="38"/>
      <c r="W282" s="45">
        <v>43457</v>
      </c>
      <c r="X282" s="8">
        <f t="shared" si="29"/>
        <v>0</v>
      </c>
      <c r="Y282" s="38"/>
      <c r="Z282" s="244"/>
    </row>
    <row r="283" spans="1:26">
      <c r="A283" s="150">
        <v>44812</v>
      </c>
      <c r="B283" s="154">
        <f t="shared" si="27"/>
        <v>44812</v>
      </c>
      <c r="C283" s="45">
        <v>1130005</v>
      </c>
      <c r="D283" s="34">
        <f t="shared" si="24"/>
        <v>244</v>
      </c>
      <c r="E283" s="38"/>
      <c r="F283" s="45">
        <v>3960834</v>
      </c>
      <c r="G283" s="1">
        <f t="shared" si="26"/>
        <v>8013</v>
      </c>
      <c r="H283" s="127">
        <f>(G283+D283-1595)/373</f>
        <v>17.860589812332439</v>
      </c>
      <c r="I283" s="38"/>
      <c r="J283" s="45">
        <v>2105760</v>
      </c>
      <c r="K283" s="1">
        <f t="shared" si="30"/>
        <v>5420</v>
      </c>
      <c r="L283" s="126">
        <f t="shared" si="22"/>
        <v>40.148148148148145</v>
      </c>
      <c r="M283" s="38"/>
      <c r="N283" s="46">
        <v>400068</v>
      </c>
      <c r="O283" s="12">
        <f t="shared" si="25"/>
        <v>741</v>
      </c>
      <c r="P283" s="166"/>
      <c r="Q283" s="42">
        <v>551154</v>
      </c>
      <c r="R283" s="44">
        <f t="shared" si="23"/>
        <v>176</v>
      </c>
      <c r="S283" s="358"/>
      <c r="T283" s="129">
        <v>55350</v>
      </c>
      <c r="U283" s="9">
        <f t="shared" si="28"/>
        <v>120</v>
      </c>
      <c r="V283" s="38"/>
      <c r="W283" s="45">
        <v>43457</v>
      </c>
      <c r="X283" s="8">
        <f t="shared" si="29"/>
        <v>30</v>
      </c>
      <c r="Y283" s="38"/>
      <c r="Z283" s="244"/>
    </row>
    <row r="284" spans="1:26">
      <c r="A284" s="150">
        <v>44813</v>
      </c>
      <c r="B284" s="154">
        <f t="shared" si="27"/>
        <v>44813</v>
      </c>
      <c r="C284" s="45">
        <v>1130249</v>
      </c>
      <c r="D284" s="34">
        <f t="shared" si="24"/>
        <v>140</v>
      </c>
      <c r="E284" s="38"/>
      <c r="F284" s="45">
        <v>3968847</v>
      </c>
      <c r="G284" s="1">
        <f>IF(F285&gt;0,F285-F284," ")</f>
        <v>7713</v>
      </c>
      <c r="H284" s="127">
        <f t="shared" ref="H284:H348" si="31">(G284+D284-1595)/373</f>
        <v>16.777479892761395</v>
      </c>
      <c r="I284" s="38"/>
      <c r="J284" s="45">
        <v>2111180</v>
      </c>
      <c r="K284" s="1">
        <f t="shared" si="30"/>
        <v>10810</v>
      </c>
      <c r="L284" s="126">
        <f t="shared" si="22"/>
        <v>80.074074074074076</v>
      </c>
      <c r="M284" s="38"/>
      <c r="N284" s="46">
        <v>400809</v>
      </c>
      <c r="O284" s="12">
        <f t="shared" si="25"/>
        <v>1562</v>
      </c>
      <c r="P284" s="166"/>
      <c r="Q284" s="42">
        <v>551330</v>
      </c>
      <c r="R284" s="44">
        <f t="shared" si="23"/>
        <v>555</v>
      </c>
      <c r="S284" s="358"/>
      <c r="T284" s="129">
        <v>55470</v>
      </c>
      <c r="U284" s="9">
        <f t="shared" si="28"/>
        <v>161</v>
      </c>
      <c r="V284" s="38"/>
      <c r="W284" s="45">
        <v>43487</v>
      </c>
      <c r="X284" s="8">
        <f t="shared" si="29"/>
        <v>53</v>
      </c>
      <c r="Y284" s="38"/>
      <c r="Z284" s="244"/>
    </row>
    <row r="285" spans="1:26">
      <c r="A285" s="150">
        <v>44814</v>
      </c>
      <c r="B285" s="154">
        <f t="shared" si="27"/>
        <v>44814</v>
      </c>
      <c r="C285" s="45">
        <v>1130389</v>
      </c>
      <c r="D285" s="34">
        <f t="shared" si="24"/>
        <v>786</v>
      </c>
      <c r="E285" s="40" t="s">
        <v>78</v>
      </c>
      <c r="F285" s="45">
        <v>3976560</v>
      </c>
      <c r="G285" s="1">
        <f t="shared" si="26"/>
        <v>15825</v>
      </c>
      <c r="H285" s="127">
        <f t="shared" si="31"/>
        <v>40.257372654155496</v>
      </c>
      <c r="I285" s="40" t="s">
        <v>78</v>
      </c>
      <c r="J285" s="45">
        <v>2121990</v>
      </c>
      <c r="K285" s="1">
        <f t="shared" si="30"/>
        <v>3793</v>
      </c>
      <c r="L285" s="126">
        <f t="shared" si="22"/>
        <v>28.096296296296295</v>
      </c>
      <c r="M285" s="40" t="s">
        <v>78</v>
      </c>
      <c r="N285" s="46">
        <v>402371</v>
      </c>
      <c r="O285" s="12">
        <f t="shared" si="25"/>
        <v>799</v>
      </c>
      <c r="P285" s="166"/>
      <c r="Q285" s="42">
        <v>551885</v>
      </c>
      <c r="R285" s="44">
        <f t="shared" si="23"/>
        <v>0</v>
      </c>
      <c r="S285" s="358"/>
      <c r="T285" s="129">
        <v>55631</v>
      </c>
      <c r="U285" s="9">
        <f t="shared" si="28"/>
        <v>0</v>
      </c>
      <c r="V285" s="40" t="s">
        <v>78</v>
      </c>
      <c r="W285" s="45">
        <v>43540</v>
      </c>
      <c r="X285" s="8">
        <f t="shared" si="29"/>
        <v>0</v>
      </c>
      <c r="Y285" s="40" t="s">
        <v>78</v>
      </c>
      <c r="Z285" s="244"/>
    </row>
    <row r="286" spans="1:26">
      <c r="A286" s="150">
        <v>44815</v>
      </c>
      <c r="B286" s="154">
        <f t="shared" si="27"/>
        <v>44815</v>
      </c>
      <c r="C286" s="46">
        <v>1131175</v>
      </c>
      <c r="D286" s="35">
        <f t="shared" si="24"/>
        <v>0</v>
      </c>
      <c r="E286" s="39"/>
      <c r="F286" s="46">
        <v>3992385</v>
      </c>
      <c r="G286" s="2">
        <f t="shared" si="26"/>
        <v>0</v>
      </c>
      <c r="H286" s="156">
        <f t="shared" si="31"/>
        <v>-4.2761394101876675</v>
      </c>
      <c r="I286" s="39"/>
      <c r="J286" s="46">
        <v>2125783</v>
      </c>
      <c r="K286" s="2">
        <f t="shared" si="30"/>
        <v>0</v>
      </c>
      <c r="L286" s="160">
        <f t="shared" si="22"/>
        <v>0</v>
      </c>
      <c r="M286" s="39"/>
      <c r="N286" s="46">
        <v>403170</v>
      </c>
      <c r="O286" s="12">
        <f t="shared" si="25"/>
        <v>0</v>
      </c>
      <c r="P286" s="166"/>
      <c r="Q286" s="42">
        <v>551885</v>
      </c>
      <c r="R286" s="44">
        <f t="shared" si="23"/>
        <v>0</v>
      </c>
      <c r="S286" s="358"/>
      <c r="T286" s="165">
        <v>55631</v>
      </c>
      <c r="U286" s="166">
        <f t="shared" si="28"/>
        <v>0</v>
      </c>
      <c r="V286" s="39"/>
      <c r="W286" s="46">
        <v>43540</v>
      </c>
      <c r="X286" s="12">
        <f t="shared" si="29"/>
        <v>0</v>
      </c>
      <c r="Y286" s="39"/>
      <c r="Z286" s="244"/>
    </row>
    <row r="287" spans="1:26">
      <c r="A287" s="150">
        <v>44816</v>
      </c>
      <c r="B287" s="154">
        <f t="shared" si="27"/>
        <v>44816</v>
      </c>
      <c r="C287" s="46">
        <v>1131175</v>
      </c>
      <c r="D287" s="35">
        <f t="shared" si="24"/>
        <v>1428</v>
      </c>
      <c r="E287" s="39"/>
      <c r="F287" s="46">
        <v>3992385</v>
      </c>
      <c r="G287" s="2">
        <f t="shared" si="26"/>
        <v>10833</v>
      </c>
      <c r="H287" s="156">
        <f t="shared" si="31"/>
        <v>28.595174262734584</v>
      </c>
      <c r="I287" s="39"/>
      <c r="J287" s="46">
        <v>2125783</v>
      </c>
      <c r="K287" s="2">
        <f>IF(J288&gt;0,J288-J287," ")</f>
        <v>6908</v>
      </c>
      <c r="L287" s="160">
        <f t="shared" si="22"/>
        <v>51.170370370370371</v>
      </c>
      <c r="M287" s="39"/>
      <c r="N287" s="46">
        <v>403170</v>
      </c>
      <c r="O287" s="12">
        <f t="shared" si="25"/>
        <v>822</v>
      </c>
      <c r="P287" s="166"/>
      <c r="Q287" s="42">
        <v>551885</v>
      </c>
      <c r="R287" s="44">
        <f t="shared" si="23"/>
        <v>217</v>
      </c>
      <c r="S287" s="358"/>
      <c r="T287" s="165">
        <v>55631</v>
      </c>
      <c r="U287" s="166">
        <f t="shared" si="28"/>
        <v>27</v>
      </c>
      <c r="V287" s="39"/>
      <c r="W287" s="46">
        <v>43540</v>
      </c>
      <c r="X287" s="12">
        <f t="shared" si="29"/>
        <v>26</v>
      </c>
      <c r="Y287" s="39"/>
      <c r="Z287" s="244"/>
    </row>
    <row r="288" spans="1:26">
      <c r="A288" s="150">
        <v>44817</v>
      </c>
      <c r="B288" s="154">
        <f t="shared" si="27"/>
        <v>44817</v>
      </c>
      <c r="C288" s="46">
        <v>1132603</v>
      </c>
      <c r="D288" s="35">
        <f t="shared" si="24"/>
        <v>7868</v>
      </c>
      <c r="E288" s="39"/>
      <c r="F288" s="46">
        <v>4003218</v>
      </c>
      <c r="G288" s="2">
        <f t="shared" si="26"/>
        <v>9403</v>
      </c>
      <c r="H288" s="156">
        <f t="shared" si="31"/>
        <v>42.02680965147453</v>
      </c>
      <c r="I288" s="39"/>
      <c r="J288" s="46">
        <v>2132691</v>
      </c>
      <c r="K288" s="2">
        <f t="shared" si="30"/>
        <v>14650</v>
      </c>
      <c r="L288" s="160">
        <f t="shared" si="22"/>
        <v>108.51851851851852</v>
      </c>
      <c r="M288" s="39"/>
      <c r="N288" s="46">
        <v>403992</v>
      </c>
      <c r="O288" s="12">
        <f t="shared" si="25"/>
        <v>769</v>
      </c>
      <c r="P288" s="166"/>
      <c r="Q288" s="42">
        <v>552102</v>
      </c>
      <c r="R288" s="44">
        <f t="shared" si="23"/>
        <v>189</v>
      </c>
      <c r="S288" s="358"/>
      <c r="T288" s="165">
        <v>55658</v>
      </c>
      <c r="U288" s="166">
        <f t="shared" si="28"/>
        <v>0</v>
      </c>
      <c r="V288" s="39"/>
      <c r="W288" s="46">
        <v>43566</v>
      </c>
      <c r="X288" s="12">
        <f t="shared" si="29"/>
        <v>28</v>
      </c>
      <c r="Y288" s="39"/>
      <c r="Z288" s="244"/>
    </row>
    <row r="289" spans="1:26">
      <c r="A289" s="150">
        <v>44818</v>
      </c>
      <c r="B289" s="154">
        <f t="shared" si="27"/>
        <v>44818</v>
      </c>
      <c r="C289" s="46">
        <v>1140471</v>
      </c>
      <c r="D289" s="35">
        <f t="shared" si="24"/>
        <v>15663</v>
      </c>
      <c r="E289" s="39"/>
      <c r="F289" s="46">
        <v>4012621</v>
      </c>
      <c r="G289" s="2">
        <f t="shared" si="26"/>
        <v>5994</v>
      </c>
      <c r="H289" s="156">
        <f t="shared" si="31"/>
        <v>53.785522788203757</v>
      </c>
      <c r="I289" s="39"/>
      <c r="J289" s="46">
        <v>2147341</v>
      </c>
      <c r="K289" s="2">
        <f t="shared" si="30"/>
        <v>0</v>
      </c>
      <c r="L289" s="160">
        <f t="shared" si="22"/>
        <v>0</v>
      </c>
      <c r="M289" s="39"/>
      <c r="N289" s="46">
        <v>404761</v>
      </c>
      <c r="O289" s="12">
        <f t="shared" si="25"/>
        <v>971</v>
      </c>
      <c r="P289" s="166"/>
      <c r="Q289" s="42">
        <v>552291</v>
      </c>
      <c r="R289" s="44">
        <f t="shared" si="23"/>
        <v>182</v>
      </c>
      <c r="S289" s="358"/>
      <c r="T289" s="165">
        <v>55658</v>
      </c>
      <c r="U289" s="166">
        <f t="shared" si="28"/>
        <v>38</v>
      </c>
      <c r="V289" s="39"/>
      <c r="W289" s="46">
        <v>43594</v>
      </c>
      <c r="X289" s="12">
        <f t="shared" si="29"/>
        <v>50</v>
      </c>
      <c r="Y289" s="39"/>
      <c r="Z289" s="246" t="s">
        <v>59</v>
      </c>
    </row>
    <row r="290" spans="1:26">
      <c r="A290" s="150">
        <v>44819</v>
      </c>
      <c r="B290" s="154">
        <f t="shared" si="27"/>
        <v>44819</v>
      </c>
      <c r="C290" s="46">
        <v>1156134</v>
      </c>
      <c r="D290" s="35">
        <f t="shared" si="24"/>
        <v>8973</v>
      </c>
      <c r="E290" s="39"/>
      <c r="F290" s="46">
        <v>4018615</v>
      </c>
      <c r="G290" s="2">
        <f t="shared" si="26"/>
        <v>8903</v>
      </c>
      <c r="H290" s="156">
        <f t="shared" si="31"/>
        <v>43.648793565683647</v>
      </c>
      <c r="I290" s="39"/>
      <c r="J290" s="46">
        <v>2147341</v>
      </c>
      <c r="K290" s="2">
        <f t="shared" si="30"/>
        <v>10443</v>
      </c>
      <c r="L290" s="160">
        <f t="shared" si="22"/>
        <v>77.355555555555554</v>
      </c>
      <c r="M290" s="39"/>
      <c r="N290" s="46">
        <v>405732</v>
      </c>
      <c r="O290" s="12">
        <f t="shared" si="25"/>
        <v>968</v>
      </c>
      <c r="P290" s="166"/>
      <c r="Q290" s="42">
        <v>552473</v>
      </c>
      <c r="R290" s="44">
        <f t="shared" si="23"/>
        <v>200</v>
      </c>
      <c r="S290" s="358"/>
      <c r="T290" s="165">
        <v>55696</v>
      </c>
      <c r="U290" s="166">
        <f t="shared" si="28"/>
        <v>76</v>
      </c>
      <c r="V290" s="39"/>
      <c r="W290" s="46">
        <v>43644</v>
      </c>
      <c r="X290" s="12">
        <f t="shared" si="29"/>
        <v>16</v>
      </c>
      <c r="Y290" s="39"/>
      <c r="Z290" s="244"/>
    </row>
    <row r="291" spans="1:26">
      <c r="A291" s="150">
        <v>44820</v>
      </c>
      <c r="B291" s="154">
        <f t="shared" si="27"/>
        <v>44820</v>
      </c>
      <c r="C291" s="46">
        <v>1165107</v>
      </c>
      <c r="D291" s="35">
        <f t="shared" si="24"/>
        <v>1796</v>
      </c>
      <c r="E291" s="39"/>
      <c r="F291" s="46">
        <v>4027518</v>
      </c>
      <c r="G291" s="2">
        <f t="shared" si="26"/>
        <v>11602</v>
      </c>
      <c r="H291" s="156">
        <f t="shared" si="31"/>
        <v>31.64343163538874</v>
      </c>
      <c r="I291" s="39"/>
      <c r="J291" s="46">
        <v>2157784</v>
      </c>
      <c r="K291" s="2">
        <f t="shared" si="30"/>
        <v>5197</v>
      </c>
      <c r="L291" s="160">
        <f t="shared" si="22"/>
        <v>38.496296296296293</v>
      </c>
      <c r="M291" s="39"/>
      <c r="N291" s="46">
        <v>406700</v>
      </c>
      <c r="O291" s="12">
        <f t="shared" si="25"/>
        <v>954</v>
      </c>
      <c r="P291" s="166"/>
      <c r="Q291" s="42">
        <v>552673</v>
      </c>
      <c r="R291" s="44">
        <f t="shared" si="23"/>
        <v>581</v>
      </c>
      <c r="S291" s="358"/>
      <c r="T291" s="165">
        <v>55772</v>
      </c>
      <c r="U291" s="166">
        <f t="shared" si="28"/>
        <v>60</v>
      </c>
      <c r="V291" s="39"/>
      <c r="W291" s="46">
        <v>43660</v>
      </c>
      <c r="X291" s="12">
        <f t="shared" si="29"/>
        <v>32</v>
      </c>
      <c r="Y291" s="39"/>
      <c r="Z291" s="244"/>
    </row>
    <row r="292" spans="1:26">
      <c r="A292" s="150">
        <v>44821</v>
      </c>
      <c r="B292" s="154">
        <f t="shared" si="27"/>
        <v>44821</v>
      </c>
      <c r="C292" s="46">
        <v>1166903</v>
      </c>
      <c r="D292" s="35">
        <f t="shared" si="24"/>
        <v>2500</v>
      </c>
      <c r="E292" s="39"/>
      <c r="F292" s="46">
        <v>4039120</v>
      </c>
      <c r="G292" s="2">
        <f t="shared" si="26"/>
        <v>12915</v>
      </c>
      <c r="H292" s="156">
        <f t="shared" si="31"/>
        <v>37.050938337801611</v>
      </c>
      <c r="I292" s="39"/>
      <c r="J292" s="46">
        <v>2162981</v>
      </c>
      <c r="K292" s="2">
        <f t="shared" si="30"/>
        <v>4636</v>
      </c>
      <c r="L292" s="160">
        <f t="shared" ref="L292:L356" si="32">K292/135</f>
        <v>34.340740740740742</v>
      </c>
      <c r="M292" s="39"/>
      <c r="N292" s="46">
        <v>407654</v>
      </c>
      <c r="O292" s="12">
        <f t="shared" si="25"/>
        <v>824</v>
      </c>
      <c r="P292" s="166"/>
      <c r="Q292" s="42">
        <v>553254</v>
      </c>
      <c r="R292" s="44">
        <f t="shared" si="23"/>
        <v>0</v>
      </c>
      <c r="S292" s="358"/>
      <c r="T292" s="165">
        <v>55832</v>
      </c>
      <c r="U292" s="166">
        <f t="shared" si="28"/>
        <v>0</v>
      </c>
      <c r="V292" s="39"/>
      <c r="W292" s="46">
        <v>43692</v>
      </c>
      <c r="X292" s="12">
        <f t="shared" si="29"/>
        <v>0</v>
      </c>
      <c r="Y292" s="39"/>
      <c r="Z292" s="244"/>
    </row>
    <row r="293" spans="1:26">
      <c r="A293" s="150">
        <v>44822</v>
      </c>
      <c r="B293" s="154">
        <f t="shared" si="27"/>
        <v>44822</v>
      </c>
      <c r="C293" s="46">
        <v>1169403</v>
      </c>
      <c r="D293" s="35">
        <f t="shared" si="24"/>
        <v>0</v>
      </c>
      <c r="E293" s="39"/>
      <c r="F293" s="46">
        <v>4052035</v>
      </c>
      <c r="G293" s="2">
        <f t="shared" si="26"/>
        <v>1489</v>
      </c>
      <c r="H293" s="156">
        <f t="shared" si="31"/>
        <v>-0.28418230563002683</v>
      </c>
      <c r="I293" s="39"/>
      <c r="J293" s="46">
        <v>2167617</v>
      </c>
      <c r="K293" s="2">
        <f t="shared" si="30"/>
        <v>0</v>
      </c>
      <c r="L293" s="160">
        <f t="shared" si="32"/>
        <v>0</v>
      </c>
      <c r="M293" s="39"/>
      <c r="N293" s="46">
        <v>408478</v>
      </c>
      <c r="O293" s="12">
        <f t="shared" si="25"/>
        <v>0</v>
      </c>
      <c r="P293" s="166"/>
      <c r="Q293" s="42">
        <v>553254</v>
      </c>
      <c r="R293" s="44">
        <f t="shared" si="23"/>
        <v>0</v>
      </c>
      <c r="S293" s="358"/>
      <c r="T293" s="165">
        <v>55832</v>
      </c>
      <c r="U293" s="166">
        <f t="shared" si="28"/>
        <v>0</v>
      </c>
      <c r="V293" s="39"/>
      <c r="W293" s="46">
        <v>43692</v>
      </c>
      <c r="X293" s="12">
        <f t="shared" si="29"/>
        <v>0</v>
      </c>
      <c r="Y293" s="39"/>
      <c r="Z293" s="244"/>
    </row>
    <row r="294" spans="1:26">
      <c r="A294" s="150">
        <v>44823</v>
      </c>
      <c r="B294" s="154">
        <f t="shared" si="27"/>
        <v>44823</v>
      </c>
      <c r="C294" s="46">
        <v>1169403</v>
      </c>
      <c r="D294" s="35">
        <f t="shared" si="24"/>
        <v>1165</v>
      </c>
      <c r="E294" s="39"/>
      <c r="F294" s="46">
        <v>4053524</v>
      </c>
      <c r="G294" s="2">
        <f t="shared" si="26"/>
        <v>9674</v>
      </c>
      <c r="H294" s="156">
        <f t="shared" si="31"/>
        <v>24.782841823056302</v>
      </c>
      <c r="I294" s="39"/>
      <c r="J294" s="46">
        <v>2167617</v>
      </c>
      <c r="K294" s="2">
        <f t="shared" si="30"/>
        <v>9487</v>
      </c>
      <c r="L294" s="160">
        <f t="shared" si="32"/>
        <v>70.274074074074079</v>
      </c>
      <c r="M294" s="39"/>
      <c r="N294" s="46">
        <v>408478</v>
      </c>
      <c r="O294" s="12">
        <f t="shared" si="25"/>
        <v>740</v>
      </c>
      <c r="P294" s="166"/>
      <c r="Q294" s="42">
        <v>553254</v>
      </c>
      <c r="R294" s="44">
        <f t="shared" si="23"/>
        <v>205</v>
      </c>
      <c r="S294" s="358"/>
      <c r="T294" s="165">
        <v>55832</v>
      </c>
      <c r="U294" s="166">
        <f t="shared" si="28"/>
        <v>0</v>
      </c>
      <c r="V294" s="39"/>
      <c r="W294" s="46">
        <v>43692</v>
      </c>
      <c r="X294" s="12">
        <f t="shared" si="29"/>
        <v>0</v>
      </c>
      <c r="Y294" s="39"/>
      <c r="Z294" s="244"/>
    </row>
    <row r="295" spans="1:26">
      <c r="A295" s="150">
        <v>44824</v>
      </c>
      <c r="B295" s="154">
        <f t="shared" si="27"/>
        <v>44824</v>
      </c>
      <c r="C295" s="46">
        <v>1170568</v>
      </c>
      <c r="D295" s="35">
        <f t="shared" si="24"/>
        <v>1013</v>
      </c>
      <c r="E295" s="39"/>
      <c r="F295" s="155">
        <v>4063198</v>
      </c>
      <c r="G295" s="2">
        <f t="shared" si="26"/>
        <v>10037</v>
      </c>
      <c r="H295" s="156">
        <f t="shared" si="31"/>
        <v>25.348525469168901</v>
      </c>
      <c r="I295" s="157"/>
      <c r="J295" s="155">
        <v>2177104</v>
      </c>
      <c r="K295" s="2">
        <f t="shared" si="30"/>
        <v>5695</v>
      </c>
      <c r="L295" s="160">
        <f t="shared" si="32"/>
        <v>42.185185185185183</v>
      </c>
      <c r="M295" s="157"/>
      <c r="N295" s="155">
        <v>409218</v>
      </c>
      <c r="O295" s="12">
        <f t="shared" si="25"/>
        <v>798</v>
      </c>
      <c r="P295" s="366"/>
      <c r="Q295" s="132">
        <v>553459</v>
      </c>
      <c r="R295" s="44">
        <f t="shared" si="23"/>
        <v>188</v>
      </c>
      <c r="S295" s="372"/>
      <c r="T295" s="167">
        <v>55832</v>
      </c>
      <c r="U295" s="166">
        <f t="shared" si="28"/>
        <v>61</v>
      </c>
      <c r="V295" s="157"/>
      <c r="W295" s="155">
        <v>43692</v>
      </c>
      <c r="X295" s="12">
        <f t="shared" si="29"/>
        <v>43</v>
      </c>
      <c r="Y295" s="157"/>
      <c r="Z295" s="252"/>
    </row>
    <row r="296" spans="1:26">
      <c r="A296" s="150">
        <v>44825</v>
      </c>
      <c r="B296" s="154">
        <f t="shared" si="27"/>
        <v>44825</v>
      </c>
      <c r="C296" s="46">
        <v>1171581</v>
      </c>
      <c r="D296" s="35">
        <f t="shared" si="24"/>
        <v>1206</v>
      </c>
      <c r="E296" s="39"/>
      <c r="F296" s="46">
        <v>4073235</v>
      </c>
      <c r="G296" s="2">
        <f t="shared" si="26"/>
        <v>10163</v>
      </c>
      <c r="H296" s="156">
        <f t="shared" si="31"/>
        <v>26.203753351206434</v>
      </c>
      <c r="I296" s="39"/>
      <c r="J296" s="46">
        <v>2182799</v>
      </c>
      <c r="K296" s="2">
        <f t="shared" si="30"/>
        <v>9586</v>
      </c>
      <c r="L296" s="160">
        <f t="shared" si="32"/>
        <v>71.007407407407413</v>
      </c>
      <c r="M296" s="39"/>
      <c r="N296" s="46">
        <v>410016</v>
      </c>
      <c r="O296" s="12">
        <f t="shared" si="25"/>
        <v>797</v>
      </c>
      <c r="P296" s="166"/>
      <c r="Q296" s="42">
        <v>553647</v>
      </c>
      <c r="R296" s="44">
        <f t="shared" si="23"/>
        <v>46</v>
      </c>
      <c r="S296" s="358"/>
      <c r="T296" s="46">
        <v>55893</v>
      </c>
      <c r="U296" s="166">
        <f t="shared" si="28"/>
        <v>124</v>
      </c>
      <c r="V296" s="39"/>
      <c r="W296" s="46">
        <v>43735</v>
      </c>
      <c r="X296" s="12">
        <f t="shared" si="29"/>
        <v>42</v>
      </c>
      <c r="Y296" s="39"/>
      <c r="Z296" s="253"/>
    </row>
    <row r="297" spans="1:26">
      <c r="A297" s="150">
        <v>44826</v>
      </c>
      <c r="B297" s="154">
        <f t="shared" si="27"/>
        <v>44826</v>
      </c>
      <c r="C297" s="46">
        <v>1172787</v>
      </c>
      <c r="D297" s="35">
        <f t="shared" si="24"/>
        <v>1303</v>
      </c>
      <c r="E297" s="39"/>
      <c r="F297" s="46">
        <v>4083398</v>
      </c>
      <c r="G297" s="2">
        <f t="shared" si="26"/>
        <v>11562</v>
      </c>
      <c r="H297" s="156">
        <f t="shared" si="31"/>
        <v>30.214477211796247</v>
      </c>
      <c r="I297" s="39"/>
      <c r="J297" s="46">
        <v>2192385</v>
      </c>
      <c r="K297" s="2">
        <f t="shared" si="30"/>
        <v>6056</v>
      </c>
      <c r="L297" s="160">
        <f t="shared" si="32"/>
        <v>44.859259259259261</v>
      </c>
      <c r="M297" s="39"/>
      <c r="N297" s="46">
        <v>410813</v>
      </c>
      <c r="O297" s="12">
        <f t="shared" si="25"/>
        <v>1100</v>
      </c>
      <c r="P297" s="166"/>
      <c r="Q297" s="42">
        <v>553693</v>
      </c>
      <c r="R297" s="44">
        <f t="shared" si="23"/>
        <v>95</v>
      </c>
      <c r="S297" s="358"/>
      <c r="T297" s="46">
        <v>56017</v>
      </c>
      <c r="U297" s="166">
        <f t="shared" si="28"/>
        <v>48</v>
      </c>
      <c r="V297" s="39"/>
      <c r="W297" s="46">
        <v>43777</v>
      </c>
      <c r="X297" s="12">
        <f t="shared" si="29"/>
        <v>8</v>
      </c>
      <c r="Y297" s="39"/>
      <c r="Z297" s="253"/>
    </row>
    <row r="298" spans="1:26">
      <c r="A298" s="150">
        <v>44827</v>
      </c>
      <c r="B298" s="154">
        <f t="shared" si="27"/>
        <v>44827</v>
      </c>
      <c r="C298" s="46">
        <v>1174090</v>
      </c>
      <c r="D298" s="35">
        <f t="shared" si="24"/>
        <v>673</v>
      </c>
      <c r="E298" s="39"/>
      <c r="F298" s="46">
        <v>4094960</v>
      </c>
      <c r="G298" s="2">
        <f t="shared" si="26"/>
        <v>8028</v>
      </c>
      <c r="H298" s="156">
        <f t="shared" si="31"/>
        <v>19.050938337801608</v>
      </c>
      <c r="I298" s="39"/>
      <c r="J298" s="46">
        <v>2198441</v>
      </c>
      <c r="K298" s="2">
        <f t="shared" si="30"/>
        <v>7084</v>
      </c>
      <c r="L298" s="160">
        <f t="shared" si="32"/>
        <v>52.474074074074075</v>
      </c>
      <c r="M298" s="39"/>
      <c r="N298" s="46">
        <v>411913</v>
      </c>
      <c r="O298" s="12">
        <f t="shared" si="25"/>
        <v>1003</v>
      </c>
      <c r="P298" s="166"/>
      <c r="Q298" s="42">
        <v>553788</v>
      </c>
      <c r="R298" s="44">
        <f t="shared" si="23"/>
        <v>534</v>
      </c>
      <c r="S298" s="358"/>
      <c r="T298" s="46">
        <v>56065</v>
      </c>
      <c r="U298" s="166">
        <f t="shared" si="28"/>
        <v>402</v>
      </c>
      <c r="V298" s="39"/>
      <c r="W298" s="46">
        <v>43785</v>
      </c>
      <c r="X298" s="12">
        <f t="shared" si="29"/>
        <v>98</v>
      </c>
      <c r="Y298" s="39"/>
      <c r="Z298" s="253"/>
    </row>
    <row r="299" spans="1:26">
      <c r="A299" s="150">
        <v>44828</v>
      </c>
      <c r="B299" s="154">
        <f t="shared" si="27"/>
        <v>44828</v>
      </c>
      <c r="C299" s="46">
        <v>1174763</v>
      </c>
      <c r="D299" s="35">
        <f t="shared" si="24"/>
        <v>733</v>
      </c>
      <c r="E299" s="39"/>
      <c r="F299" s="46">
        <v>4102988</v>
      </c>
      <c r="G299" s="2">
        <f t="shared" si="26"/>
        <v>22951</v>
      </c>
      <c r="H299" s="156">
        <f t="shared" si="31"/>
        <v>59.219839142091153</v>
      </c>
      <c r="I299" s="39"/>
      <c r="J299" s="46">
        <v>2205525</v>
      </c>
      <c r="K299" s="2">
        <f t="shared" si="30"/>
        <v>4031</v>
      </c>
      <c r="L299" s="160">
        <f t="shared" si="32"/>
        <v>29.859259259259261</v>
      </c>
      <c r="M299" s="39"/>
      <c r="N299" s="46">
        <v>412916</v>
      </c>
      <c r="O299" s="12">
        <f t="shared" si="25"/>
        <v>691</v>
      </c>
      <c r="P299" s="166"/>
      <c r="Q299" s="42">
        <v>554322</v>
      </c>
      <c r="R299" s="44">
        <f t="shared" si="23"/>
        <v>0</v>
      </c>
      <c r="S299" s="358"/>
      <c r="T299" s="46">
        <v>56467</v>
      </c>
      <c r="U299" s="166">
        <f t="shared" si="28"/>
        <v>0</v>
      </c>
      <c r="V299" s="39"/>
      <c r="W299" s="46">
        <v>43883</v>
      </c>
      <c r="X299" s="12">
        <f t="shared" si="29"/>
        <v>0</v>
      </c>
      <c r="Y299" s="39"/>
      <c r="Z299" s="253"/>
    </row>
    <row r="300" spans="1:26">
      <c r="A300" s="150">
        <v>44829</v>
      </c>
      <c r="B300" s="154">
        <f t="shared" si="27"/>
        <v>44829</v>
      </c>
      <c r="C300" s="46">
        <v>1175496</v>
      </c>
      <c r="D300" s="35">
        <f t="shared" si="24"/>
        <v>0</v>
      </c>
      <c r="E300" s="39"/>
      <c r="F300" s="46">
        <v>4125939</v>
      </c>
      <c r="G300" s="2">
        <f t="shared" si="26"/>
        <v>0</v>
      </c>
      <c r="H300" s="156">
        <f t="shared" si="31"/>
        <v>-4.2761394101876675</v>
      </c>
      <c r="I300" s="39"/>
      <c r="J300" s="46">
        <v>2209556</v>
      </c>
      <c r="K300" s="2">
        <f t="shared" si="30"/>
        <v>0</v>
      </c>
      <c r="L300" s="160">
        <f t="shared" si="32"/>
        <v>0</v>
      </c>
      <c r="M300" s="39"/>
      <c r="N300" s="46">
        <v>413607</v>
      </c>
      <c r="O300" s="12">
        <f t="shared" si="25"/>
        <v>0</v>
      </c>
      <c r="P300" s="166"/>
      <c r="Q300" s="42">
        <v>554322</v>
      </c>
      <c r="R300" s="44">
        <f t="shared" si="23"/>
        <v>0</v>
      </c>
      <c r="S300" s="358"/>
      <c r="T300" s="46">
        <v>56467</v>
      </c>
      <c r="U300" s="166">
        <f t="shared" si="28"/>
        <v>0</v>
      </c>
      <c r="V300" s="39"/>
      <c r="W300" s="46">
        <v>43883</v>
      </c>
      <c r="X300" s="12">
        <f t="shared" si="29"/>
        <v>0</v>
      </c>
      <c r="Y300" s="39"/>
      <c r="Z300" s="253"/>
    </row>
    <row r="301" spans="1:26">
      <c r="A301" s="150">
        <v>44830</v>
      </c>
      <c r="B301" s="154">
        <f t="shared" si="27"/>
        <v>44830</v>
      </c>
      <c r="C301" s="46">
        <v>1175496</v>
      </c>
      <c r="D301" s="35">
        <f t="shared" si="24"/>
        <v>322</v>
      </c>
      <c r="E301" s="39"/>
      <c r="F301" s="46">
        <v>4125939</v>
      </c>
      <c r="G301" s="2">
        <f t="shared" si="26"/>
        <v>0</v>
      </c>
      <c r="H301" s="156">
        <f t="shared" si="31"/>
        <v>-3.4128686327077746</v>
      </c>
      <c r="I301" s="39"/>
      <c r="J301" s="46">
        <v>2209556</v>
      </c>
      <c r="K301" s="2">
        <f t="shared" si="30"/>
        <v>5605</v>
      </c>
      <c r="L301" s="160">
        <f t="shared" si="32"/>
        <v>41.518518518518519</v>
      </c>
      <c r="M301" s="39"/>
      <c r="N301" s="46">
        <v>413607</v>
      </c>
      <c r="O301" s="12">
        <f t="shared" si="25"/>
        <v>876</v>
      </c>
      <c r="P301" s="166"/>
      <c r="Q301" s="42">
        <v>554322</v>
      </c>
      <c r="R301" s="44">
        <f t="shared" si="23"/>
        <v>208</v>
      </c>
      <c r="S301" s="358"/>
      <c r="T301" s="46">
        <v>56467</v>
      </c>
      <c r="U301" s="166">
        <f t="shared" si="28"/>
        <v>0</v>
      </c>
      <c r="V301" s="39"/>
      <c r="W301" s="46">
        <v>43883</v>
      </c>
      <c r="X301" s="12">
        <f t="shared" si="29"/>
        <v>0</v>
      </c>
      <c r="Y301" s="39"/>
      <c r="Z301" s="253"/>
    </row>
    <row r="302" spans="1:26">
      <c r="A302" s="150">
        <v>44831</v>
      </c>
      <c r="B302" s="154">
        <f t="shared" si="27"/>
        <v>44831</v>
      </c>
      <c r="C302" s="46">
        <v>1175818</v>
      </c>
      <c r="D302" s="35">
        <f t="shared" si="24"/>
        <v>111</v>
      </c>
      <c r="E302" s="39"/>
      <c r="F302" s="46">
        <v>4125939</v>
      </c>
      <c r="G302" s="2">
        <f t="shared" si="26"/>
        <v>7662</v>
      </c>
      <c r="H302" s="156">
        <f t="shared" si="31"/>
        <v>16.563002680965148</v>
      </c>
      <c r="I302" s="39"/>
      <c r="J302" s="46">
        <v>2215161</v>
      </c>
      <c r="K302" s="2">
        <f t="shared" si="30"/>
        <v>9278</v>
      </c>
      <c r="L302" s="160">
        <f t="shared" si="32"/>
        <v>68.725925925925921</v>
      </c>
      <c r="M302" s="39"/>
      <c r="N302" s="46">
        <v>414483</v>
      </c>
      <c r="O302" s="12">
        <f t="shared" si="25"/>
        <v>807</v>
      </c>
      <c r="P302" s="166"/>
      <c r="Q302" s="42">
        <v>554530</v>
      </c>
      <c r="R302" s="44">
        <f t="shared" si="23"/>
        <v>35</v>
      </c>
      <c r="S302" s="358"/>
      <c r="T302" s="46">
        <v>56467</v>
      </c>
      <c r="U302" s="166">
        <f t="shared" si="28"/>
        <v>0</v>
      </c>
      <c r="V302" s="39"/>
      <c r="W302" s="46">
        <v>43883</v>
      </c>
      <c r="X302" s="12">
        <f t="shared" si="29"/>
        <v>0</v>
      </c>
      <c r="Y302" s="39"/>
      <c r="Z302" s="253"/>
    </row>
    <row r="303" spans="1:26">
      <c r="A303" s="150">
        <v>44832</v>
      </c>
      <c r="B303" s="154">
        <f t="shared" si="27"/>
        <v>44832</v>
      </c>
      <c r="C303" s="46">
        <v>1175929</v>
      </c>
      <c r="D303" s="35">
        <f t="shared" si="24"/>
        <v>14649</v>
      </c>
      <c r="E303" s="39"/>
      <c r="F303" s="46">
        <v>4133601</v>
      </c>
      <c r="G303" s="2">
        <f t="shared" si="26"/>
        <v>7868</v>
      </c>
      <c r="H303" s="156">
        <f t="shared" si="31"/>
        <v>56.091152815013402</v>
      </c>
      <c r="I303" s="39"/>
      <c r="J303" s="46">
        <v>2224439</v>
      </c>
      <c r="K303" s="2">
        <f t="shared" si="30"/>
        <v>5663</v>
      </c>
      <c r="L303" s="160">
        <f t="shared" si="32"/>
        <v>41.94814814814815</v>
      </c>
      <c r="M303" s="39"/>
      <c r="N303" s="46">
        <v>415290</v>
      </c>
      <c r="O303" s="12">
        <f t="shared" si="25"/>
        <v>681</v>
      </c>
      <c r="P303" s="166"/>
      <c r="Q303" s="42">
        <v>554565</v>
      </c>
      <c r="R303" s="44">
        <f t="shared" si="23"/>
        <v>22</v>
      </c>
      <c r="S303" s="358"/>
      <c r="T303" s="46">
        <v>56467</v>
      </c>
      <c r="U303" s="166">
        <f t="shared" si="28"/>
        <v>25</v>
      </c>
      <c r="V303" s="39"/>
      <c r="W303" s="46">
        <v>43883</v>
      </c>
      <c r="X303" s="12">
        <f t="shared" si="29"/>
        <v>28</v>
      </c>
      <c r="Y303" s="39"/>
      <c r="Z303" s="253"/>
    </row>
    <row r="304" spans="1:26">
      <c r="A304" s="150">
        <v>44833</v>
      </c>
      <c r="B304" s="154">
        <f t="shared" si="27"/>
        <v>44833</v>
      </c>
      <c r="C304" s="46">
        <v>1190578</v>
      </c>
      <c r="D304" s="35">
        <f t="shared" si="24"/>
        <v>256</v>
      </c>
      <c r="E304" s="39"/>
      <c r="F304" s="46">
        <v>4141469</v>
      </c>
      <c r="G304" s="2">
        <f t="shared" si="26"/>
        <v>7766</v>
      </c>
      <c r="H304" s="156">
        <f t="shared" si="31"/>
        <v>17.230563002680967</v>
      </c>
      <c r="I304" s="39"/>
      <c r="J304" s="46">
        <v>2230102</v>
      </c>
      <c r="K304" s="2">
        <f t="shared" si="30"/>
        <v>5922</v>
      </c>
      <c r="L304" s="160">
        <f t="shared" si="32"/>
        <v>43.866666666666667</v>
      </c>
      <c r="M304" s="39"/>
      <c r="N304" s="46">
        <v>415971</v>
      </c>
      <c r="O304" s="12">
        <f t="shared" si="25"/>
        <v>768</v>
      </c>
      <c r="P304" s="166"/>
      <c r="Q304" s="42">
        <v>554587</v>
      </c>
      <c r="R304" s="44">
        <f t="shared" si="23"/>
        <v>208</v>
      </c>
      <c r="S304" s="358"/>
      <c r="T304" s="46">
        <v>56492</v>
      </c>
      <c r="U304" s="166">
        <f t="shared" si="28"/>
        <v>54</v>
      </c>
      <c r="V304" s="39"/>
      <c r="W304" s="46">
        <v>43911</v>
      </c>
      <c r="X304" s="12">
        <f t="shared" si="29"/>
        <v>0</v>
      </c>
      <c r="Y304" s="39"/>
      <c r="Z304" s="253"/>
    </row>
    <row r="305" spans="1:26">
      <c r="A305" s="150">
        <v>44834</v>
      </c>
      <c r="B305" s="154">
        <f t="shared" si="27"/>
        <v>44834</v>
      </c>
      <c r="C305" s="46">
        <v>1190834</v>
      </c>
      <c r="D305" s="35">
        <f t="shared" si="24"/>
        <v>17200</v>
      </c>
      <c r="E305" s="39"/>
      <c r="F305" s="46">
        <v>4149235</v>
      </c>
      <c r="G305" s="2">
        <f t="shared" si="26"/>
        <v>6570</v>
      </c>
      <c r="H305" s="156">
        <f t="shared" si="31"/>
        <v>59.45040214477212</v>
      </c>
      <c r="I305" s="39"/>
      <c r="J305" s="46">
        <v>2236024</v>
      </c>
      <c r="K305" s="2">
        <f t="shared" si="30"/>
        <v>9752</v>
      </c>
      <c r="L305" s="160">
        <f t="shared" si="32"/>
        <v>72.237037037037041</v>
      </c>
      <c r="M305" s="39"/>
      <c r="N305" s="46">
        <v>416739</v>
      </c>
      <c r="O305" s="12">
        <f t="shared" si="25"/>
        <v>1156</v>
      </c>
      <c r="P305" s="166"/>
      <c r="Q305" s="42">
        <v>554795</v>
      </c>
      <c r="R305" s="44">
        <f t="shared" si="23"/>
        <v>292</v>
      </c>
      <c r="S305" s="358"/>
      <c r="T305" s="46">
        <v>56546</v>
      </c>
      <c r="U305" s="166">
        <f t="shared" si="28"/>
        <v>122</v>
      </c>
      <c r="V305" s="39"/>
      <c r="W305" s="46">
        <v>43911</v>
      </c>
      <c r="X305" s="12">
        <f t="shared" si="29"/>
        <v>95</v>
      </c>
      <c r="Y305" s="39"/>
      <c r="Z305" s="253"/>
    </row>
    <row r="306" spans="1:26">
      <c r="A306" s="150">
        <v>44835</v>
      </c>
      <c r="B306" s="154">
        <f t="shared" si="27"/>
        <v>44835</v>
      </c>
      <c r="C306" s="46">
        <v>1208034</v>
      </c>
      <c r="D306" s="35">
        <f t="shared" si="24"/>
        <v>8239</v>
      </c>
      <c r="E306" s="39"/>
      <c r="F306" s="46">
        <v>4155805</v>
      </c>
      <c r="G306" s="2">
        <f t="shared" si="26"/>
        <v>6410</v>
      </c>
      <c r="H306" s="156">
        <f t="shared" si="31"/>
        <v>34.997319034852545</v>
      </c>
      <c r="I306" s="39"/>
      <c r="J306" s="46">
        <v>2245776</v>
      </c>
      <c r="K306" s="2">
        <f t="shared" si="30"/>
        <v>14</v>
      </c>
      <c r="L306" s="160">
        <f t="shared" si="32"/>
        <v>0.1037037037037037</v>
      </c>
      <c r="M306" s="39"/>
      <c r="N306" s="46">
        <v>417895</v>
      </c>
      <c r="O306" s="12">
        <f t="shared" si="25"/>
        <v>687</v>
      </c>
      <c r="P306" s="166"/>
      <c r="Q306" s="42">
        <v>555087</v>
      </c>
      <c r="R306" s="44">
        <f t="shared" si="23"/>
        <v>0</v>
      </c>
      <c r="S306" s="358"/>
      <c r="T306" s="46">
        <v>56668</v>
      </c>
      <c r="U306" s="166">
        <f t="shared" si="28"/>
        <v>0</v>
      </c>
      <c r="V306" s="39"/>
      <c r="W306" s="46">
        <v>44006</v>
      </c>
      <c r="X306" s="12">
        <f t="shared" si="29"/>
        <v>0</v>
      </c>
      <c r="Y306" s="39"/>
      <c r="Z306" s="253"/>
    </row>
    <row r="307" spans="1:26">
      <c r="A307" s="150">
        <v>44836</v>
      </c>
      <c r="B307" s="154">
        <f t="shared" si="27"/>
        <v>44836</v>
      </c>
      <c r="C307" s="46">
        <v>1216273</v>
      </c>
      <c r="D307" s="35">
        <f t="shared" si="24"/>
        <v>0</v>
      </c>
      <c r="E307" s="39"/>
      <c r="F307" s="46">
        <v>4162215</v>
      </c>
      <c r="G307" s="2">
        <f t="shared" si="26"/>
        <v>1689</v>
      </c>
      <c r="H307" s="156">
        <f t="shared" si="31"/>
        <v>0.25201072386058981</v>
      </c>
      <c r="I307" s="39"/>
      <c r="J307" s="46">
        <v>2245790</v>
      </c>
      <c r="K307" s="2">
        <f t="shared" si="30"/>
        <v>0</v>
      </c>
      <c r="L307" s="160">
        <f t="shared" si="32"/>
        <v>0</v>
      </c>
      <c r="M307" s="39"/>
      <c r="N307" s="46">
        <v>418582</v>
      </c>
      <c r="O307" s="12">
        <f t="shared" si="25"/>
        <v>0</v>
      </c>
      <c r="P307" s="166"/>
      <c r="Q307" s="42">
        <v>555087</v>
      </c>
      <c r="R307" s="44">
        <f t="shared" si="23"/>
        <v>0</v>
      </c>
      <c r="S307" s="358"/>
      <c r="T307" s="46">
        <v>56668</v>
      </c>
      <c r="U307" s="166">
        <f t="shared" si="28"/>
        <v>0</v>
      </c>
      <c r="V307" s="39"/>
      <c r="W307" s="46">
        <v>44006</v>
      </c>
      <c r="X307" s="12">
        <f t="shared" si="29"/>
        <v>0</v>
      </c>
      <c r="Y307" s="39"/>
      <c r="Z307" s="253"/>
    </row>
    <row r="308" spans="1:26">
      <c r="A308" s="150">
        <v>44837</v>
      </c>
      <c r="B308" s="154">
        <f t="shared" si="27"/>
        <v>44837</v>
      </c>
      <c r="C308" s="46">
        <v>1216273</v>
      </c>
      <c r="D308" s="35">
        <f t="shared" si="24"/>
        <v>264</v>
      </c>
      <c r="E308" s="39"/>
      <c r="F308" s="46">
        <v>4163904</v>
      </c>
      <c r="G308" s="2">
        <f t="shared" si="26"/>
        <v>7342</v>
      </c>
      <c r="H308" s="156">
        <f t="shared" si="31"/>
        <v>16.115281501340483</v>
      </c>
      <c r="I308" s="39"/>
      <c r="J308" s="46">
        <v>2245790</v>
      </c>
      <c r="K308" s="2">
        <f t="shared" si="30"/>
        <v>9599</v>
      </c>
      <c r="L308" s="160">
        <f t="shared" si="32"/>
        <v>71.103703703703701</v>
      </c>
      <c r="M308" s="39"/>
      <c r="N308" s="46">
        <v>418582</v>
      </c>
      <c r="O308" s="12">
        <f t="shared" si="25"/>
        <v>0</v>
      </c>
      <c r="P308" s="166"/>
      <c r="Q308" s="42">
        <v>555087</v>
      </c>
      <c r="R308" s="44">
        <f t="shared" si="23"/>
        <v>164</v>
      </c>
      <c r="S308" s="358"/>
      <c r="T308" s="46">
        <v>56668</v>
      </c>
      <c r="U308" s="166">
        <f t="shared" si="28"/>
        <v>0</v>
      </c>
      <c r="V308" s="39"/>
      <c r="W308" s="46">
        <v>44006</v>
      </c>
      <c r="X308" s="12">
        <f t="shared" si="29"/>
        <v>0</v>
      </c>
      <c r="Y308" s="39"/>
      <c r="Z308" s="253"/>
    </row>
    <row r="309" spans="1:26">
      <c r="A309" s="150">
        <v>44838</v>
      </c>
      <c r="B309" s="154">
        <f t="shared" si="27"/>
        <v>44838</v>
      </c>
      <c r="C309" s="46">
        <v>1216537</v>
      </c>
      <c r="D309" s="35">
        <f t="shared" si="24"/>
        <v>289</v>
      </c>
      <c r="E309" s="39"/>
      <c r="F309" s="46">
        <v>4171246</v>
      </c>
      <c r="G309" s="2">
        <f t="shared" si="26"/>
        <v>7944</v>
      </c>
      <c r="H309" s="156">
        <f t="shared" si="31"/>
        <v>17.796246648793566</v>
      </c>
      <c r="I309" s="39"/>
      <c r="J309" s="46">
        <v>2255389</v>
      </c>
      <c r="K309" s="2">
        <f t="shared" si="30"/>
        <v>5405</v>
      </c>
      <c r="L309" s="160">
        <f t="shared" si="32"/>
        <v>40.037037037037038</v>
      </c>
      <c r="M309" s="39"/>
      <c r="N309" s="46">
        <v>418582</v>
      </c>
      <c r="O309" s="12">
        <f t="shared" si="25"/>
        <v>1513</v>
      </c>
      <c r="P309" s="166"/>
      <c r="Q309" s="42">
        <v>555251</v>
      </c>
      <c r="R309" s="44">
        <f t="shared" si="23"/>
        <v>23</v>
      </c>
      <c r="S309" s="358"/>
      <c r="T309" s="46">
        <v>56668</v>
      </c>
      <c r="U309" s="166">
        <f t="shared" si="28"/>
        <v>62</v>
      </c>
      <c r="V309" s="39"/>
      <c r="W309" s="46">
        <v>44006</v>
      </c>
      <c r="X309" s="12">
        <f t="shared" si="29"/>
        <v>27</v>
      </c>
      <c r="Y309" s="39"/>
      <c r="Z309" s="253"/>
    </row>
    <row r="310" spans="1:26">
      <c r="A310" s="150">
        <v>44839</v>
      </c>
      <c r="B310" s="154">
        <f t="shared" si="27"/>
        <v>44839</v>
      </c>
      <c r="C310" s="46">
        <v>1216826</v>
      </c>
      <c r="D310" s="35">
        <f t="shared" si="24"/>
        <v>165</v>
      </c>
      <c r="E310" s="39"/>
      <c r="F310" s="46">
        <v>4179190</v>
      </c>
      <c r="G310" s="2">
        <f t="shared" si="26"/>
        <v>7872</v>
      </c>
      <c r="H310" s="156">
        <f t="shared" si="31"/>
        <v>17.270777479892761</v>
      </c>
      <c r="I310" s="158"/>
      <c r="J310" s="161">
        <v>2260794</v>
      </c>
      <c r="K310" s="2">
        <f t="shared" si="30"/>
        <v>8747</v>
      </c>
      <c r="L310" s="160">
        <f t="shared" si="32"/>
        <v>64.792592592592598</v>
      </c>
      <c r="M310" s="162"/>
      <c r="N310" s="46">
        <v>420095</v>
      </c>
      <c r="O310" s="12">
        <f t="shared" si="25"/>
        <v>812</v>
      </c>
      <c r="P310" s="166"/>
      <c r="Q310" s="42">
        <v>555274</v>
      </c>
      <c r="R310" s="44">
        <f t="shared" si="23"/>
        <v>195</v>
      </c>
      <c r="S310" s="358"/>
      <c r="T310" s="46">
        <v>56730</v>
      </c>
      <c r="U310" s="166">
        <f t="shared" si="28"/>
        <v>65</v>
      </c>
      <c r="V310" s="39"/>
      <c r="W310" s="46">
        <v>44033</v>
      </c>
      <c r="X310" s="12">
        <f t="shared" si="29"/>
        <v>14</v>
      </c>
      <c r="Y310" s="39"/>
      <c r="Z310" s="253"/>
    </row>
    <row r="311" spans="1:26">
      <c r="A311" s="150">
        <v>44840</v>
      </c>
      <c r="B311" s="154">
        <f t="shared" si="27"/>
        <v>44840</v>
      </c>
      <c r="C311" s="46">
        <v>1216991</v>
      </c>
      <c r="D311" s="35">
        <f t="shared" si="24"/>
        <v>14344</v>
      </c>
      <c r="E311" s="39"/>
      <c r="F311" s="46">
        <v>4187062</v>
      </c>
      <c r="G311" s="2">
        <f t="shared" si="26"/>
        <v>7674</v>
      </c>
      <c r="H311" s="156">
        <f t="shared" si="31"/>
        <v>54.753351206434317</v>
      </c>
      <c r="I311" s="159"/>
      <c r="J311" s="163">
        <v>2269541</v>
      </c>
      <c r="K311" s="2">
        <f t="shared" si="30"/>
        <v>5372</v>
      </c>
      <c r="L311" s="160">
        <f t="shared" si="32"/>
        <v>39.792592592592591</v>
      </c>
      <c r="M311" s="164"/>
      <c r="N311" s="46">
        <v>420907</v>
      </c>
      <c r="O311" s="12">
        <f t="shared" si="25"/>
        <v>833</v>
      </c>
      <c r="P311" s="365" t="s">
        <v>78</v>
      </c>
      <c r="Q311" s="42">
        <v>555469</v>
      </c>
      <c r="R311" s="44">
        <f t="shared" si="23"/>
        <v>208</v>
      </c>
      <c r="S311" s="358"/>
      <c r="T311" s="46">
        <v>56795</v>
      </c>
      <c r="U311" s="166">
        <f t="shared" si="28"/>
        <v>44</v>
      </c>
      <c r="V311" s="39"/>
      <c r="W311" s="46">
        <v>44047</v>
      </c>
      <c r="X311" s="12">
        <f t="shared" si="29"/>
        <v>30</v>
      </c>
      <c r="Y311" s="39"/>
      <c r="Z311" s="253"/>
    </row>
    <row r="312" spans="1:26">
      <c r="A312" s="150">
        <v>44841</v>
      </c>
      <c r="B312" s="154">
        <f t="shared" si="27"/>
        <v>44841</v>
      </c>
      <c r="C312" s="46">
        <v>1231335</v>
      </c>
      <c r="D312" s="35">
        <f t="shared" si="24"/>
        <v>14049</v>
      </c>
      <c r="E312" s="39"/>
      <c r="F312" s="46">
        <v>4194736</v>
      </c>
      <c r="G312" s="2">
        <f t="shared" si="26"/>
        <v>8142</v>
      </c>
      <c r="H312" s="156">
        <f t="shared" si="31"/>
        <v>55.217158176943698</v>
      </c>
      <c r="I312" s="159"/>
      <c r="J312" s="163">
        <v>2274913</v>
      </c>
      <c r="K312" s="2">
        <f t="shared" si="30"/>
        <v>5573</v>
      </c>
      <c r="L312" s="160">
        <f t="shared" si="32"/>
        <v>41.281481481481478</v>
      </c>
      <c r="M312" s="164"/>
      <c r="N312" s="141">
        <v>421740</v>
      </c>
      <c r="O312" s="4">
        <f t="shared" si="25"/>
        <v>808</v>
      </c>
      <c r="P312" s="173"/>
      <c r="Q312" s="42">
        <v>555677</v>
      </c>
      <c r="R312" s="44">
        <f t="shared" si="23"/>
        <v>514</v>
      </c>
      <c r="S312" s="358"/>
      <c r="T312" s="46">
        <v>56839</v>
      </c>
      <c r="U312" s="166">
        <f t="shared" si="28"/>
        <v>141</v>
      </c>
      <c r="V312" s="39"/>
      <c r="W312" s="46">
        <v>44077</v>
      </c>
      <c r="X312" s="12">
        <f t="shared" si="29"/>
        <v>124</v>
      </c>
      <c r="Y312" s="39"/>
      <c r="Z312" s="253"/>
    </row>
    <row r="313" spans="1:26">
      <c r="A313" s="150">
        <v>44842</v>
      </c>
      <c r="B313" s="154">
        <f t="shared" si="27"/>
        <v>44842</v>
      </c>
      <c r="C313" s="46">
        <v>1245384</v>
      </c>
      <c r="D313" s="35">
        <f t="shared" ref="D313:D376" si="33">IF(C314&gt;0,C314-C313," ")</f>
        <v>542</v>
      </c>
      <c r="E313" s="39"/>
      <c r="F313" s="46">
        <v>4202878</v>
      </c>
      <c r="G313" s="2">
        <f t="shared" si="26"/>
        <v>13411</v>
      </c>
      <c r="H313" s="156">
        <f t="shared" si="31"/>
        <v>33.1313672922252</v>
      </c>
      <c r="I313" s="159"/>
      <c r="J313" s="163">
        <v>2280486</v>
      </c>
      <c r="K313" s="2">
        <f t="shared" si="30"/>
        <v>184</v>
      </c>
      <c r="L313" s="160">
        <f t="shared" si="32"/>
        <v>1.3629629629629629</v>
      </c>
      <c r="M313" s="164"/>
      <c r="N313" s="141">
        <v>422548</v>
      </c>
      <c r="O313" s="4">
        <f t="shared" ref="O313:O376" si="34">N314-N313</f>
        <v>868</v>
      </c>
      <c r="P313" s="173"/>
      <c r="Q313" s="42">
        <v>556191</v>
      </c>
      <c r="R313" s="44">
        <f t="shared" ref="R313:R372" si="35">Q314-Q313</f>
        <v>0</v>
      </c>
      <c r="S313" s="358"/>
      <c r="T313" s="46">
        <v>56980</v>
      </c>
      <c r="U313" s="166">
        <f t="shared" si="28"/>
        <v>0</v>
      </c>
      <c r="V313" s="39"/>
      <c r="W313" s="46">
        <v>44201</v>
      </c>
      <c r="X313" s="12">
        <f t="shared" si="29"/>
        <v>0</v>
      </c>
      <c r="Y313" s="39"/>
      <c r="Z313" s="253"/>
    </row>
    <row r="314" spans="1:26">
      <c r="A314" s="150">
        <v>44843</v>
      </c>
      <c r="B314" s="154">
        <f t="shared" si="27"/>
        <v>44843</v>
      </c>
      <c r="C314" s="46">
        <v>1245926</v>
      </c>
      <c r="D314" s="35">
        <f t="shared" si="33"/>
        <v>0</v>
      </c>
      <c r="E314" s="39"/>
      <c r="F314" s="46">
        <v>4216289</v>
      </c>
      <c r="G314" s="2">
        <f t="shared" si="26"/>
        <v>0</v>
      </c>
      <c r="H314" s="156">
        <f t="shared" si="31"/>
        <v>-4.2761394101876675</v>
      </c>
      <c r="I314" s="159"/>
      <c r="J314" s="163">
        <v>2280670</v>
      </c>
      <c r="K314" s="2">
        <f t="shared" si="30"/>
        <v>0</v>
      </c>
      <c r="L314" s="160">
        <f t="shared" si="32"/>
        <v>0</v>
      </c>
      <c r="M314" s="164"/>
      <c r="N314" s="141">
        <v>423416</v>
      </c>
      <c r="O314" s="4">
        <f t="shared" si="34"/>
        <v>0</v>
      </c>
      <c r="P314" s="173"/>
      <c r="Q314" s="42">
        <v>556191</v>
      </c>
      <c r="R314" s="44">
        <f t="shared" si="35"/>
        <v>0</v>
      </c>
      <c r="S314" s="358"/>
      <c r="T314" s="46">
        <v>56980</v>
      </c>
      <c r="U314" s="166">
        <f t="shared" si="28"/>
        <v>0</v>
      </c>
      <c r="V314" s="39"/>
      <c r="W314" s="46">
        <v>44201</v>
      </c>
      <c r="X314" s="12">
        <f t="shared" si="29"/>
        <v>0</v>
      </c>
      <c r="Y314" s="39"/>
      <c r="Z314" s="253"/>
    </row>
    <row r="315" spans="1:26">
      <c r="A315" s="150">
        <v>44844</v>
      </c>
      <c r="B315" s="154">
        <f t="shared" si="27"/>
        <v>44844</v>
      </c>
      <c r="C315" s="46">
        <v>1245926</v>
      </c>
      <c r="D315" s="35">
        <f t="shared" si="33"/>
        <v>112</v>
      </c>
      <c r="E315" s="39"/>
      <c r="F315" s="46">
        <v>4216289</v>
      </c>
      <c r="G315" s="2">
        <f t="shared" ref="G315:G389" si="36">IF(F316&gt;0,F316-F315," ")</f>
        <v>7367</v>
      </c>
      <c r="H315" s="156">
        <f t="shared" si="31"/>
        <v>15.774798927613942</v>
      </c>
      <c r="I315" s="159"/>
      <c r="J315" s="163">
        <v>2280670</v>
      </c>
      <c r="K315" s="2">
        <f t="shared" si="30"/>
        <v>9607</v>
      </c>
      <c r="L315" s="160">
        <f t="shared" si="32"/>
        <v>71.162962962962965</v>
      </c>
      <c r="M315" s="164"/>
      <c r="N315" s="141">
        <v>423416</v>
      </c>
      <c r="O315" s="4">
        <f t="shared" si="34"/>
        <v>785</v>
      </c>
      <c r="P315" s="173"/>
      <c r="Q315" s="42">
        <v>556191</v>
      </c>
      <c r="R315" s="44">
        <f t="shared" si="35"/>
        <v>228</v>
      </c>
      <c r="S315" s="358"/>
      <c r="T315" s="46">
        <v>56980</v>
      </c>
      <c r="U315" s="166">
        <f t="shared" si="28"/>
        <v>0</v>
      </c>
      <c r="V315" s="39"/>
      <c r="W315" s="46">
        <v>44201</v>
      </c>
      <c r="X315" s="12">
        <f t="shared" si="29"/>
        <v>0</v>
      </c>
      <c r="Y315" s="39"/>
      <c r="Z315" s="253"/>
    </row>
    <row r="316" spans="1:26">
      <c r="A316" s="150">
        <v>44845</v>
      </c>
      <c r="B316" s="154">
        <f t="shared" si="27"/>
        <v>44845</v>
      </c>
      <c r="C316" s="46">
        <v>1246038</v>
      </c>
      <c r="D316" s="35">
        <f t="shared" si="33"/>
        <v>465</v>
      </c>
      <c r="E316" s="40" t="s">
        <v>78</v>
      </c>
      <c r="F316" s="46">
        <v>4223656</v>
      </c>
      <c r="G316" s="2">
        <f t="shared" si="36"/>
        <v>15834</v>
      </c>
      <c r="H316" s="156">
        <f t="shared" si="31"/>
        <v>39.420911528150135</v>
      </c>
      <c r="I316" s="40" t="s">
        <v>78</v>
      </c>
      <c r="J316" s="46">
        <v>2290277</v>
      </c>
      <c r="K316" s="2">
        <f t="shared" si="30"/>
        <v>5671</v>
      </c>
      <c r="L316" s="160">
        <f t="shared" si="32"/>
        <v>42.007407407407406</v>
      </c>
      <c r="M316" s="40" t="s">
        <v>78</v>
      </c>
      <c r="N316" s="141">
        <v>424201</v>
      </c>
      <c r="O316" s="4">
        <f t="shared" si="34"/>
        <v>945</v>
      </c>
      <c r="P316" s="173"/>
      <c r="Q316" s="42">
        <v>556419</v>
      </c>
      <c r="R316" s="44">
        <f t="shared" si="35"/>
        <v>172</v>
      </c>
      <c r="S316" s="358"/>
      <c r="T316" s="46">
        <v>56980</v>
      </c>
      <c r="U316" s="166">
        <f t="shared" si="28"/>
        <v>135</v>
      </c>
      <c r="V316" s="40" t="s">
        <v>78</v>
      </c>
      <c r="W316" s="46">
        <v>44201</v>
      </c>
      <c r="X316" s="12">
        <f t="shared" si="29"/>
        <v>62</v>
      </c>
      <c r="Y316" s="40" t="s">
        <v>78</v>
      </c>
      <c r="Z316" s="253"/>
    </row>
    <row r="317" spans="1:26">
      <c r="A317" s="150">
        <v>44846</v>
      </c>
      <c r="B317" s="154">
        <f t="shared" si="27"/>
        <v>44846</v>
      </c>
      <c r="C317" s="141">
        <v>1246503</v>
      </c>
      <c r="D317" s="56">
        <f t="shared" si="33"/>
        <v>0</v>
      </c>
      <c r="E317" s="142"/>
      <c r="F317" s="141">
        <v>4239490</v>
      </c>
      <c r="G317" s="58">
        <f t="shared" si="36"/>
        <v>0</v>
      </c>
      <c r="H317" s="168">
        <f t="shared" si="31"/>
        <v>-4.2761394101876675</v>
      </c>
      <c r="I317" s="169"/>
      <c r="J317" s="141">
        <v>2295948</v>
      </c>
      <c r="K317" s="58">
        <f t="shared" si="30"/>
        <v>0</v>
      </c>
      <c r="L317" s="170">
        <f t="shared" si="32"/>
        <v>0</v>
      </c>
      <c r="M317" s="171"/>
      <c r="N317" s="141">
        <v>425146</v>
      </c>
      <c r="O317" s="4">
        <f t="shared" si="34"/>
        <v>0</v>
      </c>
      <c r="P317" s="173"/>
      <c r="Q317" s="42">
        <v>556591</v>
      </c>
      <c r="R317" s="44">
        <f t="shared" si="35"/>
        <v>205</v>
      </c>
      <c r="S317" s="358"/>
      <c r="T317" s="141">
        <v>57115</v>
      </c>
      <c r="U317" s="173">
        <f t="shared" si="28"/>
        <v>0</v>
      </c>
      <c r="V317" s="142"/>
      <c r="W317" s="141">
        <v>44263</v>
      </c>
      <c r="X317" s="4">
        <f t="shared" si="29"/>
        <v>0</v>
      </c>
      <c r="Y317" s="142"/>
      <c r="Z317" s="253"/>
    </row>
    <row r="318" spans="1:26">
      <c r="A318" s="150">
        <v>44847</v>
      </c>
      <c r="B318" s="154">
        <f t="shared" si="27"/>
        <v>44847</v>
      </c>
      <c r="C318" s="141">
        <v>1246503</v>
      </c>
      <c r="D318" s="56">
        <f t="shared" si="33"/>
        <v>218</v>
      </c>
      <c r="E318" s="142"/>
      <c r="F318" s="141">
        <v>4239490</v>
      </c>
      <c r="G318" s="58">
        <f t="shared" si="36"/>
        <v>7729</v>
      </c>
      <c r="H318" s="168">
        <f t="shared" si="31"/>
        <v>17.029490616621985</v>
      </c>
      <c r="I318" s="169"/>
      <c r="J318" s="141">
        <v>2295948</v>
      </c>
      <c r="K318" s="58">
        <f t="shared" si="30"/>
        <v>6146</v>
      </c>
      <c r="L318" s="170">
        <f t="shared" si="32"/>
        <v>45.525925925925925</v>
      </c>
      <c r="M318" s="171"/>
      <c r="N318" s="141">
        <v>425146</v>
      </c>
      <c r="O318" s="4">
        <f t="shared" si="34"/>
        <v>817</v>
      </c>
      <c r="P318" s="173"/>
      <c r="Q318" s="42">
        <v>556796</v>
      </c>
      <c r="R318" s="44">
        <f t="shared" si="35"/>
        <v>152</v>
      </c>
      <c r="S318" s="358"/>
      <c r="T318" s="141">
        <v>57115</v>
      </c>
      <c r="U318" s="173">
        <f t="shared" si="28"/>
        <v>39</v>
      </c>
      <c r="V318" s="142"/>
      <c r="W318" s="141">
        <v>44263</v>
      </c>
      <c r="X318" s="4">
        <f t="shared" si="29"/>
        <v>54</v>
      </c>
      <c r="Y318" s="142"/>
      <c r="Z318" s="253"/>
    </row>
    <row r="319" spans="1:26">
      <c r="A319" s="150">
        <v>44848</v>
      </c>
      <c r="B319" s="154">
        <f t="shared" si="27"/>
        <v>44848</v>
      </c>
      <c r="C319" s="141">
        <v>1246721</v>
      </c>
      <c r="D319" s="56">
        <f t="shared" si="33"/>
        <v>13431</v>
      </c>
      <c r="E319" s="142"/>
      <c r="F319" s="141">
        <v>4247219</v>
      </c>
      <c r="G319" s="58">
        <f t="shared" si="36"/>
        <v>7961</v>
      </c>
      <c r="H319" s="168">
        <f t="shared" si="31"/>
        <v>53.075067024128685</v>
      </c>
      <c r="I319" s="169"/>
      <c r="J319" s="141">
        <v>2302094</v>
      </c>
      <c r="K319" s="58">
        <f t="shared" si="30"/>
        <v>9215</v>
      </c>
      <c r="L319" s="170">
        <f t="shared" si="32"/>
        <v>68.259259259259252</v>
      </c>
      <c r="M319" s="171"/>
      <c r="N319" s="141">
        <v>425963</v>
      </c>
      <c r="O319" s="4">
        <f t="shared" si="34"/>
        <v>725</v>
      </c>
      <c r="P319" s="173"/>
      <c r="Q319" s="42">
        <v>556948</v>
      </c>
      <c r="R319" s="44">
        <f t="shared" si="35"/>
        <v>572</v>
      </c>
      <c r="S319" s="358"/>
      <c r="T319" s="141">
        <v>57154</v>
      </c>
      <c r="U319" s="173">
        <f t="shared" si="28"/>
        <v>31</v>
      </c>
      <c r="V319" s="142"/>
      <c r="W319" s="141">
        <v>44317</v>
      </c>
      <c r="X319" s="4">
        <f t="shared" si="29"/>
        <v>0</v>
      </c>
      <c r="Y319" s="142"/>
      <c r="Z319" s="253"/>
    </row>
    <row r="320" spans="1:26">
      <c r="A320" s="150">
        <v>44849</v>
      </c>
      <c r="B320" s="154">
        <f t="shared" si="27"/>
        <v>44849</v>
      </c>
      <c r="C320" s="141">
        <v>1260152</v>
      </c>
      <c r="D320" s="56">
        <f t="shared" si="33"/>
        <v>438</v>
      </c>
      <c r="E320" s="142"/>
      <c r="F320" s="141">
        <v>4255180</v>
      </c>
      <c r="G320" s="58">
        <f t="shared" si="36"/>
        <v>8692</v>
      </c>
      <c r="H320" s="168">
        <f t="shared" si="31"/>
        <v>20.201072386058982</v>
      </c>
      <c r="I320" s="142"/>
      <c r="J320" s="141">
        <v>2311309</v>
      </c>
      <c r="K320" s="58">
        <f t="shared" si="30"/>
        <v>65</v>
      </c>
      <c r="L320" s="170">
        <f t="shared" si="32"/>
        <v>0.48148148148148145</v>
      </c>
      <c r="M320" s="142"/>
      <c r="N320" s="141">
        <v>426688</v>
      </c>
      <c r="O320" s="4">
        <f t="shared" si="34"/>
        <v>640</v>
      </c>
      <c r="P320" s="173"/>
      <c r="Q320" s="42">
        <v>557520</v>
      </c>
      <c r="R320" s="44">
        <f t="shared" si="35"/>
        <v>0</v>
      </c>
      <c r="S320" s="358"/>
      <c r="T320" s="141">
        <v>57185</v>
      </c>
      <c r="U320" s="173">
        <f t="shared" si="28"/>
        <v>0</v>
      </c>
      <c r="V320" s="142"/>
      <c r="W320" s="141">
        <v>44317</v>
      </c>
      <c r="X320" s="4">
        <f t="shared" si="29"/>
        <v>0</v>
      </c>
      <c r="Y320" s="142"/>
      <c r="Z320" s="253"/>
    </row>
    <row r="321" spans="1:26">
      <c r="A321" s="150">
        <v>44850</v>
      </c>
      <c r="B321" s="154">
        <f t="shared" si="27"/>
        <v>44850</v>
      </c>
      <c r="C321" s="141">
        <v>1260590</v>
      </c>
      <c r="D321" s="56">
        <f t="shared" si="33"/>
        <v>234</v>
      </c>
      <c r="E321" s="142"/>
      <c r="F321" s="141">
        <v>4263872</v>
      </c>
      <c r="G321" s="58">
        <f t="shared" si="36"/>
        <v>6469</v>
      </c>
      <c r="H321" s="168">
        <f t="shared" si="31"/>
        <v>13.694369973190348</v>
      </c>
      <c r="I321" s="142"/>
      <c r="J321" s="141">
        <v>2311374</v>
      </c>
      <c r="K321" s="58">
        <f t="shared" si="30"/>
        <v>0</v>
      </c>
      <c r="L321" s="170">
        <f t="shared" si="32"/>
        <v>0</v>
      </c>
      <c r="M321" s="142"/>
      <c r="N321" s="141">
        <v>427328</v>
      </c>
      <c r="O321" s="4">
        <f t="shared" si="34"/>
        <v>0</v>
      </c>
      <c r="P321" s="173"/>
      <c r="Q321" s="42">
        <v>557520</v>
      </c>
      <c r="R321" s="44">
        <f t="shared" si="35"/>
        <v>0</v>
      </c>
      <c r="S321" s="358"/>
      <c r="T321" s="141">
        <v>57185</v>
      </c>
      <c r="U321" s="173">
        <f t="shared" si="28"/>
        <v>0</v>
      </c>
      <c r="V321" s="142"/>
      <c r="W321" s="141">
        <v>44317</v>
      </c>
      <c r="X321" s="4">
        <f t="shared" si="29"/>
        <v>0</v>
      </c>
      <c r="Y321" s="142"/>
      <c r="Z321" s="253"/>
    </row>
    <row r="322" spans="1:26">
      <c r="A322" s="150">
        <v>44851</v>
      </c>
      <c r="B322" s="154">
        <f t="shared" si="27"/>
        <v>44851</v>
      </c>
      <c r="C322" s="141">
        <v>1260824</v>
      </c>
      <c r="D322" s="56">
        <f t="shared" si="33"/>
        <v>238</v>
      </c>
      <c r="E322" s="142"/>
      <c r="F322" s="141">
        <v>4270341</v>
      </c>
      <c r="G322" s="58">
        <f t="shared" si="36"/>
        <v>7330</v>
      </c>
      <c r="H322" s="168">
        <f t="shared" si="31"/>
        <v>16.013404825737265</v>
      </c>
      <c r="I322" s="169"/>
      <c r="J322" s="141">
        <v>2311374</v>
      </c>
      <c r="K322" s="58">
        <f t="shared" si="30"/>
        <v>5579</v>
      </c>
      <c r="L322" s="170">
        <f t="shared" si="32"/>
        <v>41.325925925925922</v>
      </c>
      <c r="M322" s="142"/>
      <c r="N322" s="141">
        <v>427328</v>
      </c>
      <c r="O322" s="4">
        <f t="shared" si="34"/>
        <v>708</v>
      </c>
      <c r="P322" s="173"/>
      <c r="Q322" s="42">
        <v>557520</v>
      </c>
      <c r="R322" s="44">
        <f t="shared" si="35"/>
        <v>194</v>
      </c>
      <c r="S322" s="358"/>
      <c r="T322" s="141">
        <v>57185</v>
      </c>
      <c r="U322" s="173">
        <f t="shared" si="28"/>
        <v>0</v>
      </c>
      <c r="V322" s="142"/>
      <c r="W322" s="141">
        <v>44317</v>
      </c>
      <c r="X322" s="4">
        <f t="shared" si="29"/>
        <v>0</v>
      </c>
      <c r="Y322" s="142"/>
      <c r="Z322" s="253"/>
    </row>
    <row r="323" spans="1:26">
      <c r="A323" s="150">
        <v>44852</v>
      </c>
      <c r="B323" s="154">
        <f t="shared" si="27"/>
        <v>44852</v>
      </c>
      <c r="C323" s="141">
        <v>1261062</v>
      </c>
      <c r="D323" s="56">
        <f t="shared" si="33"/>
        <v>238</v>
      </c>
      <c r="E323" s="142"/>
      <c r="F323" s="141">
        <v>4277671</v>
      </c>
      <c r="G323" s="58">
        <f t="shared" si="36"/>
        <v>7853</v>
      </c>
      <c r="H323" s="168">
        <f t="shared" si="31"/>
        <v>17.415549597855229</v>
      </c>
      <c r="I323" s="142"/>
      <c r="J323" s="141">
        <v>2316953</v>
      </c>
      <c r="K323" s="58">
        <f t="shared" si="30"/>
        <v>5105</v>
      </c>
      <c r="L323" s="170">
        <f t="shared" si="32"/>
        <v>37.814814814814817</v>
      </c>
      <c r="M323" s="142"/>
      <c r="N323" s="141">
        <v>428036</v>
      </c>
      <c r="O323" s="4">
        <f t="shared" si="34"/>
        <v>667</v>
      </c>
      <c r="P323" s="173"/>
      <c r="Q323" s="42">
        <v>557714</v>
      </c>
      <c r="R323" s="44">
        <f t="shared" si="35"/>
        <v>243</v>
      </c>
      <c r="S323" s="358"/>
      <c r="T323" s="141">
        <v>57185</v>
      </c>
      <c r="U323" s="173">
        <f t="shared" si="28"/>
        <v>16</v>
      </c>
      <c r="V323" s="142"/>
      <c r="W323" s="141">
        <v>44317</v>
      </c>
      <c r="X323" s="4">
        <f t="shared" si="29"/>
        <v>230</v>
      </c>
      <c r="Y323" s="142"/>
      <c r="Z323" s="253"/>
    </row>
    <row r="324" spans="1:26">
      <c r="A324" s="150">
        <v>44853</v>
      </c>
      <c r="B324" s="154">
        <f t="shared" si="27"/>
        <v>44853</v>
      </c>
      <c r="C324" s="141">
        <v>1261300</v>
      </c>
      <c r="D324" s="56">
        <f t="shared" si="33"/>
        <v>182</v>
      </c>
      <c r="E324" s="142"/>
      <c r="F324" s="141">
        <v>4285524</v>
      </c>
      <c r="G324" s="58">
        <f t="shared" si="36"/>
        <v>7822</v>
      </c>
      <c r="H324" s="168">
        <f t="shared" si="31"/>
        <v>17.182305630026811</v>
      </c>
      <c r="I324" s="142"/>
      <c r="J324" s="141">
        <v>2322058</v>
      </c>
      <c r="K324" s="58">
        <f t="shared" si="30"/>
        <v>9831</v>
      </c>
      <c r="L324" s="170">
        <f t="shared" si="32"/>
        <v>72.822222222222223</v>
      </c>
      <c r="M324" s="142"/>
      <c r="N324" s="141">
        <v>428703</v>
      </c>
      <c r="O324" s="4">
        <f t="shared" si="34"/>
        <v>702</v>
      </c>
      <c r="P324" s="173"/>
      <c r="Q324" s="42">
        <v>557957</v>
      </c>
      <c r="R324" s="44">
        <f t="shared" si="35"/>
        <v>22</v>
      </c>
      <c r="S324" s="358"/>
      <c r="T324" s="141">
        <v>57201</v>
      </c>
      <c r="U324" s="173">
        <f t="shared" si="28"/>
        <v>4</v>
      </c>
      <c r="V324" s="142"/>
      <c r="W324" s="141">
        <v>44547</v>
      </c>
      <c r="X324" s="4">
        <f t="shared" si="29"/>
        <v>0</v>
      </c>
      <c r="Y324" s="142"/>
      <c r="Z324" s="253"/>
    </row>
    <row r="325" spans="1:26">
      <c r="A325" s="150">
        <v>44854</v>
      </c>
      <c r="B325" s="154">
        <f t="shared" si="27"/>
        <v>44854</v>
      </c>
      <c r="C325" s="141">
        <v>1261482</v>
      </c>
      <c r="D325" s="56">
        <f t="shared" si="33"/>
        <v>16524</v>
      </c>
      <c r="E325" s="142"/>
      <c r="F325" s="141">
        <v>4293346</v>
      </c>
      <c r="G325" s="58">
        <f t="shared" si="36"/>
        <v>7067</v>
      </c>
      <c r="H325" s="168">
        <f t="shared" si="31"/>
        <v>58.970509383378015</v>
      </c>
      <c r="I325" s="142"/>
      <c r="J325" s="141">
        <v>2331889</v>
      </c>
      <c r="K325" s="58">
        <f t="shared" si="30"/>
        <v>5309</v>
      </c>
      <c r="L325" s="170">
        <f t="shared" si="32"/>
        <v>39.325925925925922</v>
      </c>
      <c r="M325" s="142"/>
      <c r="N325" s="141">
        <v>429405</v>
      </c>
      <c r="O325" s="4">
        <f t="shared" si="34"/>
        <v>752</v>
      </c>
      <c r="P325" s="173"/>
      <c r="Q325" s="42">
        <v>557979</v>
      </c>
      <c r="R325" s="44">
        <f t="shared" si="35"/>
        <v>120</v>
      </c>
      <c r="S325" s="358"/>
      <c r="T325" s="141">
        <v>57205</v>
      </c>
      <c r="U325" s="173">
        <f t="shared" si="28"/>
        <v>25</v>
      </c>
      <c r="V325" s="142"/>
      <c r="W325" s="141">
        <v>44547</v>
      </c>
      <c r="X325" s="4">
        <f t="shared" si="29"/>
        <v>0</v>
      </c>
      <c r="Y325" s="142"/>
      <c r="Z325" s="253"/>
    </row>
    <row r="326" spans="1:26">
      <c r="A326" s="150">
        <v>44855</v>
      </c>
      <c r="B326" s="154">
        <f t="shared" si="27"/>
        <v>44855</v>
      </c>
      <c r="C326" s="141">
        <v>1278006</v>
      </c>
      <c r="D326" s="56">
        <f t="shared" si="33"/>
        <v>8215</v>
      </c>
      <c r="E326" s="142"/>
      <c r="F326" s="141">
        <v>4300413</v>
      </c>
      <c r="G326" s="58">
        <f t="shared" si="36"/>
        <v>7164</v>
      </c>
      <c r="H326" s="168">
        <f t="shared" si="31"/>
        <v>36.954423592493299</v>
      </c>
      <c r="I326" s="142"/>
      <c r="J326" s="141">
        <v>2337198</v>
      </c>
      <c r="K326" s="58">
        <f t="shared" si="30"/>
        <v>5249</v>
      </c>
      <c r="L326" s="170">
        <f t="shared" si="32"/>
        <v>38.88148148148148</v>
      </c>
      <c r="M326" s="142"/>
      <c r="N326" s="141">
        <v>430157</v>
      </c>
      <c r="O326" s="4">
        <f t="shared" si="34"/>
        <v>924</v>
      </c>
      <c r="P326" s="173"/>
      <c r="Q326" s="42">
        <v>558099</v>
      </c>
      <c r="R326" s="44">
        <f t="shared" si="35"/>
        <v>284</v>
      </c>
      <c r="S326" s="358"/>
      <c r="T326" s="141">
        <v>57230</v>
      </c>
      <c r="U326" s="173">
        <f t="shared" si="28"/>
        <v>19</v>
      </c>
      <c r="V326" s="142"/>
      <c r="W326" s="141">
        <v>44547</v>
      </c>
      <c r="X326" s="4">
        <f t="shared" si="29"/>
        <v>113</v>
      </c>
      <c r="Y326" s="142"/>
      <c r="Z326" s="253"/>
    </row>
    <row r="327" spans="1:26">
      <c r="A327" s="150">
        <v>44856</v>
      </c>
      <c r="B327" s="154">
        <f t="shared" si="27"/>
        <v>44856</v>
      </c>
      <c r="C327" s="141">
        <v>1286221</v>
      </c>
      <c r="D327" s="56">
        <f t="shared" si="33"/>
        <v>104</v>
      </c>
      <c r="E327" s="142"/>
      <c r="F327" s="141">
        <v>4307577</v>
      </c>
      <c r="G327" s="58">
        <f t="shared" si="36"/>
        <v>14843</v>
      </c>
      <c r="H327" s="168">
        <f t="shared" si="31"/>
        <v>35.796246648793563</v>
      </c>
      <c r="I327" s="142"/>
      <c r="J327" s="141">
        <v>2342447</v>
      </c>
      <c r="K327" s="58">
        <f t="shared" si="30"/>
        <v>4265</v>
      </c>
      <c r="L327" s="170">
        <f t="shared" si="32"/>
        <v>31.592592592592592</v>
      </c>
      <c r="M327" s="142"/>
      <c r="N327" s="141">
        <v>431081</v>
      </c>
      <c r="O327" s="4">
        <f t="shared" si="34"/>
        <v>809</v>
      </c>
      <c r="P327" s="173"/>
      <c r="Q327" s="42">
        <v>558383</v>
      </c>
      <c r="R327" s="44">
        <f t="shared" si="35"/>
        <v>0</v>
      </c>
      <c r="S327" s="358"/>
      <c r="T327" s="141">
        <v>57249</v>
      </c>
      <c r="U327" s="173">
        <f t="shared" si="28"/>
        <v>0</v>
      </c>
      <c r="V327" s="142"/>
      <c r="W327" s="141">
        <v>44660</v>
      </c>
      <c r="X327" s="4">
        <f t="shared" si="29"/>
        <v>0</v>
      </c>
      <c r="Y327" s="142"/>
      <c r="Z327" s="253"/>
    </row>
    <row r="328" spans="1:26">
      <c r="A328" s="150">
        <v>44857</v>
      </c>
      <c r="B328" s="154">
        <f t="shared" si="27"/>
        <v>44857</v>
      </c>
      <c r="C328" s="141">
        <v>1286325</v>
      </c>
      <c r="D328" s="56">
        <f t="shared" si="33"/>
        <v>0</v>
      </c>
      <c r="E328" s="142"/>
      <c r="F328" s="141">
        <v>4322420</v>
      </c>
      <c r="G328" s="58">
        <f t="shared" si="36"/>
        <v>0</v>
      </c>
      <c r="H328" s="168">
        <f t="shared" si="31"/>
        <v>-4.2761394101876675</v>
      </c>
      <c r="I328" s="142"/>
      <c r="J328" s="141">
        <v>2346712</v>
      </c>
      <c r="K328" s="58">
        <f t="shared" si="30"/>
        <v>0</v>
      </c>
      <c r="L328" s="170">
        <f t="shared" si="32"/>
        <v>0</v>
      </c>
      <c r="M328" s="142"/>
      <c r="N328" s="141">
        <v>431890</v>
      </c>
      <c r="O328" s="4">
        <f t="shared" si="34"/>
        <v>0</v>
      </c>
      <c r="P328" s="173"/>
      <c r="Q328" s="42">
        <v>558383</v>
      </c>
      <c r="R328" s="44">
        <f t="shared" si="35"/>
        <v>0</v>
      </c>
      <c r="S328" s="358"/>
      <c r="T328" s="141">
        <v>57249</v>
      </c>
      <c r="U328" s="173">
        <f t="shared" si="28"/>
        <v>0</v>
      </c>
      <c r="V328" s="142"/>
      <c r="W328" s="141">
        <v>44660</v>
      </c>
      <c r="X328" s="4">
        <f t="shared" si="29"/>
        <v>0</v>
      </c>
      <c r="Y328" s="142"/>
      <c r="Z328" s="253"/>
    </row>
    <row r="329" spans="1:26">
      <c r="A329" s="150">
        <v>44858</v>
      </c>
      <c r="B329" s="154">
        <f t="shared" si="27"/>
        <v>44858</v>
      </c>
      <c r="C329" s="141">
        <v>1286325</v>
      </c>
      <c r="D329" s="56">
        <f t="shared" si="33"/>
        <v>9787</v>
      </c>
      <c r="E329" s="142"/>
      <c r="F329" s="141">
        <v>4322420</v>
      </c>
      <c r="G329" s="58">
        <f t="shared" si="36"/>
        <v>6974</v>
      </c>
      <c r="H329" s="168">
        <f t="shared" si="31"/>
        <v>40.65951742627346</v>
      </c>
      <c r="I329" s="142"/>
      <c r="J329" s="141">
        <v>2346712</v>
      </c>
      <c r="K329" s="58">
        <f t="shared" si="30"/>
        <v>5227</v>
      </c>
      <c r="L329" s="170">
        <f t="shared" si="32"/>
        <v>38.718518518518522</v>
      </c>
      <c r="M329" s="142"/>
      <c r="N329" s="141">
        <v>431890</v>
      </c>
      <c r="O329" s="4">
        <f t="shared" si="34"/>
        <v>704</v>
      </c>
      <c r="P329" s="173"/>
      <c r="Q329" s="42">
        <v>558383</v>
      </c>
      <c r="R329" s="44">
        <f t="shared" si="35"/>
        <v>39</v>
      </c>
      <c r="S329" s="358"/>
      <c r="T329" s="141">
        <v>57249</v>
      </c>
      <c r="U329" s="173">
        <f t="shared" si="28"/>
        <v>0</v>
      </c>
      <c r="V329" s="142"/>
      <c r="W329" s="141">
        <v>44660</v>
      </c>
      <c r="X329" s="4">
        <f t="shared" si="29"/>
        <v>0</v>
      </c>
      <c r="Y329" s="142"/>
      <c r="Z329" s="253"/>
    </row>
    <row r="330" spans="1:26">
      <c r="A330" s="150">
        <v>44859</v>
      </c>
      <c r="B330" s="154">
        <f t="shared" si="27"/>
        <v>44859</v>
      </c>
      <c r="C330" s="141">
        <v>1296112</v>
      </c>
      <c r="D330" s="56">
        <f t="shared" si="33"/>
        <v>3298</v>
      </c>
      <c r="E330" s="142"/>
      <c r="F330" s="141">
        <v>4329394</v>
      </c>
      <c r="G330" s="58">
        <f t="shared" si="36"/>
        <v>7144</v>
      </c>
      <c r="H330" s="168">
        <f t="shared" si="31"/>
        <v>23.718498659517426</v>
      </c>
      <c r="I330" s="142"/>
      <c r="J330" s="141">
        <v>2351939</v>
      </c>
      <c r="K330" s="58">
        <f t="shared" si="30"/>
        <v>5394</v>
      </c>
      <c r="L330" s="170">
        <f t="shared" si="32"/>
        <v>39.955555555555556</v>
      </c>
      <c r="M330" s="142"/>
      <c r="N330" s="141">
        <v>432594</v>
      </c>
      <c r="O330" s="4">
        <f t="shared" si="34"/>
        <v>0</v>
      </c>
      <c r="P330" s="173"/>
      <c r="Q330" s="42">
        <v>558422</v>
      </c>
      <c r="R330" s="44">
        <f t="shared" si="35"/>
        <v>139</v>
      </c>
      <c r="S330" s="358"/>
      <c r="T330" s="141">
        <v>57249</v>
      </c>
      <c r="U330" s="173">
        <f t="shared" si="28"/>
        <v>9</v>
      </c>
      <c r="V330" s="142"/>
      <c r="W330" s="141">
        <v>44660</v>
      </c>
      <c r="X330" s="4">
        <f t="shared" si="29"/>
        <v>0</v>
      </c>
      <c r="Y330" s="142"/>
      <c r="Z330" s="253"/>
    </row>
    <row r="331" spans="1:26">
      <c r="A331" s="150">
        <v>44860</v>
      </c>
      <c r="B331" s="154">
        <f t="shared" si="27"/>
        <v>44860</v>
      </c>
      <c r="C331" s="141">
        <v>1299410</v>
      </c>
      <c r="D331" s="56">
        <f t="shared" si="33"/>
        <v>49</v>
      </c>
      <c r="E331" s="142"/>
      <c r="F331" s="141">
        <v>4336538</v>
      </c>
      <c r="G331" s="58">
        <f t="shared" si="36"/>
        <v>7174</v>
      </c>
      <c r="H331" s="168">
        <f t="shared" si="31"/>
        <v>15.088471849865952</v>
      </c>
      <c r="I331" s="142"/>
      <c r="J331" s="141">
        <v>2357333</v>
      </c>
      <c r="K331" s="58">
        <f t="shared" si="30"/>
        <v>10306</v>
      </c>
      <c r="L331" s="170">
        <f t="shared" si="32"/>
        <v>76.340740740740742</v>
      </c>
      <c r="M331" s="142"/>
      <c r="N331" s="172">
        <v>432594</v>
      </c>
      <c r="O331" s="4">
        <f t="shared" si="34"/>
        <v>1402</v>
      </c>
      <c r="P331" s="173"/>
      <c r="Q331" s="42">
        <v>558561</v>
      </c>
      <c r="R331" s="44">
        <f t="shared" si="35"/>
        <v>205</v>
      </c>
      <c r="S331" s="358"/>
      <c r="T331" s="141">
        <v>57258</v>
      </c>
      <c r="U331" s="173">
        <f t="shared" si="28"/>
        <v>1</v>
      </c>
      <c r="V331" s="142"/>
      <c r="W331" s="141">
        <v>44660</v>
      </c>
      <c r="X331" s="4">
        <f t="shared" si="29"/>
        <v>0</v>
      </c>
      <c r="Y331" s="142"/>
      <c r="Z331" s="253"/>
    </row>
    <row r="332" spans="1:26">
      <c r="A332" s="150">
        <v>44861</v>
      </c>
      <c r="B332" s="154">
        <f t="shared" si="27"/>
        <v>44861</v>
      </c>
      <c r="C332" s="141">
        <v>1299459</v>
      </c>
      <c r="D332" s="56">
        <f t="shared" si="33"/>
        <v>15687</v>
      </c>
      <c r="E332" s="142"/>
      <c r="F332" s="141">
        <v>4343712</v>
      </c>
      <c r="G332" s="58">
        <f t="shared" si="36"/>
        <v>6934</v>
      </c>
      <c r="H332" s="168">
        <f t="shared" si="31"/>
        <v>56.369973190348524</v>
      </c>
      <c r="I332" s="142"/>
      <c r="J332" s="141">
        <v>2367639</v>
      </c>
      <c r="K332" s="58">
        <f t="shared" si="30"/>
        <v>5364</v>
      </c>
      <c r="L332" s="170">
        <f t="shared" si="32"/>
        <v>39.733333333333334</v>
      </c>
      <c r="M332" s="142"/>
      <c r="N332" s="141">
        <v>433996</v>
      </c>
      <c r="O332" s="4">
        <f t="shared" si="34"/>
        <v>1501</v>
      </c>
      <c r="P332" s="173"/>
      <c r="Q332" s="42">
        <v>558766</v>
      </c>
      <c r="R332" s="44">
        <f t="shared" si="35"/>
        <v>186</v>
      </c>
      <c r="S332" s="358"/>
      <c r="T332" s="141">
        <v>57259</v>
      </c>
      <c r="U332" s="173">
        <f t="shared" si="28"/>
        <v>0</v>
      </c>
      <c r="V332" s="142"/>
      <c r="W332" s="141">
        <v>44660</v>
      </c>
      <c r="X332" s="4">
        <f t="shared" si="29"/>
        <v>0</v>
      </c>
      <c r="Y332" s="142"/>
      <c r="Z332" s="246" t="s">
        <v>59</v>
      </c>
    </row>
    <row r="333" spans="1:26">
      <c r="A333" s="150">
        <v>44862</v>
      </c>
      <c r="B333" s="154">
        <f t="shared" si="27"/>
        <v>44862</v>
      </c>
      <c r="C333" s="141">
        <v>1315146</v>
      </c>
      <c r="D333" s="56">
        <f t="shared" si="33"/>
        <v>13604</v>
      </c>
      <c r="E333" s="142"/>
      <c r="F333" s="141">
        <v>4350646</v>
      </c>
      <c r="G333" s="58">
        <f t="shared" si="36"/>
        <v>6797</v>
      </c>
      <c r="H333" s="168">
        <f t="shared" si="31"/>
        <v>50.41823056300268</v>
      </c>
      <c r="I333" s="142"/>
      <c r="J333" s="141">
        <v>2373003</v>
      </c>
      <c r="K333" s="58">
        <f t="shared" si="30"/>
        <v>4955</v>
      </c>
      <c r="L333" s="170">
        <f t="shared" si="32"/>
        <v>36.703703703703702</v>
      </c>
      <c r="M333" s="142"/>
      <c r="N333" s="141">
        <v>435497</v>
      </c>
      <c r="O333" s="4">
        <f t="shared" si="34"/>
        <v>657</v>
      </c>
      <c r="P333" s="173"/>
      <c r="Q333" s="42">
        <v>558952</v>
      </c>
      <c r="R333" s="44">
        <f t="shared" si="35"/>
        <v>455</v>
      </c>
      <c r="S333" s="358"/>
      <c r="T333" s="141">
        <v>57259</v>
      </c>
      <c r="U333" s="173">
        <f t="shared" si="28"/>
        <v>14</v>
      </c>
      <c r="V333" s="142"/>
      <c r="W333" s="141">
        <v>44660</v>
      </c>
      <c r="X333" s="4">
        <f t="shared" si="29"/>
        <v>100</v>
      </c>
      <c r="Y333" s="142"/>
      <c r="Z333" s="246" t="s">
        <v>59</v>
      </c>
    </row>
    <row r="334" spans="1:26">
      <c r="A334" s="150">
        <v>44863</v>
      </c>
      <c r="B334" s="154">
        <f t="shared" ref="B334:B397" si="37">+A334</f>
        <v>44863</v>
      </c>
      <c r="C334" s="141">
        <v>1328750</v>
      </c>
      <c r="D334" s="56">
        <f t="shared" si="33"/>
        <v>202</v>
      </c>
      <c r="E334" s="142"/>
      <c r="F334" s="141">
        <v>4357443</v>
      </c>
      <c r="G334" s="58">
        <f t="shared" si="36"/>
        <v>8854</v>
      </c>
      <c r="H334" s="168">
        <f t="shared" si="31"/>
        <v>20.002680965147452</v>
      </c>
      <c r="I334" s="142"/>
      <c r="J334" s="141">
        <v>2377958</v>
      </c>
      <c r="K334" s="58">
        <f t="shared" si="30"/>
        <v>4167</v>
      </c>
      <c r="L334" s="170">
        <f t="shared" si="32"/>
        <v>30.866666666666667</v>
      </c>
      <c r="M334" s="142"/>
      <c r="N334" s="141">
        <v>436154</v>
      </c>
      <c r="O334" s="4">
        <f t="shared" si="34"/>
        <v>613</v>
      </c>
      <c r="P334" s="173"/>
      <c r="Q334" s="42">
        <v>559407</v>
      </c>
      <c r="R334" s="44">
        <f t="shared" si="35"/>
        <v>0</v>
      </c>
      <c r="S334" s="358"/>
      <c r="T334" s="141">
        <v>57273</v>
      </c>
      <c r="U334" s="173">
        <f t="shared" si="28"/>
        <v>0</v>
      </c>
      <c r="V334" s="142"/>
      <c r="W334" s="141">
        <v>44760</v>
      </c>
      <c r="X334" s="4">
        <f t="shared" si="29"/>
        <v>0</v>
      </c>
      <c r="Y334" s="142"/>
      <c r="Z334" s="253"/>
    </row>
    <row r="335" spans="1:26">
      <c r="A335" s="150">
        <v>44864</v>
      </c>
      <c r="B335" s="154">
        <f t="shared" si="37"/>
        <v>44864</v>
      </c>
      <c r="C335" s="141">
        <v>1328952</v>
      </c>
      <c r="D335" s="56">
        <f t="shared" si="33"/>
        <v>105</v>
      </c>
      <c r="E335" s="142"/>
      <c r="F335" s="141">
        <v>4366297</v>
      </c>
      <c r="G335" s="58">
        <f t="shared" si="36"/>
        <v>6028</v>
      </c>
      <c r="H335" s="168">
        <f t="shared" si="31"/>
        <v>12.166219839142091</v>
      </c>
      <c r="I335" s="142"/>
      <c r="J335" s="141">
        <v>2382125</v>
      </c>
      <c r="K335" s="58">
        <f t="shared" si="30"/>
        <v>0</v>
      </c>
      <c r="L335" s="170">
        <f t="shared" si="32"/>
        <v>0</v>
      </c>
      <c r="M335" s="142"/>
      <c r="N335" s="141">
        <v>436767</v>
      </c>
      <c r="O335" s="4">
        <f t="shared" si="34"/>
        <v>0</v>
      </c>
      <c r="P335" s="173"/>
      <c r="Q335" s="42">
        <v>559407</v>
      </c>
      <c r="R335" s="44">
        <f t="shared" si="35"/>
        <v>0</v>
      </c>
      <c r="S335" s="358"/>
      <c r="T335" s="141">
        <v>57273</v>
      </c>
      <c r="U335" s="173">
        <f t="shared" si="28"/>
        <v>0</v>
      </c>
      <c r="V335" s="142"/>
      <c r="W335" s="141">
        <v>44760</v>
      </c>
      <c r="X335" s="4">
        <f t="shared" si="29"/>
        <v>0</v>
      </c>
      <c r="Y335" s="142"/>
      <c r="Z335" s="253"/>
    </row>
    <row r="336" spans="1:26">
      <c r="A336" s="150">
        <v>44865</v>
      </c>
      <c r="B336" s="154">
        <f t="shared" si="37"/>
        <v>44865</v>
      </c>
      <c r="C336" s="141">
        <v>1329057</v>
      </c>
      <c r="D336" s="56">
        <f t="shared" si="33"/>
        <v>24</v>
      </c>
      <c r="E336" s="142"/>
      <c r="F336" s="141">
        <v>4372325</v>
      </c>
      <c r="G336" s="58">
        <f t="shared" si="36"/>
        <v>7148</v>
      </c>
      <c r="H336" s="168">
        <f t="shared" si="31"/>
        <v>14.951742627345844</v>
      </c>
      <c r="I336" s="142"/>
      <c r="J336" s="141">
        <v>2382125</v>
      </c>
      <c r="K336" s="58">
        <f t="shared" si="30"/>
        <v>5509</v>
      </c>
      <c r="L336" s="170">
        <f t="shared" si="32"/>
        <v>40.80740740740741</v>
      </c>
      <c r="M336" s="142"/>
      <c r="N336" s="141">
        <v>436767</v>
      </c>
      <c r="O336" s="4">
        <f t="shared" si="34"/>
        <v>749</v>
      </c>
      <c r="P336" s="173"/>
      <c r="Q336" s="42">
        <v>559407</v>
      </c>
      <c r="R336" s="44">
        <f t="shared" si="35"/>
        <v>50</v>
      </c>
      <c r="S336" s="358"/>
      <c r="T336" s="141">
        <v>57273</v>
      </c>
      <c r="U336" s="173">
        <f t="shared" si="28"/>
        <v>0</v>
      </c>
      <c r="V336" s="142"/>
      <c r="W336" s="141">
        <v>44760</v>
      </c>
      <c r="X336" s="4">
        <f t="shared" si="29"/>
        <v>0</v>
      </c>
      <c r="Y336" s="142"/>
      <c r="Z336" s="253"/>
    </row>
    <row r="337" spans="1:26">
      <c r="A337" s="150">
        <v>44866</v>
      </c>
      <c r="B337" s="154">
        <f t="shared" si="37"/>
        <v>44866</v>
      </c>
      <c r="C337" s="141">
        <v>1329081</v>
      </c>
      <c r="D337" s="56">
        <f t="shared" si="33"/>
        <v>32</v>
      </c>
      <c r="E337" s="142"/>
      <c r="F337" s="141">
        <v>4379473</v>
      </c>
      <c r="G337" s="58">
        <f t="shared" si="36"/>
        <v>9334</v>
      </c>
      <c r="H337" s="168">
        <f t="shared" si="31"/>
        <v>20.833780160857909</v>
      </c>
      <c r="I337" s="142"/>
      <c r="J337" s="141">
        <v>2387634</v>
      </c>
      <c r="K337" s="58">
        <f t="shared" si="30"/>
        <v>4985</v>
      </c>
      <c r="L337" s="170">
        <f t="shared" si="32"/>
        <v>36.925925925925924</v>
      </c>
      <c r="M337" s="142"/>
      <c r="N337" s="141">
        <v>437516</v>
      </c>
      <c r="O337" s="4">
        <f t="shared" si="34"/>
        <v>966</v>
      </c>
      <c r="P337" s="173"/>
      <c r="Q337" s="42">
        <v>559457</v>
      </c>
      <c r="R337" s="44">
        <f t="shared" si="35"/>
        <v>36</v>
      </c>
      <c r="S337" s="358"/>
      <c r="T337" s="141">
        <v>57273</v>
      </c>
      <c r="U337" s="173">
        <f t="shared" si="28"/>
        <v>0</v>
      </c>
      <c r="V337" s="142"/>
      <c r="W337" s="141">
        <v>44760</v>
      </c>
      <c r="X337" s="4">
        <f t="shared" si="29"/>
        <v>244</v>
      </c>
      <c r="Y337" s="142"/>
      <c r="Z337" s="253"/>
    </row>
    <row r="338" spans="1:26">
      <c r="A338" s="150">
        <v>44867</v>
      </c>
      <c r="B338" s="154">
        <f t="shared" si="37"/>
        <v>44867</v>
      </c>
      <c r="C338" s="141">
        <v>1329113</v>
      </c>
      <c r="D338" s="56">
        <f t="shared" si="33"/>
        <v>51</v>
      </c>
      <c r="E338" s="142"/>
      <c r="F338" s="141">
        <v>4388807</v>
      </c>
      <c r="G338" s="58">
        <f t="shared" si="36"/>
        <v>5386</v>
      </c>
      <c r="H338" s="168">
        <f t="shared" si="31"/>
        <v>10.300268096514746</v>
      </c>
      <c r="I338" s="142"/>
      <c r="J338" s="141">
        <v>2392619</v>
      </c>
      <c r="K338" s="58">
        <f t="shared" si="30"/>
        <v>4073</v>
      </c>
      <c r="L338" s="170">
        <f t="shared" si="32"/>
        <v>30.170370370370371</v>
      </c>
      <c r="M338" s="142"/>
      <c r="N338" s="141">
        <v>438482</v>
      </c>
      <c r="O338" s="4">
        <f t="shared" si="34"/>
        <v>0</v>
      </c>
      <c r="P338" s="173"/>
      <c r="Q338" s="42">
        <v>559493</v>
      </c>
      <c r="R338" s="44">
        <f t="shared" si="35"/>
        <v>0</v>
      </c>
      <c r="S338" s="358"/>
      <c r="T338" s="141">
        <v>57273</v>
      </c>
      <c r="U338" s="173">
        <f t="shared" si="28"/>
        <v>0</v>
      </c>
      <c r="V338" s="142"/>
      <c r="W338" s="141">
        <v>45004</v>
      </c>
      <c r="X338" s="4">
        <f t="shared" si="29"/>
        <v>0</v>
      </c>
      <c r="Y338" s="142"/>
      <c r="Z338" s="253"/>
    </row>
    <row r="339" spans="1:26">
      <c r="A339" s="150">
        <v>44868</v>
      </c>
      <c r="B339" s="154">
        <f t="shared" si="37"/>
        <v>44868</v>
      </c>
      <c r="C339" s="141">
        <v>1329164</v>
      </c>
      <c r="D339" s="56">
        <f t="shared" si="33"/>
        <v>11646</v>
      </c>
      <c r="E339" s="142"/>
      <c r="F339" s="141">
        <v>4394193</v>
      </c>
      <c r="G339" s="58">
        <f t="shared" si="36"/>
        <v>7066</v>
      </c>
      <c r="H339" s="168">
        <f t="shared" si="31"/>
        <v>45.890080428954427</v>
      </c>
      <c r="I339" s="142"/>
      <c r="J339" s="141">
        <v>2396692</v>
      </c>
      <c r="K339" s="58">
        <f t="shared" si="30"/>
        <v>5613</v>
      </c>
      <c r="L339" s="170">
        <f t="shared" si="32"/>
        <v>41.577777777777776</v>
      </c>
      <c r="M339" s="142"/>
      <c r="N339" s="141">
        <v>438482</v>
      </c>
      <c r="O339" s="4">
        <f t="shared" si="34"/>
        <v>822</v>
      </c>
      <c r="P339" s="173"/>
      <c r="Q339" s="42">
        <v>559493</v>
      </c>
      <c r="R339" s="44">
        <f t="shared" si="35"/>
        <v>56</v>
      </c>
      <c r="S339" s="358"/>
      <c r="T339" s="141">
        <v>57273</v>
      </c>
      <c r="U339" s="173">
        <f t="shared" si="28"/>
        <v>90</v>
      </c>
      <c r="V339" s="142"/>
      <c r="W339" s="141">
        <v>45004</v>
      </c>
      <c r="X339" s="4">
        <f t="shared" si="29"/>
        <v>38</v>
      </c>
      <c r="Y339" s="142"/>
      <c r="Z339" s="253"/>
    </row>
    <row r="340" spans="1:26">
      <c r="A340" s="150">
        <v>44869</v>
      </c>
      <c r="B340" s="154">
        <f t="shared" si="37"/>
        <v>44869</v>
      </c>
      <c r="C340" s="141">
        <v>1340810</v>
      </c>
      <c r="D340" s="56">
        <f t="shared" si="33"/>
        <v>7084</v>
      </c>
      <c r="E340" s="142"/>
      <c r="F340" s="141">
        <v>4401259</v>
      </c>
      <c r="G340" s="58">
        <f t="shared" si="36"/>
        <v>7318</v>
      </c>
      <c r="H340" s="168">
        <f t="shared" si="31"/>
        <v>34.335120643431637</v>
      </c>
      <c r="I340" s="142"/>
      <c r="J340" s="141">
        <v>2402305</v>
      </c>
      <c r="K340" s="58">
        <f t="shared" si="30"/>
        <v>5356</v>
      </c>
      <c r="L340" s="170">
        <f t="shared" si="32"/>
        <v>39.674074074074078</v>
      </c>
      <c r="M340" s="142"/>
      <c r="N340" s="141">
        <v>439304</v>
      </c>
      <c r="O340" s="4">
        <f t="shared" si="34"/>
        <v>749</v>
      </c>
      <c r="P340" s="173"/>
      <c r="Q340" s="42">
        <v>559549</v>
      </c>
      <c r="R340" s="44">
        <f t="shared" si="35"/>
        <v>108</v>
      </c>
      <c r="S340" s="358"/>
      <c r="T340" s="141">
        <v>57363</v>
      </c>
      <c r="U340" s="173">
        <f t="shared" si="28"/>
        <v>158</v>
      </c>
      <c r="V340" s="142"/>
      <c r="W340" s="141">
        <v>45042</v>
      </c>
      <c r="X340" s="4">
        <f t="shared" si="29"/>
        <v>3</v>
      </c>
      <c r="Y340" s="142"/>
      <c r="Z340" s="253"/>
    </row>
    <row r="341" spans="1:26">
      <c r="A341" s="150">
        <v>44870</v>
      </c>
      <c r="B341" s="154">
        <f t="shared" si="37"/>
        <v>44870</v>
      </c>
      <c r="C341" s="141">
        <v>1347894</v>
      </c>
      <c r="D341" s="56">
        <f t="shared" si="33"/>
        <v>8180</v>
      </c>
      <c r="E341" s="142"/>
      <c r="F341" s="141">
        <v>4408577</v>
      </c>
      <c r="G341" s="58">
        <f t="shared" si="36"/>
        <v>15608</v>
      </c>
      <c r="H341" s="168">
        <f t="shared" si="31"/>
        <v>59.498659517426276</v>
      </c>
      <c r="I341" s="142"/>
      <c r="J341" s="141">
        <v>2407661</v>
      </c>
      <c r="K341" s="58">
        <f t="shared" si="30"/>
        <v>8250</v>
      </c>
      <c r="L341" s="170">
        <f t="shared" si="32"/>
        <v>61.111111111111114</v>
      </c>
      <c r="M341" s="142"/>
      <c r="N341" s="141">
        <v>440053</v>
      </c>
      <c r="O341" s="4">
        <f t="shared" si="34"/>
        <v>610</v>
      </c>
      <c r="P341" s="365" t="s">
        <v>78</v>
      </c>
      <c r="Q341" s="42">
        <v>559657</v>
      </c>
      <c r="R341" s="44">
        <f t="shared" si="35"/>
        <v>287</v>
      </c>
      <c r="S341" s="358"/>
      <c r="T341" s="141">
        <v>57521</v>
      </c>
      <c r="U341" s="173">
        <f t="shared" ref="U341:U385" si="38">T342-T341</f>
        <v>0</v>
      </c>
      <c r="V341" s="142"/>
      <c r="W341" s="141">
        <v>45045</v>
      </c>
      <c r="X341" s="4">
        <f t="shared" ref="X341:X404" si="39">W342-W341</f>
        <v>0</v>
      </c>
      <c r="Y341" s="142"/>
      <c r="Z341" s="253"/>
    </row>
    <row r="342" spans="1:26">
      <c r="A342" s="150">
        <v>44871</v>
      </c>
      <c r="B342" s="154">
        <f t="shared" si="37"/>
        <v>44871</v>
      </c>
      <c r="C342" s="141">
        <v>1356074</v>
      </c>
      <c r="D342" s="56">
        <f t="shared" si="33"/>
        <v>0</v>
      </c>
      <c r="E342" s="142"/>
      <c r="F342" s="141">
        <v>4424185</v>
      </c>
      <c r="G342" s="58">
        <f t="shared" si="36"/>
        <v>0</v>
      </c>
      <c r="H342" s="168">
        <f t="shared" si="31"/>
        <v>-4.2761394101876675</v>
      </c>
      <c r="I342" s="142"/>
      <c r="J342" s="141">
        <v>2415911</v>
      </c>
      <c r="K342" s="58">
        <f t="shared" si="30"/>
        <v>0</v>
      </c>
      <c r="L342" s="170">
        <f t="shared" si="32"/>
        <v>0</v>
      </c>
      <c r="M342" s="142"/>
      <c r="N342" s="46">
        <v>440663</v>
      </c>
      <c r="O342" s="12">
        <f t="shared" si="34"/>
        <v>0</v>
      </c>
      <c r="P342" s="166"/>
      <c r="Q342" s="42">
        <v>559944</v>
      </c>
      <c r="R342" s="44">
        <f t="shared" si="35"/>
        <v>0</v>
      </c>
      <c r="S342" s="358"/>
      <c r="T342" s="141">
        <v>57521</v>
      </c>
      <c r="U342" s="173">
        <f t="shared" si="38"/>
        <v>0</v>
      </c>
      <c r="V342" s="142"/>
      <c r="W342" s="141">
        <v>45045</v>
      </c>
      <c r="X342" s="4">
        <f t="shared" si="39"/>
        <v>0</v>
      </c>
      <c r="Y342" s="142"/>
      <c r="Z342" s="253"/>
    </row>
    <row r="343" spans="1:26">
      <c r="A343" s="150">
        <v>44872</v>
      </c>
      <c r="B343" s="154">
        <f t="shared" si="37"/>
        <v>44872</v>
      </c>
      <c r="C343" s="141">
        <v>1356074</v>
      </c>
      <c r="D343" s="56">
        <f t="shared" si="33"/>
        <v>18</v>
      </c>
      <c r="E343" s="142"/>
      <c r="F343" s="141">
        <v>4424185</v>
      </c>
      <c r="G343" s="58">
        <f t="shared" si="36"/>
        <v>3245</v>
      </c>
      <c r="H343" s="168">
        <f t="shared" si="31"/>
        <v>4.4718498659517429</v>
      </c>
      <c r="I343" s="142"/>
      <c r="J343" s="141">
        <v>2415911</v>
      </c>
      <c r="K343" s="58">
        <f t="shared" si="30"/>
        <v>1213</v>
      </c>
      <c r="L343" s="170">
        <f t="shared" si="32"/>
        <v>8.9851851851851858</v>
      </c>
      <c r="M343" s="142"/>
      <c r="N343" s="46">
        <v>440663</v>
      </c>
      <c r="O343" s="12">
        <f t="shared" si="34"/>
        <v>622</v>
      </c>
      <c r="P343" s="166"/>
      <c r="Q343" s="42">
        <v>559944</v>
      </c>
      <c r="R343" s="44">
        <f t="shared" si="35"/>
        <v>25</v>
      </c>
      <c r="S343" s="358"/>
      <c r="T343" s="141">
        <v>57521</v>
      </c>
      <c r="U343" s="173">
        <f t="shared" si="38"/>
        <v>0</v>
      </c>
      <c r="V343" s="142"/>
      <c r="W343" s="141">
        <v>45045</v>
      </c>
      <c r="X343" s="4">
        <f t="shared" si="39"/>
        <v>0</v>
      </c>
      <c r="Y343" s="142"/>
      <c r="Z343" s="253"/>
    </row>
    <row r="344" spans="1:26">
      <c r="A344" s="150">
        <v>44873</v>
      </c>
      <c r="B344" s="154">
        <f t="shared" si="37"/>
        <v>44873</v>
      </c>
      <c r="C344" s="141">
        <v>1356092</v>
      </c>
      <c r="D344" s="56">
        <f t="shared" si="33"/>
        <v>14060</v>
      </c>
      <c r="E344" s="142"/>
      <c r="F344" s="141">
        <v>4427430</v>
      </c>
      <c r="G344" s="58">
        <f t="shared" si="36"/>
        <v>6385</v>
      </c>
      <c r="H344" s="168">
        <f t="shared" si="31"/>
        <v>50.536193029490619</v>
      </c>
      <c r="I344" s="142"/>
      <c r="J344" s="141">
        <v>2417124</v>
      </c>
      <c r="K344" s="58">
        <f t="shared" si="30"/>
        <v>8945</v>
      </c>
      <c r="L344" s="170">
        <f t="shared" si="32"/>
        <v>66.259259259259252</v>
      </c>
      <c r="M344" s="142"/>
      <c r="N344" s="46">
        <v>441285</v>
      </c>
      <c r="O344" s="12">
        <f t="shared" si="34"/>
        <v>635</v>
      </c>
      <c r="P344" s="166"/>
      <c r="Q344" s="42">
        <v>559969</v>
      </c>
      <c r="R344" s="44">
        <f t="shared" si="35"/>
        <v>81</v>
      </c>
      <c r="S344" s="358"/>
      <c r="T344" s="141">
        <v>57521</v>
      </c>
      <c r="U344" s="173">
        <f t="shared" si="38"/>
        <v>82</v>
      </c>
      <c r="V344" s="142"/>
      <c r="W344" s="141">
        <v>45045</v>
      </c>
      <c r="X344" s="4">
        <f t="shared" si="39"/>
        <v>1</v>
      </c>
      <c r="Y344" s="142"/>
      <c r="Z344" s="253"/>
    </row>
    <row r="345" spans="1:26">
      <c r="A345" s="150">
        <v>44874</v>
      </c>
      <c r="B345" s="154">
        <f t="shared" si="37"/>
        <v>44874</v>
      </c>
      <c r="C345" s="141">
        <v>1370152</v>
      </c>
      <c r="D345" s="56">
        <f t="shared" si="33"/>
        <v>199</v>
      </c>
      <c r="E345" s="142"/>
      <c r="F345" s="141">
        <v>4433815</v>
      </c>
      <c r="G345" s="58">
        <f t="shared" si="36"/>
        <v>6943</v>
      </c>
      <c r="H345" s="168">
        <f t="shared" si="31"/>
        <v>14.871313672922252</v>
      </c>
      <c r="I345" s="142"/>
      <c r="J345" s="141">
        <v>2426069</v>
      </c>
      <c r="K345" s="58">
        <f t="shared" si="30"/>
        <v>5382</v>
      </c>
      <c r="L345" s="170">
        <f t="shared" si="32"/>
        <v>39.866666666666667</v>
      </c>
      <c r="M345" s="142"/>
      <c r="N345" s="46">
        <v>441920</v>
      </c>
      <c r="O345" s="12">
        <f t="shared" si="34"/>
        <v>804</v>
      </c>
      <c r="P345" s="166"/>
      <c r="Q345" s="42">
        <v>560050</v>
      </c>
      <c r="R345" s="44">
        <f t="shared" si="35"/>
        <v>49</v>
      </c>
      <c r="S345" s="358"/>
      <c r="T345" s="141">
        <v>57603</v>
      </c>
      <c r="U345" s="173">
        <f t="shared" si="38"/>
        <v>105</v>
      </c>
      <c r="V345" s="142"/>
      <c r="W345" s="141">
        <v>45046</v>
      </c>
      <c r="X345" s="4">
        <f t="shared" si="39"/>
        <v>1</v>
      </c>
      <c r="Y345" s="142"/>
      <c r="Z345" s="253"/>
    </row>
    <row r="346" spans="1:26">
      <c r="A346" s="150">
        <v>44875</v>
      </c>
      <c r="B346" s="154">
        <f t="shared" si="37"/>
        <v>44875</v>
      </c>
      <c r="C346" s="141">
        <v>1370351</v>
      </c>
      <c r="D346" s="56">
        <f t="shared" si="33"/>
        <v>33</v>
      </c>
      <c r="E346" s="40" t="s">
        <v>78</v>
      </c>
      <c r="F346" s="141">
        <v>4440758</v>
      </c>
      <c r="G346" s="58">
        <f t="shared" si="36"/>
        <v>6074</v>
      </c>
      <c r="H346" s="168">
        <f t="shared" si="31"/>
        <v>12.09651474530831</v>
      </c>
      <c r="I346" s="40" t="s">
        <v>78</v>
      </c>
      <c r="J346" s="141">
        <v>2431451</v>
      </c>
      <c r="K346" s="58">
        <f t="shared" si="30"/>
        <v>5019</v>
      </c>
      <c r="L346" s="170">
        <f t="shared" si="32"/>
        <v>37.177777777777777</v>
      </c>
      <c r="M346" s="40" t="s">
        <v>78</v>
      </c>
      <c r="N346" s="46">
        <v>442724</v>
      </c>
      <c r="O346" s="12">
        <f t="shared" si="34"/>
        <v>652</v>
      </c>
      <c r="P346" s="166"/>
      <c r="Q346" s="42">
        <v>560099</v>
      </c>
      <c r="R346" s="44">
        <f t="shared" si="35"/>
        <v>157</v>
      </c>
      <c r="S346" s="358"/>
      <c r="T346" s="141">
        <v>57708</v>
      </c>
      <c r="U346" s="173">
        <f t="shared" si="38"/>
        <v>127</v>
      </c>
      <c r="V346" s="40" t="s">
        <v>78</v>
      </c>
      <c r="W346" s="141">
        <v>45047</v>
      </c>
      <c r="X346" s="4">
        <f t="shared" si="39"/>
        <v>0</v>
      </c>
      <c r="Y346" s="40" t="s">
        <v>78</v>
      </c>
      <c r="Z346" s="253"/>
    </row>
    <row r="347" spans="1:26">
      <c r="A347" s="150">
        <v>44876</v>
      </c>
      <c r="B347" s="154">
        <f t="shared" si="37"/>
        <v>44876</v>
      </c>
      <c r="C347" s="46">
        <v>1370384</v>
      </c>
      <c r="D347" s="35">
        <f t="shared" si="33"/>
        <v>14147</v>
      </c>
      <c r="E347" s="39"/>
      <c r="F347" s="46">
        <v>4446832</v>
      </c>
      <c r="G347" s="2">
        <f t="shared" si="36"/>
        <v>6188</v>
      </c>
      <c r="H347" s="156">
        <f t="shared" si="31"/>
        <v>50.24128686327078</v>
      </c>
      <c r="I347" s="39"/>
      <c r="J347" s="46">
        <v>2436470</v>
      </c>
      <c r="K347" s="2">
        <f t="shared" si="30"/>
        <v>9380</v>
      </c>
      <c r="L347" s="160">
        <f t="shared" si="32"/>
        <v>69.481481481481481</v>
      </c>
      <c r="M347" s="39"/>
      <c r="N347" s="46">
        <v>443376</v>
      </c>
      <c r="O347" s="12">
        <f t="shared" si="34"/>
        <v>885</v>
      </c>
      <c r="P347" s="166"/>
      <c r="Q347" s="42">
        <v>560256</v>
      </c>
      <c r="R347" s="44">
        <f t="shared" si="35"/>
        <v>171</v>
      </c>
      <c r="S347" s="358"/>
      <c r="T347" s="46">
        <v>57835</v>
      </c>
      <c r="U347" s="166">
        <f t="shared" si="38"/>
        <v>214</v>
      </c>
      <c r="V347" s="39"/>
      <c r="W347" s="46">
        <v>45047</v>
      </c>
      <c r="X347" s="12">
        <f t="shared" si="39"/>
        <v>0</v>
      </c>
      <c r="Y347" s="39"/>
      <c r="Z347" s="253"/>
    </row>
    <row r="348" spans="1:26">
      <c r="A348" s="150">
        <v>44877</v>
      </c>
      <c r="B348" s="154">
        <f t="shared" si="37"/>
        <v>44877</v>
      </c>
      <c r="C348" s="46">
        <v>1384531</v>
      </c>
      <c r="D348" s="35">
        <f t="shared" si="33"/>
        <v>16941</v>
      </c>
      <c r="E348" s="39"/>
      <c r="F348" s="46">
        <v>4453020</v>
      </c>
      <c r="G348" s="2">
        <f t="shared" si="36"/>
        <v>5980</v>
      </c>
      <c r="H348" s="156">
        <f t="shared" si="31"/>
        <v>57.174262734584453</v>
      </c>
      <c r="I348" s="39"/>
      <c r="J348" s="46">
        <v>2445850</v>
      </c>
      <c r="K348" s="2">
        <f t="shared" si="30"/>
        <v>49</v>
      </c>
      <c r="L348" s="160">
        <f t="shared" si="32"/>
        <v>0.36296296296296299</v>
      </c>
      <c r="M348" s="39"/>
      <c r="N348" s="46">
        <v>444261</v>
      </c>
      <c r="O348" s="12">
        <f t="shared" si="34"/>
        <v>719</v>
      </c>
      <c r="P348" s="166"/>
      <c r="Q348" s="42">
        <v>560427</v>
      </c>
      <c r="R348" s="44">
        <f t="shared" si="35"/>
        <v>0</v>
      </c>
      <c r="S348" s="358"/>
      <c r="T348" s="46">
        <v>58049</v>
      </c>
      <c r="U348" s="166">
        <f t="shared" si="38"/>
        <v>0</v>
      </c>
      <c r="V348" s="39"/>
      <c r="W348" s="46">
        <v>45047</v>
      </c>
      <c r="X348" s="12">
        <f t="shared" si="39"/>
        <v>0</v>
      </c>
      <c r="Y348" s="39"/>
      <c r="Z348" s="253"/>
    </row>
    <row r="349" spans="1:26">
      <c r="A349" s="150">
        <v>44878</v>
      </c>
      <c r="B349" s="154">
        <f t="shared" si="37"/>
        <v>44878</v>
      </c>
      <c r="C349" s="46">
        <v>1401472</v>
      </c>
      <c r="D349" s="35">
        <f t="shared" si="33"/>
        <v>1108</v>
      </c>
      <c r="E349" s="39"/>
      <c r="F349" s="46">
        <v>4459000</v>
      </c>
      <c r="G349" s="2">
        <f t="shared" si="36"/>
        <v>2281</v>
      </c>
      <c r="H349" s="156">
        <f t="shared" ref="H349:H412" si="40">(G349+D349-1595)/373</f>
        <v>4.8096514745308312</v>
      </c>
      <c r="I349" s="39"/>
      <c r="J349" s="46">
        <v>2445899</v>
      </c>
      <c r="K349" s="2">
        <f t="shared" ref="K349:K412" si="41">IF(J350&gt;0,J350-J349," ")</f>
        <v>0</v>
      </c>
      <c r="L349" s="160">
        <f t="shared" si="32"/>
        <v>0</v>
      </c>
      <c r="M349" s="39"/>
      <c r="N349" s="46">
        <v>444980</v>
      </c>
      <c r="O349" s="12">
        <f t="shared" si="34"/>
        <v>0</v>
      </c>
      <c r="P349" s="166"/>
      <c r="Q349" s="42">
        <v>560427</v>
      </c>
      <c r="R349" s="44">
        <f t="shared" si="35"/>
        <v>0</v>
      </c>
      <c r="S349" s="358"/>
      <c r="T349" s="46">
        <v>58049</v>
      </c>
      <c r="U349" s="166">
        <f t="shared" si="38"/>
        <v>0</v>
      </c>
      <c r="V349" s="39"/>
      <c r="W349" s="46">
        <v>45047</v>
      </c>
      <c r="X349" s="12">
        <f t="shared" si="39"/>
        <v>0</v>
      </c>
      <c r="Y349" s="39"/>
      <c r="Z349" s="253"/>
    </row>
    <row r="350" spans="1:26">
      <c r="A350" s="150">
        <v>44879</v>
      </c>
      <c r="B350" s="154">
        <f t="shared" si="37"/>
        <v>44879</v>
      </c>
      <c r="C350" s="46">
        <v>1402580</v>
      </c>
      <c r="D350" s="35">
        <f t="shared" si="33"/>
        <v>184</v>
      </c>
      <c r="E350" s="39"/>
      <c r="F350" s="46">
        <v>4461281</v>
      </c>
      <c r="G350" s="2">
        <f t="shared" si="36"/>
        <v>2769</v>
      </c>
      <c r="H350" s="156">
        <f t="shared" si="40"/>
        <v>3.6407506702412871</v>
      </c>
      <c r="I350" s="39"/>
      <c r="J350" s="46">
        <v>2445899</v>
      </c>
      <c r="K350" s="2">
        <f t="shared" si="41"/>
        <v>5182</v>
      </c>
      <c r="L350" s="160">
        <f t="shared" si="32"/>
        <v>38.385185185185186</v>
      </c>
      <c r="M350" s="39"/>
      <c r="N350" s="46">
        <v>444980</v>
      </c>
      <c r="O350" s="12">
        <f t="shared" si="34"/>
        <v>858</v>
      </c>
      <c r="P350" s="166"/>
      <c r="Q350" s="42">
        <v>560427</v>
      </c>
      <c r="R350" s="44">
        <f t="shared" si="35"/>
        <v>24</v>
      </c>
      <c r="S350" s="358"/>
      <c r="T350" s="46">
        <v>58049</v>
      </c>
      <c r="U350" s="166">
        <f t="shared" si="38"/>
        <v>0</v>
      </c>
      <c r="V350" s="39"/>
      <c r="W350" s="46">
        <v>45047</v>
      </c>
      <c r="X350" s="12">
        <f t="shared" si="39"/>
        <v>0</v>
      </c>
      <c r="Y350" s="39"/>
      <c r="Z350" s="253"/>
    </row>
    <row r="351" spans="1:26">
      <c r="A351" s="150">
        <v>44880</v>
      </c>
      <c r="B351" s="154">
        <f t="shared" si="37"/>
        <v>44880</v>
      </c>
      <c r="C351" s="46">
        <v>1402764</v>
      </c>
      <c r="D351" s="35">
        <f t="shared" si="33"/>
        <v>349</v>
      </c>
      <c r="E351" s="39"/>
      <c r="F351" s="46">
        <v>4464050</v>
      </c>
      <c r="G351" s="2">
        <f t="shared" si="36"/>
        <v>6491</v>
      </c>
      <c r="H351" s="156">
        <f t="shared" si="40"/>
        <v>14.061662198391421</v>
      </c>
      <c r="I351" s="39"/>
      <c r="J351" s="46">
        <v>2451081</v>
      </c>
      <c r="K351" s="2">
        <f t="shared" si="41"/>
        <v>5103</v>
      </c>
      <c r="L351" s="160">
        <f t="shared" si="32"/>
        <v>37.799999999999997</v>
      </c>
      <c r="M351" s="39"/>
      <c r="N351" s="46">
        <v>445838</v>
      </c>
      <c r="O351" s="12">
        <f t="shared" si="34"/>
        <v>0</v>
      </c>
      <c r="P351" s="166"/>
      <c r="Q351" s="42">
        <v>560451</v>
      </c>
      <c r="R351" s="44">
        <f t="shared" si="35"/>
        <v>0</v>
      </c>
      <c r="S351" s="358"/>
      <c r="T351" s="46">
        <v>58049</v>
      </c>
      <c r="U351" s="166">
        <f t="shared" si="38"/>
        <v>0</v>
      </c>
      <c r="V351" s="39"/>
      <c r="W351" s="46">
        <v>45047</v>
      </c>
      <c r="X351" s="12">
        <f t="shared" si="39"/>
        <v>0</v>
      </c>
      <c r="Y351" s="39"/>
      <c r="Z351" s="253"/>
    </row>
    <row r="352" spans="1:26">
      <c r="A352" s="150">
        <v>44881</v>
      </c>
      <c r="B352" s="154">
        <f t="shared" si="37"/>
        <v>44881</v>
      </c>
      <c r="C352" s="46">
        <v>1403113</v>
      </c>
      <c r="D352" s="35">
        <f t="shared" si="33"/>
        <v>178</v>
      </c>
      <c r="E352" s="39"/>
      <c r="F352" s="46">
        <v>4470541</v>
      </c>
      <c r="G352" s="2">
        <f t="shared" si="36"/>
        <v>4210</v>
      </c>
      <c r="H352" s="156">
        <f t="shared" si="40"/>
        <v>7.487935656836461</v>
      </c>
      <c r="I352" s="39"/>
      <c r="J352" s="46">
        <v>2456184</v>
      </c>
      <c r="K352" s="2">
        <f t="shared" si="41"/>
        <v>4724</v>
      </c>
      <c r="L352" s="160">
        <f>K352/135</f>
        <v>34.992592592592594</v>
      </c>
      <c r="M352" s="39"/>
      <c r="N352" s="46">
        <v>445838</v>
      </c>
      <c r="O352" s="12">
        <f t="shared" si="34"/>
        <v>680</v>
      </c>
      <c r="P352" s="166"/>
      <c r="Q352" s="42">
        <v>560451</v>
      </c>
      <c r="R352" s="44">
        <f t="shared" si="35"/>
        <v>29</v>
      </c>
      <c r="S352" s="358"/>
      <c r="T352" s="46">
        <v>58049</v>
      </c>
      <c r="U352" s="166">
        <f t="shared" si="38"/>
        <v>0</v>
      </c>
      <c r="V352" s="39"/>
      <c r="W352" s="46">
        <v>45047</v>
      </c>
      <c r="X352" s="12">
        <f t="shared" si="39"/>
        <v>0</v>
      </c>
      <c r="Y352" s="39"/>
      <c r="Z352" s="253"/>
    </row>
    <row r="353" spans="1:26">
      <c r="A353" s="150">
        <v>44882</v>
      </c>
      <c r="B353" s="154">
        <f t="shared" si="37"/>
        <v>44882</v>
      </c>
      <c r="C353" s="46">
        <v>1403291</v>
      </c>
      <c r="D353" s="35">
        <f t="shared" si="33"/>
        <v>11996</v>
      </c>
      <c r="E353" s="39"/>
      <c r="F353" s="46">
        <v>4474751</v>
      </c>
      <c r="G353" s="2">
        <f t="shared" si="36"/>
        <v>6425</v>
      </c>
      <c r="H353" s="156">
        <f t="shared" si="40"/>
        <v>45.109919571045573</v>
      </c>
      <c r="I353" s="39"/>
      <c r="J353" s="46">
        <v>2460908</v>
      </c>
      <c r="K353" s="2">
        <f t="shared" si="41"/>
        <v>10149</v>
      </c>
      <c r="L353" s="160">
        <f t="shared" si="32"/>
        <v>75.177777777777777</v>
      </c>
      <c r="M353" s="39"/>
      <c r="N353" s="46">
        <v>446518</v>
      </c>
      <c r="O353" s="12">
        <f t="shared" si="34"/>
        <v>991</v>
      </c>
      <c r="P353" s="166"/>
      <c r="Q353" s="42">
        <v>560480</v>
      </c>
      <c r="R353" s="44">
        <f t="shared" si="35"/>
        <v>88</v>
      </c>
      <c r="S353" s="358"/>
      <c r="T353" s="46">
        <v>58049</v>
      </c>
      <c r="U353" s="166">
        <f t="shared" si="38"/>
        <v>306</v>
      </c>
      <c r="V353" s="39"/>
      <c r="W353" s="46">
        <v>45047</v>
      </c>
      <c r="X353" s="12">
        <f t="shared" si="39"/>
        <v>0</v>
      </c>
      <c r="Y353" s="39"/>
      <c r="Z353" s="253"/>
    </row>
    <row r="354" spans="1:26">
      <c r="A354" s="150">
        <v>44883</v>
      </c>
      <c r="B354" s="154">
        <f t="shared" si="37"/>
        <v>44883</v>
      </c>
      <c r="C354" s="46">
        <v>1415287</v>
      </c>
      <c r="D354" s="35">
        <f t="shared" si="33"/>
        <v>238</v>
      </c>
      <c r="E354" s="39"/>
      <c r="F354" s="46">
        <v>4481176</v>
      </c>
      <c r="G354" s="2">
        <f t="shared" si="36"/>
        <v>6485</v>
      </c>
      <c r="H354" s="156">
        <f t="shared" si="40"/>
        <v>13.74798927613941</v>
      </c>
      <c r="I354" s="39"/>
      <c r="J354" s="46">
        <v>2471057</v>
      </c>
      <c r="K354" s="2">
        <f t="shared" si="41"/>
        <v>5146</v>
      </c>
      <c r="L354" s="160">
        <f t="shared" si="32"/>
        <v>38.11851851851852</v>
      </c>
      <c r="M354" s="39"/>
      <c r="N354" s="46">
        <v>447509</v>
      </c>
      <c r="O354" s="12">
        <f t="shared" si="34"/>
        <v>740</v>
      </c>
      <c r="P354" s="166"/>
      <c r="Q354" s="42">
        <v>560568</v>
      </c>
      <c r="R354" s="44">
        <f t="shared" si="35"/>
        <v>640</v>
      </c>
      <c r="S354" s="358"/>
      <c r="T354" s="46">
        <v>58355</v>
      </c>
      <c r="U354" s="166">
        <f t="shared" si="38"/>
        <v>175</v>
      </c>
      <c r="V354" s="39"/>
      <c r="W354" s="46">
        <v>45047</v>
      </c>
      <c r="X354" s="12">
        <f t="shared" si="39"/>
        <v>0</v>
      </c>
      <c r="Y354" s="39"/>
      <c r="Z354" s="253"/>
    </row>
    <row r="355" spans="1:26">
      <c r="A355" s="150">
        <v>44884</v>
      </c>
      <c r="B355" s="154">
        <f t="shared" si="37"/>
        <v>44884</v>
      </c>
      <c r="C355" s="46">
        <v>1415525</v>
      </c>
      <c r="D355" s="35">
        <f t="shared" si="33"/>
        <v>302</v>
      </c>
      <c r="E355" s="39"/>
      <c r="F355" s="46">
        <v>4487661</v>
      </c>
      <c r="G355" s="2">
        <f t="shared" si="36"/>
        <v>14254</v>
      </c>
      <c r="H355" s="156">
        <f t="shared" si="40"/>
        <v>34.747989276139407</v>
      </c>
      <c r="I355" s="39"/>
      <c r="J355" s="46">
        <v>2476203</v>
      </c>
      <c r="K355" s="2">
        <f t="shared" si="41"/>
        <v>399</v>
      </c>
      <c r="L355" s="160">
        <f t="shared" si="32"/>
        <v>2.9555555555555557</v>
      </c>
      <c r="M355" s="39"/>
      <c r="N355" s="46">
        <v>448249</v>
      </c>
      <c r="O355" s="12">
        <f t="shared" si="34"/>
        <v>500</v>
      </c>
      <c r="P355" s="166"/>
      <c r="Q355" s="42">
        <v>561208</v>
      </c>
      <c r="R355" s="44">
        <f t="shared" si="35"/>
        <v>0</v>
      </c>
      <c r="S355" s="358"/>
      <c r="T355" s="46">
        <v>58530</v>
      </c>
      <c r="U355" s="166">
        <f t="shared" si="38"/>
        <v>0</v>
      </c>
      <c r="V355" s="39"/>
      <c r="W355" s="46">
        <v>45047</v>
      </c>
      <c r="X355" s="12">
        <f t="shared" si="39"/>
        <v>0</v>
      </c>
      <c r="Y355" s="39"/>
      <c r="Z355" s="253"/>
    </row>
    <row r="356" spans="1:26">
      <c r="A356" s="150">
        <v>44885</v>
      </c>
      <c r="B356" s="154">
        <f t="shared" si="37"/>
        <v>44885</v>
      </c>
      <c r="C356" s="46">
        <v>1415827</v>
      </c>
      <c r="D356" s="35">
        <f t="shared" si="33"/>
        <v>0</v>
      </c>
      <c r="E356" s="39"/>
      <c r="F356" s="46">
        <v>4501915</v>
      </c>
      <c r="G356" s="2">
        <f t="shared" si="36"/>
        <v>0</v>
      </c>
      <c r="H356" s="156">
        <f t="shared" si="40"/>
        <v>-4.2761394101876675</v>
      </c>
      <c r="I356" s="39"/>
      <c r="J356" s="46">
        <v>2476602</v>
      </c>
      <c r="K356" s="2">
        <f t="shared" si="41"/>
        <v>0</v>
      </c>
      <c r="L356" s="160">
        <f t="shared" si="32"/>
        <v>0</v>
      </c>
      <c r="M356" s="39"/>
      <c r="N356" s="46">
        <v>448749</v>
      </c>
      <c r="O356" s="12">
        <f t="shared" si="34"/>
        <v>0</v>
      </c>
      <c r="P356" s="166"/>
      <c r="Q356" s="42">
        <v>561208</v>
      </c>
      <c r="R356" s="44">
        <f t="shared" si="35"/>
        <v>0</v>
      </c>
      <c r="S356" s="358"/>
      <c r="T356" s="46">
        <v>58530</v>
      </c>
      <c r="U356" s="166">
        <f t="shared" si="38"/>
        <v>0</v>
      </c>
      <c r="V356" s="39"/>
      <c r="W356" s="46">
        <v>45047</v>
      </c>
      <c r="X356" s="12">
        <f t="shared" si="39"/>
        <v>0</v>
      </c>
      <c r="Y356" s="39"/>
      <c r="Z356" s="253"/>
    </row>
    <row r="357" spans="1:26">
      <c r="A357" s="150">
        <v>44886</v>
      </c>
      <c r="B357" s="154">
        <f t="shared" si="37"/>
        <v>44886</v>
      </c>
      <c r="C357" s="46">
        <v>1415827</v>
      </c>
      <c r="D357" s="35">
        <f t="shared" si="33"/>
        <v>107</v>
      </c>
      <c r="E357" s="39"/>
      <c r="F357" s="46">
        <v>4501915</v>
      </c>
      <c r="G357" s="2">
        <f t="shared" si="36"/>
        <v>5797</v>
      </c>
      <c r="H357" s="156">
        <f t="shared" si="40"/>
        <v>11.552278820375335</v>
      </c>
      <c r="I357" s="39"/>
      <c r="J357" s="46">
        <v>2476602</v>
      </c>
      <c r="K357" s="2">
        <f t="shared" si="41"/>
        <v>9197</v>
      </c>
      <c r="L357" s="160">
        <f t="shared" ref="L357:L401" si="42">K357/135</f>
        <v>68.125925925925927</v>
      </c>
      <c r="M357" s="39"/>
      <c r="N357" s="46">
        <v>448749</v>
      </c>
      <c r="O357" s="12">
        <f t="shared" si="34"/>
        <v>734</v>
      </c>
      <c r="P357" s="166"/>
      <c r="Q357" s="42">
        <v>561208</v>
      </c>
      <c r="R357" s="44">
        <f t="shared" si="35"/>
        <v>0</v>
      </c>
      <c r="S357" s="358"/>
      <c r="T357" s="46">
        <v>58530</v>
      </c>
      <c r="U357" s="166">
        <f t="shared" si="38"/>
        <v>0</v>
      </c>
      <c r="V357" s="39"/>
      <c r="W357" s="46">
        <v>45047</v>
      </c>
      <c r="X357" s="12">
        <f t="shared" si="39"/>
        <v>0</v>
      </c>
      <c r="Y357" s="39"/>
      <c r="Z357" s="253"/>
    </row>
    <row r="358" spans="1:26">
      <c r="A358" s="150">
        <v>44887</v>
      </c>
      <c r="B358" s="154">
        <f t="shared" si="37"/>
        <v>44887</v>
      </c>
      <c r="C358" s="46">
        <v>1415934</v>
      </c>
      <c r="D358" s="35">
        <f t="shared" si="33"/>
        <v>13784</v>
      </c>
      <c r="E358" s="39"/>
      <c r="F358" s="46">
        <v>4507712</v>
      </c>
      <c r="G358" s="2">
        <f t="shared" si="36"/>
        <v>5624</v>
      </c>
      <c r="H358" s="156">
        <f t="shared" si="40"/>
        <v>47.756032171581772</v>
      </c>
      <c r="I358" s="39"/>
      <c r="J358" s="46">
        <v>2485799</v>
      </c>
      <c r="K358" s="2">
        <f t="shared" si="41"/>
        <v>8753</v>
      </c>
      <c r="L358" s="160">
        <f t="shared" si="42"/>
        <v>64.837037037037035</v>
      </c>
      <c r="M358" s="39"/>
      <c r="N358" s="46">
        <v>449483</v>
      </c>
      <c r="O358" s="12">
        <f t="shared" si="34"/>
        <v>597</v>
      </c>
      <c r="P358" s="166"/>
      <c r="Q358" s="42">
        <v>561208</v>
      </c>
      <c r="R358" s="44">
        <f t="shared" si="35"/>
        <v>144</v>
      </c>
      <c r="S358" s="358"/>
      <c r="T358" s="46">
        <v>58530</v>
      </c>
      <c r="U358" s="166">
        <f t="shared" si="38"/>
        <v>94</v>
      </c>
      <c r="V358" s="39"/>
      <c r="W358" s="46">
        <v>45047</v>
      </c>
      <c r="X358" s="12">
        <f t="shared" si="39"/>
        <v>20</v>
      </c>
      <c r="Y358" s="39"/>
      <c r="Z358" s="253"/>
    </row>
    <row r="359" spans="1:26">
      <c r="A359" s="150">
        <v>44888</v>
      </c>
      <c r="B359" s="154">
        <f t="shared" si="37"/>
        <v>44888</v>
      </c>
      <c r="C359" s="46">
        <v>1429718</v>
      </c>
      <c r="D359" s="35">
        <f t="shared" si="33"/>
        <v>9151</v>
      </c>
      <c r="E359" s="39"/>
      <c r="F359" s="46">
        <v>4513336</v>
      </c>
      <c r="G359" s="2">
        <f t="shared" si="36"/>
        <v>6729</v>
      </c>
      <c r="H359" s="156">
        <f t="shared" si="40"/>
        <v>38.297587131367294</v>
      </c>
      <c r="I359" s="39"/>
      <c r="J359" s="46">
        <v>2494552</v>
      </c>
      <c r="K359" s="2">
        <f t="shared" si="41"/>
        <v>5979</v>
      </c>
      <c r="L359" s="160">
        <f t="shared" si="42"/>
        <v>44.288888888888891</v>
      </c>
      <c r="M359" s="39"/>
      <c r="N359" s="46">
        <v>450080</v>
      </c>
      <c r="O359" s="12">
        <f t="shared" si="34"/>
        <v>619</v>
      </c>
      <c r="P359" s="166"/>
      <c r="Q359" s="42">
        <v>561352</v>
      </c>
      <c r="R359" s="44">
        <f t="shared" si="35"/>
        <v>66</v>
      </c>
      <c r="S359" s="358"/>
      <c r="T359" s="46">
        <v>58624</v>
      </c>
      <c r="U359" s="166">
        <f t="shared" si="38"/>
        <v>46</v>
      </c>
      <c r="V359" s="39"/>
      <c r="W359" s="46">
        <v>45067</v>
      </c>
      <c r="X359" s="12">
        <f t="shared" si="39"/>
        <v>13</v>
      </c>
      <c r="Y359" s="39"/>
      <c r="Z359" s="253"/>
    </row>
    <row r="360" spans="1:26">
      <c r="A360" s="150">
        <v>44889</v>
      </c>
      <c r="B360" s="154">
        <f t="shared" si="37"/>
        <v>44889</v>
      </c>
      <c r="C360" s="46">
        <v>1438869</v>
      </c>
      <c r="D360" s="35">
        <f t="shared" si="33"/>
        <v>237</v>
      </c>
      <c r="E360" s="39"/>
      <c r="F360" s="46">
        <v>4520065</v>
      </c>
      <c r="G360" s="2">
        <f t="shared" si="36"/>
        <v>7086</v>
      </c>
      <c r="H360" s="156">
        <f t="shared" si="40"/>
        <v>15.35656836461126</v>
      </c>
      <c r="I360" s="39"/>
      <c r="J360" s="46">
        <v>2500531</v>
      </c>
      <c r="K360" s="2">
        <f t="shared" si="41"/>
        <v>5272</v>
      </c>
      <c r="L360" s="160">
        <f t="shared" si="42"/>
        <v>39.05185185185185</v>
      </c>
      <c r="M360" s="39"/>
      <c r="N360" s="46">
        <v>450699</v>
      </c>
      <c r="O360" s="12">
        <f t="shared" si="34"/>
        <v>471</v>
      </c>
      <c r="P360" s="166"/>
      <c r="Q360" s="42">
        <v>561418</v>
      </c>
      <c r="R360" s="44">
        <f t="shared" si="35"/>
        <v>4</v>
      </c>
      <c r="S360" s="358"/>
      <c r="T360" s="46">
        <v>58670</v>
      </c>
      <c r="U360" s="166">
        <f t="shared" si="38"/>
        <v>399</v>
      </c>
      <c r="V360" s="39"/>
      <c r="W360" s="46">
        <v>45080</v>
      </c>
      <c r="X360" s="12">
        <f t="shared" si="39"/>
        <v>14</v>
      </c>
      <c r="Y360" s="39"/>
      <c r="Z360" s="253"/>
    </row>
    <row r="361" spans="1:26">
      <c r="A361" s="150">
        <v>44890</v>
      </c>
      <c r="B361" s="154">
        <f t="shared" si="37"/>
        <v>44890</v>
      </c>
      <c r="C361" s="46">
        <v>1439106</v>
      </c>
      <c r="D361" s="35">
        <f t="shared" si="33"/>
        <v>140</v>
      </c>
      <c r="E361" s="39"/>
      <c r="F361" s="46">
        <v>4527151</v>
      </c>
      <c r="G361" s="2">
        <f t="shared" si="36"/>
        <v>7299</v>
      </c>
      <c r="H361" s="156">
        <f t="shared" si="40"/>
        <v>15.667560321715818</v>
      </c>
      <c r="I361" s="39"/>
      <c r="J361" s="46">
        <v>2505803</v>
      </c>
      <c r="K361" s="2">
        <f t="shared" si="41"/>
        <v>5187</v>
      </c>
      <c r="L361" s="160">
        <f t="shared" si="42"/>
        <v>38.422222222222224</v>
      </c>
      <c r="M361" s="39"/>
      <c r="N361" s="46">
        <v>451170</v>
      </c>
      <c r="O361" s="12">
        <f t="shared" si="34"/>
        <v>668</v>
      </c>
      <c r="P361" s="166"/>
      <c r="Q361" s="42">
        <v>561422</v>
      </c>
      <c r="R361" s="44">
        <f t="shared" si="35"/>
        <v>132</v>
      </c>
      <c r="S361" s="358"/>
      <c r="T361" s="46">
        <v>59069</v>
      </c>
      <c r="U361" s="166">
        <f t="shared" si="38"/>
        <v>140</v>
      </c>
      <c r="V361" s="39"/>
      <c r="W361" s="46">
        <v>45094</v>
      </c>
      <c r="X361" s="12">
        <f t="shared" si="39"/>
        <v>113</v>
      </c>
      <c r="Y361" s="39"/>
      <c r="Z361" s="253"/>
    </row>
    <row r="362" spans="1:26">
      <c r="A362" s="150">
        <v>44891</v>
      </c>
      <c r="B362" s="154">
        <f t="shared" si="37"/>
        <v>44891</v>
      </c>
      <c r="C362" s="46">
        <v>1439246</v>
      </c>
      <c r="D362" s="35">
        <f t="shared" si="33"/>
        <v>13654</v>
      </c>
      <c r="E362" s="39"/>
      <c r="F362" s="46">
        <v>4534450</v>
      </c>
      <c r="G362" s="2">
        <f t="shared" si="36"/>
        <v>7988</v>
      </c>
      <c r="H362" s="156">
        <f t="shared" si="40"/>
        <v>53.745308310991959</v>
      </c>
      <c r="I362" s="39"/>
      <c r="J362" s="46">
        <v>2510990</v>
      </c>
      <c r="K362" s="2">
        <f t="shared" si="41"/>
        <v>8521</v>
      </c>
      <c r="L362" s="160">
        <f t="shared" si="42"/>
        <v>63.11851851851852</v>
      </c>
      <c r="M362" s="39"/>
      <c r="N362" s="46">
        <v>451838</v>
      </c>
      <c r="O362" s="12">
        <f t="shared" si="34"/>
        <v>912</v>
      </c>
      <c r="P362" s="166"/>
      <c r="Q362" s="42">
        <v>561554</v>
      </c>
      <c r="R362" s="44">
        <f t="shared" si="35"/>
        <v>0</v>
      </c>
      <c r="S362" s="358"/>
      <c r="T362" s="46">
        <v>59209</v>
      </c>
      <c r="U362" s="166">
        <f t="shared" si="38"/>
        <v>0</v>
      </c>
      <c r="V362" s="39"/>
      <c r="W362" s="46">
        <v>45207</v>
      </c>
      <c r="X362" s="12">
        <f t="shared" si="39"/>
        <v>0</v>
      </c>
      <c r="Y362" s="39"/>
      <c r="Z362" s="253"/>
    </row>
    <row r="363" spans="1:26">
      <c r="A363" s="150">
        <v>44892</v>
      </c>
      <c r="B363" s="154">
        <f t="shared" si="37"/>
        <v>44892</v>
      </c>
      <c r="C363" s="46">
        <v>1452900</v>
      </c>
      <c r="D363" s="35">
        <f t="shared" si="33"/>
        <v>2421</v>
      </c>
      <c r="E363" s="39"/>
      <c r="F363" s="46">
        <v>4542438</v>
      </c>
      <c r="G363" s="2">
        <f t="shared" si="36"/>
        <v>10706</v>
      </c>
      <c r="H363" s="156">
        <f t="shared" si="40"/>
        <v>30.916890080428953</v>
      </c>
      <c r="I363" s="39"/>
      <c r="J363" s="46">
        <v>2519511</v>
      </c>
      <c r="K363" s="2">
        <f t="shared" si="41"/>
        <v>0</v>
      </c>
      <c r="L363" s="160">
        <f t="shared" si="42"/>
        <v>0</v>
      </c>
      <c r="M363" s="39"/>
      <c r="N363" s="46">
        <v>452750</v>
      </c>
      <c r="O363" s="12">
        <f t="shared" si="34"/>
        <v>0</v>
      </c>
      <c r="P363" s="166"/>
      <c r="Q363" s="42">
        <v>561554</v>
      </c>
      <c r="R363" s="44">
        <f t="shared" si="35"/>
        <v>0</v>
      </c>
      <c r="S363" s="358"/>
      <c r="T363" s="46">
        <v>59209</v>
      </c>
      <c r="U363" s="166">
        <f t="shared" si="38"/>
        <v>0</v>
      </c>
      <c r="V363" s="39"/>
      <c r="W363" s="46">
        <v>45207</v>
      </c>
      <c r="X363" s="12">
        <f t="shared" si="39"/>
        <v>0</v>
      </c>
      <c r="Y363" s="39"/>
      <c r="Z363" s="253"/>
    </row>
    <row r="364" spans="1:26">
      <c r="A364" s="150">
        <v>44893</v>
      </c>
      <c r="B364" s="154">
        <f t="shared" si="37"/>
        <v>44893</v>
      </c>
      <c r="C364" s="46">
        <v>1455321</v>
      </c>
      <c r="D364" s="35">
        <f t="shared" si="33"/>
        <v>0</v>
      </c>
      <c r="E364" s="39"/>
      <c r="F364" s="46">
        <v>4553144</v>
      </c>
      <c r="G364" s="2">
        <f t="shared" si="36"/>
        <v>0</v>
      </c>
      <c r="H364" s="156">
        <f t="shared" si="40"/>
        <v>-4.2761394101876675</v>
      </c>
      <c r="I364" s="39"/>
      <c r="J364" s="46">
        <v>2519511</v>
      </c>
      <c r="K364" s="2">
        <f t="shared" si="41"/>
        <v>0</v>
      </c>
      <c r="L364" s="160">
        <f t="shared" si="42"/>
        <v>0</v>
      </c>
      <c r="M364" s="39"/>
      <c r="N364" s="46">
        <v>452750</v>
      </c>
      <c r="O364" s="12">
        <f>N365-N364</f>
        <v>444</v>
      </c>
      <c r="P364" s="166"/>
      <c r="Q364" s="42">
        <v>561554</v>
      </c>
      <c r="R364" s="44">
        <f t="shared" si="35"/>
        <v>63</v>
      </c>
      <c r="S364" s="358"/>
      <c r="T364" s="46">
        <v>59209</v>
      </c>
      <c r="U364" s="166">
        <f t="shared" si="38"/>
        <v>0</v>
      </c>
      <c r="V364" s="39"/>
      <c r="W364" s="46">
        <v>45207</v>
      </c>
      <c r="X364" s="12">
        <f t="shared" si="39"/>
        <v>0</v>
      </c>
      <c r="Y364" s="39"/>
      <c r="Z364" s="253"/>
    </row>
    <row r="365" spans="1:26">
      <c r="A365" s="150">
        <v>44894</v>
      </c>
      <c r="B365" s="154">
        <f t="shared" si="37"/>
        <v>44894</v>
      </c>
      <c r="C365" s="46">
        <v>1455321</v>
      </c>
      <c r="D365" s="35">
        <f t="shared" si="33"/>
        <v>58</v>
      </c>
      <c r="E365" s="39"/>
      <c r="F365" s="46">
        <v>4553144</v>
      </c>
      <c r="G365" s="2">
        <f t="shared" si="36"/>
        <v>6422</v>
      </c>
      <c r="H365" s="156">
        <f t="shared" si="40"/>
        <v>13.09651474530831</v>
      </c>
      <c r="I365" s="39"/>
      <c r="J365" s="46">
        <v>2519511</v>
      </c>
      <c r="K365" s="2">
        <f t="shared" si="41"/>
        <v>5265</v>
      </c>
      <c r="L365" s="160">
        <f t="shared" si="42"/>
        <v>39</v>
      </c>
      <c r="M365" s="39"/>
      <c r="N365" s="46">
        <v>453194</v>
      </c>
      <c r="O365" s="12">
        <f t="shared" si="34"/>
        <v>827</v>
      </c>
      <c r="P365" s="166"/>
      <c r="Q365" s="42">
        <v>561617</v>
      </c>
      <c r="R365" s="44">
        <f t="shared" si="35"/>
        <v>23</v>
      </c>
      <c r="S365" s="358"/>
      <c r="T365" s="46">
        <v>59209</v>
      </c>
      <c r="U365" s="166">
        <f t="shared" si="38"/>
        <v>45</v>
      </c>
      <c r="V365" s="39"/>
      <c r="W365" s="46">
        <v>45207</v>
      </c>
      <c r="X365" s="12">
        <f t="shared" si="39"/>
        <v>42</v>
      </c>
      <c r="Y365" s="39"/>
      <c r="Z365" s="253"/>
    </row>
    <row r="366" spans="1:26">
      <c r="A366" s="150">
        <v>44895</v>
      </c>
      <c r="B366" s="154">
        <f t="shared" si="37"/>
        <v>44895</v>
      </c>
      <c r="C366" s="46">
        <v>1455379</v>
      </c>
      <c r="D366" s="35">
        <f t="shared" si="33"/>
        <v>36</v>
      </c>
      <c r="E366" s="39"/>
      <c r="F366" s="46">
        <v>4559566</v>
      </c>
      <c r="G366" s="2">
        <f t="shared" si="36"/>
        <v>7289</v>
      </c>
      <c r="H366" s="156">
        <f t="shared" si="40"/>
        <v>15.361930294906166</v>
      </c>
      <c r="I366" s="39"/>
      <c r="J366" s="46">
        <v>2524776</v>
      </c>
      <c r="K366" s="2">
        <f t="shared" si="41"/>
        <v>5355</v>
      </c>
      <c r="L366" s="160">
        <f t="shared" si="42"/>
        <v>39.666666666666664</v>
      </c>
      <c r="M366" s="39"/>
      <c r="N366" s="46">
        <v>454021</v>
      </c>
      <c r="O366" s="12">
        <f t="shared" si="34"/>
        <v>769</v>
      </c>
      <c r="P366" s="166"/>
      <c r="Q366" s="42">
        <v>561640</v>
      </c>
      <c r="R366" s="44">
        <f t="shared" si="35"/>
        <v>127</v>
      </c>
      <c r="S366" s="358"/>
      <c r="T366" s="46">
        <v>59254</v>
      </c>
      <c r="U366" s="166">
        <f t="shared" si="38"/>
        <v>91</v>
      </c>
      <c r="V366" s="39"/>
      <c r="W366" s="46">
        <v>45249</v>
      </c>
      <c r="X366" s="12">
        <f t="shared" si="39"/>
        <v>2</v>
      </c>
      <c r="Y366" s="39"/>
      <c r="Z366" s="253"/>
    </row>
    <row r="367" spans="1:26">
      <c r="A367" s="150">
        <v>44896</v>
      </c>
      <c r="B367" s="154">
        <f t="shared" si="37"/>
        <v>44896</v>
      </c>
      <c r="C367" s="46">
        <v>1455415</v>
      </c>
      <c r="D367" s="35">
        <f t="shared" si="33"/>
        <v>15700</v>
      </c>
      <c r="E367" s="39"/>
      <c r="F367" s="46">
        <v>4566855</v>
      </c>
      <c r="G367" s="2">
        <f t="shared" si="36"/>
        <v>6530</v>
      </c>
      <c r="H367" s="156">
        <f t="shared" si="40"/>
        <v>55.321715817694368</v>
      </c>
      <c r="I367" s="39"/>
      <c r="J367" s="46">
        <v>2530131</v>
      </c>
      <c r="K367" s="2">
        <f t="shared" si="41"/>
        <v>9034</v>
      </c>
      <c r="L367" s="160">
        <f t="shared" si="42"/>
        <v>66.918518518518525</v>
      </c>
      <c r="M367" s="39"/>
      <c r="N367" s="46">
        <v>454790</v>
      </c>
      <c r="O367" s="12">
        <f t="shared" si="34"/>
        <v>1466</v>
      </c>
      <c r="P367" s="166"/>
      <c r="Q367" s="42">
        <v>561767</v>
      </c>
      <c r="R367" s="44">
        <f t="shared" si="35"/>
        <v>150</v>
      </c>
      <c r="S367" s="358"/>
      <c r="T367" s="46">
        <v>59345</v>
      </c>
      <c r="U367" s="166">
        <f t="shared" si="38"/>
        <v>102</v>
      </c>
      <c r="V367" s="39"/>
      <c r="W367" s="46">
        <v>45251</v>
      </c>
      <c r="X367" s="12">
        <f t="shared" si="39"/>
        <v>13</v>
      </c>
      <c r="Y367" s="39"/>
      <c r="Z367" s="253"/>
    </row>
    <row r="368" spans="1:26">
      <c r="A368" s="150">
        <v>44897</v>
      </c>
      <c r="B368" s="154">
        <f t="shared" si="37"/>
        <v>44897</v>
      </c>
      <c r="C368" s="46">
        <v>1471115</v>
      </c>
      <c r="D368" s="35">
        <f t="shared" si="33"/>
        <v>10608</v>
      </c>
      <c r="E368" s="39"/>
      <c r="F368" s="46">
        <v>4573385</v>
      </c>
      <c r="G368" s="2">
        <f t="shared" si="36"/>
        <v>7078</v>
      </c>
      <c r="H368" s="156">
        <f t="shared" si="40"/>
        <v>43.139410187667558</v>
      </c>
      <c r="I368" s="39"/>
      <c r="J368" s="46">
        <v>2539165</v>
      </c>
      <c r="K368" s="2">
        <f t="shared" si="41"/>
        <v>4526</v>
      </c>
      <c r="L368" s="160">
        <f t="shared" si="42"/>
        <v>33.525925925925925</v>
      </c>
      <c r="M368" s="39"/>
      <c r="N368" s="46">
        <v>456256</v>
      </c>
      <c r="O368" s="12">
        <f t="shared" si="34"/>
        <v>514</v>
      </c>
      <c r="P368" s="166"/>
      <c r="Q368" s="42">
        <v>561917</v>
      </c>
      <c r="R368" s="44">
        <f t="shared" si="35"/>
        <v>385</v>
      </c>
      <c r="S368" s="358"/>
      <c r="T368" s="46">
        <v>59447</v>
      </c>
      <c r="U368" s="166">
        <f t="shared" si="38"/>
        <v>133</v>
      </c>
      <c r="V368" s="39"/>
      <c r="W368" s="46">
        <v>45264</v>
      </c>
      <c r="X368" s="12">
        <f t="shared" si="39"/>
        <v>0</v>
      </c>
      <c r="Y368" s="39"/>
      <c r="Z368" s="253"/>
    </row>
    <row r="369" spans="1:26">
      <c r="A369" s="150">
        <v>44898</v>
      </c>
      <c r="B369" s="154">
        <f t="shared" si="37"/>
        <v>44898</v>
      </c>
      <c r="C369" s="46">
        <v>1481723</v>
      </c>
      <c r="D369" s="35">
        <f t="shared" si="33"/>
        <v>122</v>
      </c>
      <c r="E369" s="39"/>
      <c r="F369" s="46">
        <v>4580463</v>
      </c>
      <c r="G369" s="2">
        <f t="shared" si="36"/>
        <v>12744</v>
      </c>
      <c r="H369" s="156">
        <f t="shared" si="40"/>
        <v>30.217158176943698</v>
      </c>
      <c r="I369" s="39"/>
      <c r="J369" s="46">
        <v>2543691</v>
      </c>
      <c r="K369" s="2">
        <f t="shared" si="41"/>
        <v>49</v>
      </c>
      <c r="L369" s="160">
        <f t="shared" si="42"/>
        <v>0.36296296296296299</v>
      </c>
      <c r="M369" s="39"/>
      <c r="N369" s="46">
        <v>456770</v>
      </c>
      <c r="O369" s="12">
        <f t="shared" si="34"/>
        <v>1003</v>
      </c>
      <c r="P369" s="166"/>
      <c r="Q369" s="42">
        <v>562302</v>
      </c>
      <c r="R369" s="44">
        <f t="shared" si="35"/>
        <v>0</v>
      </c>
      <c r="S369" s="358"/>
      <c r="T369" s="46">
        <v>59580</v>
      </c>
      <c r="U369" s="166">
        <f t="shared" si="38"/>
        <v>0</v>
      </c>
      <c r="V369" s="39"/>
      <c r="W369" s="46">
        <v>45264</v>
      </c>
      <c r="X369" s="12">
        <f t="shared" si="39"/>
        <v>0</v>
      </c>
      <c r="Y369" s="39"/>
      <c r="Z369" s="253"/>
    </row>
    <row r="370" spans="1:26">
      <c r="A370" s="150">
        <v>44899</v>
      </c>
      <c r="B370" s="154">
        <f t="shared" si="37"/>
        <v>44899</v>
      </c>
      <c r="C370" s="46">
        <v>1481845</v>
      </c>
      <c r="D370" s="35">
        <f t="shared" si="33"/>
        <v>0</v>
      </c>
      <c r="E370" s="39"/>
      <c r="F370" s="46">
        <v>4593207</v>
      </c>
      <c r="G370" s="2">
        <f t="shared" si="36"/>
        <v>0</v>
      </c>
      <c r="H370" s="156">
        <f t="shared" si="40"/>
        <v>-4.2761394101876675</v>
      </c>
      <c r="I370" s="39"/>
      <c r="J370" s="46">
        <v>2543740</v>
      </c>
      <c r="K370" s="2">
        <f t="shared" si="41"/>
        <v>0</v>
      </c>
      <c r="L370" s="160">
        <f t="shared" si="42"/>
        <v>0</v>
      </c>
      <c r="M370" s="39"/>
      <c r="N370" s="46">
        <v>457773</v>
      </c>
      <c r="O370" s="12">
        <f t="shared" si="34"/>
        <v>0</v>
      </c>
      <c r="P370" s="166"/>
      <c r="Q370" s="42">
        <v>562302</v>
      </c>
      <c r="R370" s="44">
        <f t="shared" si="35"/>
        <v>0</v>
      </c>
      <c r="S370" s="358"/>
      <c r="T370" s="46">
        <v>59580</v>
      </c>
      <c r="U370" s="166">
        <f t="shared" si="38"/>
        <v>0</v>
      </c>
      <c r="V370" s="39"/>
      <c r="W370" s="46">
        <v>45264</v>
      </c>
      <c r="X370" s="12">
        <f t="shared" si="39"/>
        <v>0</v>
      </c>
      <c r="Y370" s="39"/>
      <c r="Z370" s="253"/>
    </row>
    <row r="371" spans="1:26">
      <c r="A371" s="150">
        <v>44900</v>
      </c>
      <c r="B371" s="154">
        <f t="shared" si="37"/>
        <v>44900</v>
      </c>
      <c r="C371" s="46">
        <v>1481845</v>
      </c>
      <c r="D371" s="35">
        <f t="shared" si="33"/>
        <v>102</v>
      </c>
      <c r="E371" s="39"/>
      <c r="F371" s="46">
        <v>4593207</v>
      </c>
      <c r="G371" s="2">
        <f t="shared" si="36"/>
        <v>7323</v>
      </c>
      <c r="H371" s="156">
        <f t="shared" si="40"/>
        <v>15.630026809651474</v>
      </c>
      <c r="I371" s="39"/>
      <c r="J371" s="46">
        <v>2543740</v>
      </c>
      <c r="K371" s="2">
        <f t="shared" si="41"/>
        <v>5327</v>
      </c>
      <c r="L371" s="160">
        <f t="shared" si="42"/>
        <v>39.459259259259262</v>
      </c>
      <c r="M371" s="39"/>
      <c r="N371" s="46">
        <v>457773</v>
      </c>
      <c r="O371" s="12">
        <f t="shared" si="34"/>
        <v>422</v>
      </c>
      <c r="P371" s="166"/>
      <c r="Q371" s="42">
        <v>562302</v>
      </c>
      <c r="R371" s="44">
        <f t="shared" si="35"/>
        <v>195</v>
      </c>
      <c r="S371" s="358"/>
      <c r="T371" s="46">
        <v>59580</v>
      </c>
      <c r="U371" s="166">
        <f t="shared" si="38"/>
        <v>0</v>
      </c>
      <c r="V371" s="39"/>
      <c r="W371" s="46">
        <v>45264</v>
      </c>
      <c r="X371" s="12">
        <f t="shared" si="39"/>
        <v>0</v>
      </c>
      <c r="Y371" s="39"/>
      <c r="Z371" s="253"/>
    </row>
    <row r="372" spans="1:26">
      <c r="A372" s="150">
        <v>44901</v>
      </c>
      <c r="B372" s="154">
        <f t="shared" si="37"/>
        <v>44901</v>
      </c>
      <c r="C372" s="46">
        <v>1481947</v>
      </c>
      <c r="D372" s="35">
        <f t="shared" si="33"/>
        <v>28</v>
      </c>
      <c r="E372" s="39"/>
      <c r="F372" s="46">
        <v>4600530</v>
      </c>
      <c r="G372" s="2">
        <f t="shared" si="36"/>
        <v>7110</v>
      </c>
      <c r="H372" s="156">
        <f t="shared" si="40"/>
        <v>14.86058981233244</v>
      </c>
      <c r="I372" s="39"/>
      <c r="J372" s="46">
        <v>2549067</v>
      </c>
      <c r="K372" s="2">
        <f t="shared" si="41"/>
        <v>5052</v>
      </c>
      <c r="L372" s="160">
        <f t="shared" si="42"/>
        <v>37.422222222222224</v>
      </c>
      <c r="M372" s="39"/>
      <c r="N372" s="46">
        <v>458195</v>
      </c>
      <c r="O372" s="12">
        <f t="shared" si="34"/>
        <v>819</v>
      </c>
      <c r="P372" s="365" t="s">
        <v>78</v>
      </c>
      <c r="Q372" s="42">
        <v>562497</v>
      </c>
      <c r="R372" s="44">
        <f t="shared" si="35"/>
        <v>40</v>
      </c>
      <c r="S372" s="358"/>
      <c r="T372" s="46">
        <v>59580</v>
      </c>
      <c r="U372" s="166">
        <f t="shared" si="38"/>
        <v>43</v>
      </c>
      <c r="V372" s="39"/>
      <c r="W372" s="46">
        <v>45264</v>
      </c>
      <c r="X372" s="12">
        <f t="shared" si="39"/>
        <v>3</v>
      </c>
      <c r="Y372" s="39"/>
      <c r="Z372" s="253"/>
    </row>
    <row r="373" spans="1:26">
      <c r="A373" s="150">
        <v>44902</v>
      </c>
      <c r="B373" s="154">
        <f t="shared" si="37"/>
        <v>44902</v>
      </c>
      <c r="C373" s="46">
        <v>1481975</v>
      </c>
      <c r="D373" s="35">
        <f t="shared" si="33"/>
        <v>12</v>
      </c>
      <c r="E373" s="39"/>
      <c r="F373" s="46">
        <v>4607640</v>
      </c>
      <c r="G373" s="2">
        <f t="shared" si="36"/>
        <v>7042</v>
      </c>
      <c r="H373" s="156">
        <f t="shared" si="40"/>
        <v>14.63538873994638</v>
      </c>
      <c r="I373" s="39"/>
      <c r="J373" s="46">
        <v>2554119</v>
      </c>
      <c r="K373" s="2">
        <f t="shared" si="41"/>
        <v>6046</v>
      </c>
      <c r="L373" s="160">
        <f t="shared" si="42"/>
        <v>44.785185185185185</v>
      </c>
      <c r="M373" s="39"/>
      <c r="N373" s="210">
        <v>459014</v>
      </c>
      <c r="O373" s="216">
        <f t="shared" si="34"/>
        <v>783</v>
      </c>
      <c r="P373" s="215"/>
      <c r="Q373" s="42">
        <v>562537</v>
      </c>
      <c r="R373" s="44">
        <f>Q374-Q373</f>
        <v>52</v>
      </c>
      <c r="S373" s="358"/>
      <c r="T373" s="46">
        <v>59623</v>
      </c>
      <c r="U373" s="166">
        <f t="shared" si="38"/>
        <v>47</v>
      </c>
      <c r="V373" s="39"/>
      <c r="W373" s="46">
        <v>45267</v>
      </c>
      <c r="X373" s="12">
        <f t="shared" si="39"/>
        <v>1</v>
      </c>
      <c r="Y373" s="39"/>
      <c r="Z373" s="253"/>
    </row>
    <row r="374" spans="1:26">
      <c r="A374" s="150">
        <v>44903</v>
      </c>
      <c r="B374" s="154">
        <f t="shared" si="37"/>
        <v>44903</v>
      </c>
      <c r="C374" s="46">
        <v>1481987</v>
      </c>
      <c r="D374" s="35">
        <f t="shared" si="33"/>
        <v>8159</v>
      </c>
      <c r="E374" s="39"/>
      <c r="F374" s="46">
        <v>4614682</v>
      </c>
      <c r="G374" s="2">
        <f t="shared" si="36"/>
        <v>6657</v>
      </c>
      <c r="H374" s="156">
        <f t="shared" si="40"/>
        <v>35.44504021447721</v>
      </c>
      <c r="I374" s="39"/>
      <c r="J374" s="46">
        <v>2560165</v>
      </c>
      <c r="K374" s="2">
        <f t="shared" si="41"/>
        <v>7211</v>
      </c>
      <c r="L374" s="160">
        <f t="shared" si="42"/>
        <v>53.414814814814818</v>
      </c>
      <c r="M374" s="39"/>
      <c r="N374" s="210">
        <v>459797</v>
      </c>
      <c r="O374" s="216">
        <f t="shared" si="34"/>
        <v>1186</v>
      </c>
      <c r="P374" s="215"/>
      <c r="Q374" s="42">
        <v>562589</v>
      </c>
      <c r="R374" s="44">
        <f>Q375-Q374</f>
        <v>8</v>
      </c>
      <c r="S374" s="358"/>
      <c r="T374" s="46">
        <v>59670</v>
      </c>
      <c r="U374" s="166">
        <f t="shared" si="38"/>
        <v>429</v>
      </c>
      <c r="V374" s="39"/>
      <c r="W374" s="46">
        <v>45268</v>
      </c>
      <c r="X374" s="12">
        <f t="shared" si="39"/>
        <v>6</v>
      </c>
      <c r="Y374" s="39"/>
      <c r="Z374" s="253"/>
    </row>
    <row r="375" spans="1:26">
      <c r="A375" s="150">
        <v>44904</v>
      </c>
      <c r="B375" s="154">
        <f t="shared" si="37"/>
        <v>44904</v>
      </c>
      <c r="C375" s="46">
        <v>1490146</v>
      </c>
      <c r="D375" s="35">
        <f t="shared" si="33"/>
        <v>18</v>
      </c>
      <c r="E375" s="39"/>
      <c r="F375" s="46">
        <v>4621339</v>
      </c>
      <c r="G375" s="2">
        <f t="shared" si="36"/>
        <v>7976</v>
      </c>
      <c r="H375" s="156">
        <f t="shared" si="40"/>
        <v>17.155495978552278</v>
      </c>
      <c r="I375" s="39"/>
      <c r="J375" s="46">
        <v>2567376</v>
      </c>
      <c r="K375" s="2">
        <f t="shared" si="41"/>
        <v>3970</v>
      </c>
      <c r="L375" s="160">
        <f t="shared" si="42"/>
        <v>29.407407407407408</v>
      </c>
      <c r="M375" s="39"/>
      <c r="N375" s="210">
        <v>460983</v>
      </c>
      <c r="O375" s="216">
        <f t="shared" si="34"/>
        <v>903</v>
      </c>
      <c r="P375" s="215"/>
      <c r="Q375" s="42">
        <v>562597</v>
      </c>
      <c r="R375" s="44">
        <f t="shared" ref="R375:R438" si="43">Q376-Q375</f>
        <v>248</v>
      </c>
      <c r="S375" s="358"/>
      <c r="T375" s="46">
        <v>60099</v>
      </c>
      <c r="U375" s="166">
        <f t="shared" si="38"/>
        <v>0</v>
      </c>
      <c r="V375" s="39"/>
      <c r="W375" s="46">
        <v>45274</v>
      </c>
      <c r="X375" s="12">
        <f t="shared" si="39"/>
        <v>0</v>
      </c>
      <c r="Y375" s="39"/>
      <c r="Z375" s="253"/>
    </row>
    <row r="376" spans="1:26">
      <c r="A376" s="150">
        <v>44905</v>
      </c>
      <c r="B376" s="154">
        <f t="shared" si="37"/>
        <v>44905</v>
      </c>
      <c r="C376" s="46">
        <v>1490164</v>
      </c>
      <c r="D376" s="35">
        <f t="shared" si="33"/>
        <v>77</v>
      </c>
      <c r="E376" s="40" t="s">
        <v>78</v>
      </c>
      <c r="F376" s="46">
        <v>4629315</v>
      </c>
      <c r="G376" s="2">
        <f t="shared" si="36"/>
        <v>5690</v>
      </c>
      <c r="H376" s="156">
        <f t="shared" si="40"/>
        <v>11.184986595174262</v>
      </c>
      <c r="I376" s="40" t="s">
        <v>78</v>
      </c>
      <c r="J376" s="46">
        <v>2571346</v>
      </c>
      <c r="K376" s="2">
        <f t="shared" si="41"/>
        <v>216</v>
      </c>
      <c r="L376" s="160">
        <f t="shared" si="42"/>
        <v>1.6</v>
      </c>
      <c r="M376" s="40" t="s">
        <v>78</v>
      </c>
      <c r="N376" s="210">
        <v>461886</v>
      </c>
      <c r="O376" s="216">
        <f t="shared" si="34"/>
        <v>0</v>
      </c>
      <c r="P376" s="215"/>
      <c r="Q376" s="42">
        <v>562845</v>
      </c>
      <c r="R376" s="44">
        <f t="shared" si="43"/>
        <v>0</v>
      </c>
      <c r="S376" s="358"/>
      <c r="T376" s="46">
        <v>60099</v>
      </c>
      <c r="U376" s="166">
        <f t="shared" si="38"/>
        <v>0</v>
      </c>
      <c r="V376" s="40" t="s">
        <v>78</v>
      </c>
      <c r="W376" s="46">
        <v>45274</v>
      </c>
      <c r="X376" s="12">
        <f t="shared" si="39"/>
        <v>0</v>
      </c>
      <c r="Y376" s="40" t="s">
        <v>78</v>
      </c>
      <c r="Z376" s="253"/>
    </row>
    <row r="377" spans="1:26">
      <c r="A377" s="150">
        <v>44906</v>
      </c>
      <c r="B377" s="154">
        <f t="shared" si="37"/>
        <v>44906</v>
      </c>
      <c r="C377" s="210">
        <v>1490241</v>
      </c>
      <c r="D377" s="317">
        <f t="shared" ref="D377:D445" si="44">IF(C378&gt;0,C378-C377," ")</f>
        <v>0</v>
      </c>
      <c r="E377" s="211"/>
      <c r="F377" s="210">
        <v>4635005</v>
      </c>
      <c r="G377" s="212">
        <f t="shared" si="36"/>
        <v>1276</v>
      </c>
      <c r="H377" s="213">
        <f t="shared" si="40"/>
        <v>-0.85522788203753353</v>
      </c>
      <c r="I377" s="211"/>
      <c r="J377" s="210">
        <v>2571562</v>
      </c>
      <c r="K377" s="212">
        <f t="shared" si="41"/>
        <v>0</v>
      </c>
      <c r="L377" s="214">
        <f t="shared" si="42"/>
        <v>0</v>
      </c>
      <c r="M377" s="211"/>
      <c r="N377" s="210">
        <v>461886</v>
      </c>
      <c r="O377" s="216">
        <f t="shared" ref="O377:O445" si="45">N378-N377</f>
        <v>0</v>
      </c>
      <c r="P377" s="215"/>
      <c r="Q377" s="42">
        <v>562845</v>
      </c>
      <c r="R377" s="44">
        <f t="shared" si="43"/>
        <v>0</v>
      </c>
      <c r="S377" s="358"/>
      <c r="T377" s="210">
        <v>60099</v>
      </c>
      <c r="U377" s="215">
        <f t="shared" si="38"/>
        <v>0</v>
      </c>
      <c r="V377" s="211"/>
      <c r="W377" s="210">
        <v>45274</v>
      </c>
      <c r="X377" s="216">
        <f t="shared" si="39"/>
        <v>0</v>
      </c>
      <c r="Y377" s="211"/>
      <c r="Z377" s="253"/>
    </row>
    <row r="378" spans="1:26">
      <c r="A378" s="150">
        <v>44907</v>
      </c>
      <c r="B378" s="154">
        <f t="shared" si="37"/>
        <v>44907</v>
      </c>
      <c r="C378" s="210">
        <v>1490241</v>
      </c>
      <c r="D378" s="317">
        <f t="shared" si="44"/>
        <v>50</v>
      </c>
      <c r="E378" s="211"/>
      <c r="F378" s="210">
        <v>4636281</v>
      </c>
      <c r="G378" s="212">
        <f t="shared" si="36"/>
        <v>8018</v>
      </c>
      <c r="H378" s="213">
        <f t="shared" si="40"/>
        <v>17.353887399463808</v>
      </c>
      <c r="I378" s="211"/>
      <c r="J378" s="210">
        <v>2571562</v>
      </c>
      <c r="K378" s="212">
        <f t="shared" si="41"/>
        <v>5249</v>
      </c>
      <c r="L378" s="214">
        <f t="shared" si="42"/>
        <v>38.88148148148148</v>
      </c>
      <c r="M378" s="211"/>
      <c r="N378" s="210">
        <v>461886</v>
      </c>
      <c r="O378" s="216">
        <f t="shared" si="45"/>
        <v>785</v>
      </c>
      <c r="P378" s="215"/>
      <c r="Q378" s="42">
        <v>562845</v>
      </c>
      <c r="R378" s="44">
        <f t="shared" si="43"/>
        <v>44</v>
      </c>
      <c r="S378" s="358"/>
      <c r="T378" s="210">
        <v>60099</v>
      </c>
      <c r="U378" s="215">
        <f t="shared" si="38"/>
        <v>0</v>
      </c>
      <c r="V378" s="211"/>
      <c r="W378" s="210">
        <v>45274</v>
      </c>
      <c r="X378" s="216">
        <f t="shared" si="39"/>
        <v>0</v>
      </c>
      <c r="Y378" s="211"/>
      <c r="Z378" s="253"/>
    </row>
    <row r="379" spans="1:26">
      <c r="A379" s="150">
        <v>44908</v>
      </c>
      <c r="B379" s="154">
        <f t="shared" si="37"/>
        <v>44908</v>
      </c>
      <c r="C379" s="210">
        <v>1490291</v>
      </c>
      <c r="D379" s="317">
        <f t="shared" si="44"/>
        <v>34</v>
      </c>
      <c r="E379" s="211"/>
      <c r="F379" s="210">
        <v>4644299</v>
      </c>
      <c r="G379" s="212">
        <f t="shared" si="36"/>
        <v>8274</v>
      </c>
      <c r="H379" s="213">
        <f t="shared" si="40"/>
        <v>17.997319034852548</v>
      </c>
      <c r="I379" s="211"/>
      <c r="J379" s="210">
        <v>2576811</v>
      </c>
      <c r="K379" s="212">
        <f t="shared" si="41"/>
        <v>5349</v>
      </c>
      <c r="L379" s="214">
        <f t="shared" si="42"/>
        <v>39.62222222222222</v>
      </c>
      <c r="M379" s="211"/>
      <c r="N379" s="210">
        <v>462671</v>
      </c>
      <c r="O379" s="216">
        <f t="shared" si="45"/>
        <v>951</v>
      </c>
      <c r="P379" s="215"/>
      <c r="Q379" s="42">
        <v>562889</v>
      </c>
      <c r="R379" s="44">
        <f t="shared" si="43"/>
        <v>13</v>
      </c>
      <c r="S379" s="358"/>
      <c r="T379" s="210">
        <v>60099</v>
      </c>
      <c r="U379" s="215">
        <f t="shared" si="38"/>
        <v>0</v>
      </c>
      <c r="V379" s="211"/>
      <c r="W379" s="210">
        <v>45274</v>
      </c>
      <c r="X379" s="216">
        <f t="shared" si="39"/>
        <v>0</v>
      </c>
      <c r="Y379" s="211"/>
      <c r="Z379" s="253"/>
    </row>
    <row r="380" spans="1:26">
      <c r="A380" s="150">
        <v>44909</v>
      </c>
      <c r="B380" s="154">
        <f t="shared" si="37"/>
        <v>44909</v>
      </c>
      <c r="C380" s="210">
        <v>1490325</v>
      </c>
      <c r="D380" s="317">
        <f t="shared" si="44"/>
        <v>14166</v>
      </c>
      <c r="E380" s="211"/>
      <c r="F380" s="210">
        <v>4652573</v>
      </c>
      <c r="G380" s="212">
        <f t="shared" si="36"/>
        <v>6954</v>
      </c>
      <c r="H380" s="213">
        <f t="shared" si="40"/>
        <v>52.34584450402145</v>
      </c>
      <c r="I380" s="211"/>
      <c r="J380" s="210">
        <v>2582160</v>
      </c>
      <c r="K380" s="212">
        <f t="shared" si="41"/>
        <v>6120</v>
      </c>
      <c r="L380" s="214">
        <f t="shared" si="42"/>
        <v>45.333333333333336</v>
      </c>
      <c r="M380" s="211"/>
      <c r="N380" s="210">
        <v>463622</v>
      </c>
      <c r="O380" s="216">
        <f t="shared" si="45"/>
        <v>850</v>
      </c>
      <c r="P380" s="215"/>
      <c r="Q380" s="42">
        <v>562902</v>
      </c>
      <c r="R380" s="44">
        <f t="shared" si="43"/>
        <v>103</v>
      </c>
      <c r="S380" s="358"/>
      <c r="T380" s="210">
        <v>60099</v>
      </c>
      <c r="U380" s="215">
        <f t="shared" si="38"/>
        <v>0</v>
      </c>
      <c r="V380" s="211"/>
      <c r="W380" s="210">
        <v>45274</v>
      </c>
      <c r="X380" s="216">
        <f t="shared" si="39"/>
        <v>0</v>
      </c>
      <c r="Y380" s="211"/>
      <c r="Z380" s="253"/>
    </row>
    <row r="381" spans="1:26">
      <c r="A381" s="150">
        <v>44910</v>
      </c>
      <c r="B381" s="154">
        <f t="shared" si="37"/>
        <v>44910</v>
      </c>
      <c r="C381" s="210">
        <v>1504491</v>
      </c>
      <c r="D381" s="317">
        <f t="shared" si="44"/>
        <v>4386</v>
      </c>
      <c r="E381" s="211"/>
      <c r="F381" s="210">
        <v>4659527</v>
      </c>
      <c r="G381" s="212">
        <f t="shared" si="36"/>
        <v>7023</v>
      </c>
      <c r="H381" s="213">
        <f t="shared" si="40"/>
        <v>26.310991957104559</v>
      </c>
      <c r="I381" s="211"/>
      <c r="J381" s="210">
        <v>2588280</v>
      </c>
      <c r="K381" s="212">
        <f t="shared" si="41"/>
        <v>8494</v>
      </c>
      <c r="L381" s="214">
        <f t="shared" si="42"/>
        <v>62.918518518518518</v>
      </c>
      <c r="M381" s="211"/>
      <c r="N381" s="210">
        <v>464472</v>
      </c>
      <c r="O381" s="216">
        <f t="shared" si="45"/>
        <v>770</v>
      </c>
      <c r="P381" s="215"/>
      <c r="Q381" s="42">
        <v>563005</v>
      </c>
      <c r="R381" s="44">
        <f t="shared" si="43"/>
        <v>143</v>
      </c>
      <c r="S381" s="358"/>
      <c r="T381" s="210">
        <v>60099</v>
      </c>
      <c r="U381" s="215">
        <f t="shared" si="38"/>
        <v>78</v>
      </c>
      <c r="V381" s="211"/>
      <c r="W381" s="210">
        <v>45274</v>
      </c>
      <c r="X381" s="216">
        <f t="shared" si="39"/>
        <v>2</v>
      </c>
      <c r="Y381" s="211"/>
      <c r="Z381" s="246" t="s">
        <v>59</v>
      </c>
    </row>
    <row r="382" spans="1:26">
      <c r="A382" s="150">
        <v>44911</v>
      </c>
      <c r="B382" s="154">
        <f t="shared" si="37"/>
        <v>44911</v>
      </c>
      <c r="C382" s="210">
        <v>1508877</v>
      </c>
      <c r="D382" s="317">
        <f t="shared" si="44"/>
        <v>15351</v>
      </c>
      <c r="E382" s="211"/>
      <c r="F382" s="210">
        <v>4666550</v>
      </c>
      <c r="G382" s="212">
        <f t="shared" si="36"/>
        <v>7122</v>
      </c>
      <c r="H382" s="213">
        <f t="shared" si="40"/>
        <v>55.97319034852547</v>
      </c>
      <c r="I382" s="211"/>
      <c r="J382" s="210">
        <v>2596774</v>
      </c>
      <c r="K382" s="212">
        <f t="shared" si="41"/>
        <v>4911</v>
      </c>
      <c r="L382" s="214">
        <f t="shared" si="42"/>
        <v>36.37777777777778</v>
      </c>
      <c r="M382" s="211"/>
      <c r="N382" s="210">
        <v>465242</v>
      </c>
      <c r="O382" s="216">
        <f t="shared" si="45"/>
        <v>913</v>
      </c>
      <c r="P382" s="215"/>
      <c r="Q382" s="42">
        <v>563148</v>
      </c>
      <c r="R382" s="44">
        <f t="shared" si="43"/>
        <v>161</v>
      </c>
      <c r="S382" s="358"/>
      <c r="T382" s="210">
        <v>60177</v>
      </c>
      <c r="U382" s="215">
        <f t="shared" si="38"/>
        <v>106</v>
      </c>
      <c r="V382" s="211"/>
      <c r="W382" s="210">
        <v>45276</v>
      </c>
      <c r="X382" s="216">
        <f t="shared" si="39"/>
        <v>0</v>
      </c>
      <c r="Y382" s="211"/>
      <c r="Z382" s="253"/>
    </row>
    <row r="383" spans="1:26">
      <c r="A383" s="150">
        <v>44912</v>
      </c>
      <c r="B383" s="154">
        <f t="shared" si="37"/>
        <v>44912</v>
      </c>
      <c r="C383" s="210">
        <v>1524228</v>
      </c>
      <c r="D383" s="317">
        <f t="shared" si="44"/>
        <v>511</v>
      </c>
      <c r="E383" s="211"/>
      <c r="F383" s="210">
        <v>4673672</v>
      </c>
      <c r="G383" s="212">
        <f t="shared" si="36"/>
        <v>14706</v>
      </c>
      <c r="H383" s="213">
        <f t="shared" si="40"/>
        <v>36.520107238605895</v>
      </c>
      <c r="I383" s="211"/>
      <c r="J383" s="210">
        <v>2601685</v>
      </c>
      <c r="K383" s="212">
        <f t="shared" si="41"/>
        <v>147</v>
      </c>
      <c r="L383" s="214">
        <f t="shared" si="42"/>
        <v>1.0888888888888888</v>
      </c>
      <c r="M383" s="211"/>
      <c r="N383" s="210">
        <v>466155</v>
      </c>
      <c r="O383" s="216">
        <f t="shared" si="45"/>
        <v>1113</v>
      </c>
      <c r="P383" s="215"/>
      <c r="Q383" s="42">
        <v>563309</v>
      </c>
      <c r="R383" s="44">
        <f t="shared" si="43"/>
        <v>0</v>
      </c>
      <c r="S383" s="358"/>
      <c r="T383" s="210">
        <v>60283</v>
      </c>
      <c r="U383" s="215">
        <f t="shared" si="38"/>
        <v>0</v>
      </c>
      <c r="V383" s="211"/>
      <c r="W383" s="210">
        <v>45276</v>
      </c>
      <c r="X383" s="216">
        <f t="shared" si="39"/>
        <v>0</v>
      </c>
      <c r="Y383" s="211"/>
      <c r="Z383" s="253"/>
    </row>
    <row r="384" spans="1:26">
      <c r="A384" s="150">
        <v>44913</v>
      </c>
      <c r="B384" s="154">
        <f t="shared" si="37"/>
        <v>44913</v>
      </c>
      <c r="C384" s="210">
        <v>1524739</v>
      </c>
      <c r="D384" s="317">
        <f t="shared" si="44"/>
        <v>0</v>
      </c>
      <c r="E384" s="211"/>
      <c r="F384" s="210">
        <v>4688378</v>
      </c>
      <c r="G384" s="212">
        <f t="shared" si="36"/>
        <v>0</v>
      </c>
      <c r="H384" s="213">
        <f t="shared" si="40"/>
        <v>-4.2761394101876675</v>
      </c>
      <c r="I384" s="211"/>
      <c r="J384" s="210">
        <v>2601832</v>
      </c>
      <c r="K384" s="212">
        <f t="shared" si="41"/>
        <v>0</v>
      </c>
      <c r="L384" s="214">
        <f t="shared" si="42"/>
        <v>0</v>
      </c>
      <c r="M384" s="211"/>
      <c r="N384" s="210">
        <v>467268</v>
      </c>
      <c r="O384" s="216">
        <f t="shared" si="45"/>
        <v>0</v>
      </c>
      <c r="P384" s="215"/>
      <c r="Q384" s="42">
        <v>563309</v>
      </c>
      <c r="R384" s="44">
        <f t="shared" si="43"/>
        <v>0</v>
      </c>
      <c r="S384" s="358"/>
      <c r="T384" s="210">
        <v>60283</v>
      </c>
      <c r="U384" s="215">
        <f t="shared" si="38"/>
        <v>0</v>
      </c>
      <c r="V384" s="211"/>
      <c r="W384" s="210">
        <v>45276</v>
      </c>
      <c r="X384" s="216">
        <f t="shared" si="39"/>
        <v>0</v>
      </c>
      <c r="Y384" s="211"/>
      <c r="Z384" s="253"/>
    </row>
    <row r="385" spans="1:26">
      <c r="A385" s="150">
        <v>44914</v>
      </c>
      <c r="B385" s="154">
        <f t="shared" si="37"/>
        <v>44914</v>
      </c>
      <c r="C385" s="210">
        <v>1524739</v>
      </c>
      <c r="D385" s="317">
        <f t="shared" si="44"/>
        <v>63</v>
      </c>
      <c r="E385" s="211"/>
      <c r="F385" s="210">
        <v>4688378</v>
      </c>
      <c r="G385" s="212">
        <f t="shared" si="36"/>
        <v>9099</v>
      </c>
      <c r="H385" s="213">
        <f t="shared" si="40"/>
        <v>20.286863270777481</v>
      </c>
      <c r="I385" s="211"/>
      <c r="J385" s="210">
        <v>2601832</v>
      </c>
      <c r="K385" s="212">
        <f t="shared" si="41"/>
        <v>4190</v>
      </c>
      <c r="L385" s="214">
        <f t="shared" si="42"/>
        <v>31.037037037037038</v>
      </c>
      <c r="M385" s="211"/>
      <c r="N385" s="210">
        <v>467268</v>
      </c>
      <c r="O385" s="216">
        <f t="shared" si="45"/>
        <v>884</v>
      </c>
      <c r="P385" s="215"/>
      <c r="Q385" s="42">
        <v>563309</v>
      </c>
      <c r="R385" s="44">
        <f t="shared" si="43"/>
        <v>76</v>
      </c>
      <c r="S385" s="358"/>
      <c r="T385" s="210">
        <v>60283</v>
      </c>
      <c r="U385" s="215">
        <f t="shared" si="38"/>
        <v>0</v>
      </c>
      <c r="V385" s="211"/>
      <c r="W385" s="210">
        <v>45276</v>
      </c>
      <c r="X385" s="216">
        <f t="shared" si="39"/>
        <v>0</v>
      </c>
      <c r="Y385" s="211"/>
      <c r="Z385" s="253"/>
    </row>
    <row r="386" spans="1:26">
      <c r="A386" s="150">
        <v>44915</v>
      </c>
      <c r="B386" s="154">
        <f t="shared" si="37"/>
        <v>44915</v>
      </c>
      <c r="C386" s="210">
        <v>1524802</v>
      </c>
      <c r="D386" s="317">
        <f t="shared" si="44"/>
        <v>311</v>
      </c>
      <c r="E386" s="211"/>
      <c r="F386" s="210">
        <v>4697477</v>
      </c>
      <c r="G386" s="212">
        <f t="shared" si="36"/>
        <v>9262</v>
      </c>
      <c r="H386" s="213">
        <f t="shared" si="40"/>
        <v>21.388739946380696</v>
      </c>
      <c r="I386" s="211"/>
      <c r="J386" s="210">
        <v>2606022</v>
      </c>
      <c r="K386" s="212">
        <f t="shared" si="41"/>
        <v>3955</v>
      </c>
      <c r="L386" s="214">
        <f t="shared" si="42"/>
        <v>29.296296296296298</v>
      </c>
      <c r="M386" s="211"/>
      <c r="N386" s="210">
        <v>468152</v>
      </c>
      <c r="O386" s="216">
        <f t="shared" si="45"/>
        <v>707</v>
      </c>
      <c r="P386" s="215"/>
      <c r="Q386" s="42">
        <v>563385</v>
      </c>
      <c r="R386" s="44">
        <f t="shared" si="43"/>
        <v>59</v>
      </c>
      <c r="S386" s="358"/>
      <c r="T386" s="210">
        <v>60283</v>
      </c>
      <c r="U386" s="215">
        <f>T387-T386</f>
        <v>84</v>
      </c>
      <c r="V386" s="211"/>
      <c r="W386" s="210">
        <v>45276</v>
      </c>
      <c r="X386" s="216">
        <f t="shared" si="39"/>
        <v>0</v>
      </c>
      <c r="Y386" s="211"/>
      <c r="Z386" s="253"/>
    </row>
    <row r="387" spans="1:26">
      <c r="A387" s="150">
        <v>44916</v>
      </c>
      <c r="B387" s="154">
        <f t="shared" si="37"/>
        <v>44916</v>
      </c>
      <c r="C387" s="210">
        <v>1525113</v>
      </c>
      <c r="D387" s="317">
        <f t="shared" si="44"/>
        <v>585</v>
      </c>
      <c r="E387" s="211"/>
      <c r="F387" s="210">
        <v>4706739</v>
      </c>
      <c r="G387" s="212">
        <f t="shared" si="36"/>
        <v>8990</v>
      </c>
      <c r="H387" s="213">
        <f t="shared" si="40"/>
        <v>21.394101876675602</v>
      </c>
      <c r="I387" s="211"/>
      <c r="J387" s="210">
        <v>2609977</v>
      </c>
      <c r="K387" s="212">
        <f t="shared" si="41"/>
        <v>103</v>
      </c>
      <c r="L387" s="214">
        <f t="shared" si="42"/>
        <v>0.76296296296296295</v>
      </c>
      <c r="M387" s="211"/>
      <c r="N387" s="210">
        <v>468859</v>
      </c>
      <c r="O387" s="216">
        <f t="shared" si="45"/>
        <v>1763</v>
      </c>
      <c r="P387" s="367"/>
      <c r="Q387" s="42">
        <v>563444</v>
      </c>
      <c r="R387" s="44">
        <f t="shared" si="43"/>
        <v>0</v>
      </c>
      <c r="S387" s="88"/>
      <c r="T387" s="210">
        <v>60367</v>
      </c>
      <c r="U387" s="215">
        <f>T388-T387</f>
        <v>25</v>
      </c>
      <c r="V387" s="211"/>
      <c r="W387" s="210">
        <v>45276</v>
      </c>
      <c r="X387" s="216">
        <f t="shared" si="39"/>
        <v>0</v>
      </c>
      <c r="Y387" s="211"/>
      <c r="Z387" s="253"/>
    </row>
    <row r="388" spans="1:26">
      <c r="A388" s="150">
        <v>44917</v>
      </c>
      <c r="B388" s="154">
        <f t="shared" si="37"/>
        <v>44917</v>
      </c>
      <c r="C388" s="210">
        <v>1525698</v>
      </c>
      <c r="D388" s="317">
        <f t="shared" si="44"/>
        <v>861</v>
      </c>
      <c r="E388" s="211"/>
      <c r="F388" s="210">
        <v>4715729</v>
      </c>
      <c r="G388" s="212">
        <f t="shared" si="36"/>
        <v>7785</v>
      </c>
      <c r="H388" s="213">
        <f t="shared" si="40"/>
        <v>18.903485254691688</v>
      </c>
      <c r="I388" s="211"/>
      <c r="J388" s="210">
        <v>2610080</v>
      </c>
      <c r="K388" s="212">
        <f t="shared" si="41"/>
        <v>3894</v>
      </c>
      <c r="L388" s="214">
        <f t="shared" si="42"/>
        <v>28.844444444444445</v>
      </c>
      <c r="M388" s="211"/>
      <c r="N388" s="210">
        <v>470622</v>
      </c>
      <c r="O388" s="216">
        <f t="shared" si="45"/>
        <v>735</v>
      </c>
      <c r="P388" s="367"/>
      <c r="Q388" s="42">
        <v>563444</v>
      </c>
      <c r="R388" s="44">
        <f t="shared" si="43"/>
        <v>57</v>
      </c>
      <c r="S388" s="88"/>
      <c r="T388" s="210">
        <v>60392</v>
      </c>
      <c r="U388" s="215">
        <f t="shared" ref="U388:U451" si="46">T389-T388</f>
        <v>201</v>
      </c>
      <c r="V388" s="211"/>
      <c r="W388" s="210">
        <v>45276</v>
      </c>
      <c r="X388" s="216">
        <f t="shared" si="39"/>
        <v>0</v>
      </c>
      <c r="Y388" s="211"/>
      <c r="Z388" s="253"/>
    </row>
    <row r="389" spans="1:26">
      <c r="A389" s="150">
        <v>44918</v>
      </c>
      <c r="B389" s="154">
        <f t="shared" si="37"/>
        <v>44918</v>
      </c>
      <c r="C389" s="210">
        <v>1526559</v>
      </c>
      <c r="D389" s="317">
        <f t="shared" si="44"/>
        <v>328</v>
      </c>
      <c r="E389" s="211"/>
      <c r="F389" s="210">
        <v>4723514</v>
      </c>
      <c r="G389" s="212">
        <f t="shared" si="36"/>
        <v>9834</v>
      </c>
      <c r="H389" s="213">
        <f t="shared" si="40"/>
        <v>22.967828418230564</v>
      </c>
      <c r="I389" s="211"/>
      <c r="J389" s="210">
        <v>2613974</v>
      </c>
      <c r="K389" s="212">
        <f t="shared" si="41"/>
        <v>24</v>
      </c>
      <c r="L389" s="214">
        <f t="shared" si="42"/>
        <v>0.17777777777777778</v>
      </c>
      <c r="M389" s="211"/>
      <c r="N389" s="210">
        <v>471357</v>
      </c>
      <c r="O389" s="216">
        <f t="shared" si="45"/>
        <v>636</v>
      </c>
      <c r="P389" s="215"/>
      <c r="Q389" s="42">
        <v>563501</v>
      </c>
      <c r="R389" s="44">
        <f t="shared" si="43"/>
        <v>0</v>
      </c>
      <c r="S389" s="358"/>
      <c r="T389" s="210">
        <v>60593</v>
      </c>
      <c r="U389" s="215">
        <f t="shared" si="46"/>
        <v>0</v>
      </c>
      <c r="V389" s="211"/>
      <c r="W389" s="210">
        <v>45276</v>
      </c>
      <c r="X389" s="216">
        <f t="shared" si="39"/>
        <v>0</v>
      </c>
      <c r="Y389" s="211"/>
      <c r="Z389" s="253"/>
    </row>
    <row r="390" spans="1:26">
      <c r="A390" s="150">
        <v>44919</v>
      </c>
      <c r="B390" s="154">
        <f t="shared" si="37"/>
        <v>44919</v>
      </c>
      <c r="C390" s="210">
        <v>1526887</v>
      </c>
      <c r="D390" s="317">
        <f t="shared" si="44"/>
        <v>0</v>
      </c>
      <c r="E390" s="211"/>
      <c r="F390" s="210">
        <v>4733348</v>
      </c>
      <c r="G390" s="212">
        <f t="shared" ref="G390:G453" si="47">IF(F391&gt;0,F391-F390," ")</f>
        <v>3134</v>
      </c>
      <c r="H390" s="213">
        <f t="shared" si="40"/>
        <v>4.1260053619302948</v>
      </c>
      <c r="I390" s="211"/>
      <c r="J390" s="210">
        <v>2613998</v>
      </c>
      <c r="K390" s="212">
        <f t="shared" si="41"/>
        <v>0</v>
      </c>
      <c r="L390" s="214">
        <f t="shared" si="42"/>
        <v>0</v>
      </c>
      <c r="M390" s="211"/>
      <c r="N390" s="210">
        <v>471993</v>
      </c>
      <c r="O390" s="216">
        <f t="shared" si="45"/>
        <v>0</v>
      </c>
      <c r="P390" s="215"/>
      <c r="Q390" s="42">
        <v>563501</v>
      </c>
      <c r="R390" s="44">
        <f t="shared" si="43"/>
        <v>0</v>
      </c>
      <c r="S390" s="358"/>
      <c r="T390" s="210">
        <v>60593</v>
      </c>
      <c r="U390" s="215">
        <f t="shared" si="46"/>
        <v>0</v>
      </c>
      <c r="V390" s="211"/>
      <c r="W390" s="210">
        <v>45276</v>
      </c>
      <c r="X390" s="216">
        <f t="shared" si="39"/>
        <v>0</v>
      </c>
      <c r="Y390" s="211"/>
      <c r="Z390" s="253"/>
    </row>
    <row r="391" spans="1:26">
      <c r="A391" s="150">
        <v>44920</v>
      </c>
      <c r="B391" s="154">
        <f t="shared" si="37"/>
        <v>44920</v>
      </c>
      <c r="C391" s="210">
        <v>1526887</v>
      </c>
      <c r="D391" s="317">
        <f t="shared" si="44"/>
        <v>2</v>
      </c>
      <c r="E391" s="211"/>
      <c r="F391" s="210">
        <v>4736482</v>
      </c>
      <c r="G391" s="212">
        <f t="shared" si="47"/>
        <v>1900</v>
      </c>
      <c r="H391" s="213">
        <f t="shared" si="40"/>
        <v>0.82305630026809651</v>
      </c>
      <c r="I391" s="211"/>
      <c r="J391" s="210">
        <v>2613998</v>
      </c>
      <c r="K391" s="212">
        <f t="shared" si="41"/>
        <v>0</v>
      </c>
      <c r="L391" s="214">
        <f t="shared" si="42"/>
        <v>0</v>
      </c>
      <c r="M391" s="211"/>
      <c r="N391" s="210">
        <v>471993</v>
      </c>
      <c r="O391" s="216">
        <f t="shared" si="45"/>
        <v>0</v>
      </c>
      <c r="P391" s="215"/>
      <c r="Q391" s="42">
        <v>563501</v>
      </c>
      <c r="R391" s="44">
        <f t="shared" si="43"/>
        <v>289</v>
      </c>
      <c r="S391" s="358"/>
      <c r="T391" s="210">
        <v>60593</v>
      </c>
      <c r="U391" s="215">
        <f t="shared" si="46"/>
        <v>0</v>
      </c>
      <c r="V391" s="211"/>
      <c r="W391" s="210">
        <v>45276</v>
      </c>
      <c r="X391" s="216">
        <f t="shared" si="39"/>
        <v>0</v>
      </c>
      <c r="Y391" s="211"/>
      <c r="Z391" s="253"/>
    </row>
    <row r="392" spans="1:26">
      <c r="A392" s="150">
        <v>44921</v>
      </c>
      <c r="B392" s="154">
        <f t="shared" si="37"/>
        <v>44921</v>
      </c>
      <c r="C392" s="210">
        <v>1526889</v>
      </c>
      <c r="D392" s="317">
        <f t="shared" si="44"/>
        <v>285</v>
      </c>
      <c r="E392" s="211"/>
      <c r="F392" s="210">
        <v>4738382</v>
      </c>
      <c r="G392" s="212">
        <f t="shared" si="47"/>
        <v>6926</v>
      </c>
      <c r="H392" s="213">
        <f t="shared" si="40"/>
        <v>15.056300268096514</v>
      </c>
      <c r="I392" s="211"/>
      <c r="J392" s="210">
        <v>2613998</v>
      </c>
      <c r="K392" s="212">
        <f t="shared" si="41"/>
        <v>4033</v>
      </c>
      <c r="L392" s="214">
        <f t="shared" si="42"/>
        <v>29.874074074074073</v>
      </c>
      <c r="M392" s="211"/>
      <c r="N392" s="210">
        <v>471993</v>
      </c>
      <c r="O392" s="216">
        <f t="shared" si="45"/>
        <v>797</v>
      </c>
      <c r="P392" s="215"/>
      <c r="Q392" s="42">
        <v>563790</v>
      </c>
      <c r="R392" s="44">
        <f t="shared" si="43"/>
        <v>62</v>
      </c>
      <c r="S392" s="358"/>
      <c r="T392" s="210">
        <v>60593</v>
      </c>
      <c r="U392" s="215">
        <f t="shared" si="46"/>
        <v>0</v>
      </c>
      <c r="V392" s="211"/>
      <c r="W392" s="210">
        <v>45276</v>
      </c>
      <c r="X392" s="216">
        <f t="shared" si="39"/>
        <v>2</v>
      </c>
      <c r="Y392" s="211"/>
      <c r="Z392" s="253"/>
    </row>
    <row r="393" spans="1:26">
      <c r="A393" s="150">
        <v>44922</v>
      </c>
      <c r="B393" s="154">
        <f t="shared" si="37"/>
        <v>44922</v>
      </c>
      <c r="C393" s="210">
        <v>1527174</v>
      </c>
      <c r="D393" s="317">
        <f t="shared" si="44"/>
        <v>93</v>
      </c>
      <c r="E393" s="211"/>
      <c r="F393" s="210">
        <v>4745308</v>
      </c>
      <c r="G393" s="212">
        <f t="shared" si="47"/>
        <v>8189</v>
      </c>
      <c r="H393" s="213">
        <f t="shared" si="40"/>
        <v>17.927613941018766</v>
      </c>
      <c r="I393" s="211"/>
      <c r="J393" s="210">
        <v>2618031</v>
      </c>
      <c r="K393" s="212">
        <f t="shared" si="41"/>
        <v>97</v>
      </c>
      <c r="L393" s="214">
        <f t="shared" si="42"/>
        <v>0.71851851851851856</v>
      </c>
      <c r="M393" s="211"/>
      <c r="N393" s="210">
        <v>472790</v>
      </c>
      <c r="O393" s="216">
        <f t="shared" si="45"/>
        <v>760</v>
      </c>
      <c r="P393" s="215"/>
      <c r="Q393" s="42">
        <v>563852</v>
      </c>
      <c r="R393" s="44">
        <f t="shared" si="43"/>
        <v>38</v>
      </c>
      <c r="S393" s="358"/>
      <c r="T393" s="210">
        <v>60593</v>
      </c>
      <c r="U393" s="215">
        <f t="shared" si="46"/>
        <v>0</v>
      </c>
      <c r="V393" s="211"/>
      <c r="W393" s="210">
        <v>45278</v>
      </c>
      <c r="X393" s="216">
        <f t="shared" si="39"/>
        <v>0</v>
      </c>
      <c r="Y393" s="211"/>
      <c r="Z393" s="253"/>
    </row>
    <row r="394" spans="1:26">
      <c r="A394" s="150">
        <v>44923</v>
      </c>
      <c r="B394" s="154">
        <f t="shared" si="37"/>
        <v>44923</v>
      </c>
      <c r="C394" s="210">
        <v>1527267</v>
      </c>
      <c r="D394" s="317">
        <f t="shared" si="44"/>
        <v>157</v>
      </c>
      <c r="E394" s="211"/>
      <c r="F394" s="210">
        <v>4753497</v>
      </c>
      <c r="G394" s="212">
        <f t="shared" si="47"/>
        <v>6716</v>
      </c>
      <c r="H394" s="213">
        <f t="shared" si="40"/>
        <v>14.150134048257373</v>
      </c>
      <c r="I394" s="211"/>
      <c r="J394" s="210">
        <v>2618128</v>
      </c>
      <c r="K394" s="212">
        <f t="shared" si="41"/>
        <v>4337</v>
      </c>
      <c r="L394" s="214">
        <f t="shared" si="42"/>
        <v>32.125925925925927</v>
      </c>
      <c r="M394" s="211"/>
      <c r="N394" s="210">
        <v>473550</v>
      </c>
      <c r="O394" s="216">
        <f t="shared" si="45"/>
        <v>750</v>
      </c>
      <c r="P394" s="215"/>
      <c r="Q394" s="42">
        <v>563890</v>
      </c>
      <c r="R394" s="44">
        <f t="shared" si="43"/>
        <v>171</v>
      </c>
      <c r="S394" s="358"/>
      <c r="T394" s="210">
        <v>60593</v>
      </c>
      <c r="U394" s="215">
        <f t="shared" si="46"/>
        <v>0</v>
      </c>
      <c r="V394" s="211"/>
      <c r="W394" s="210">
        <v>45278</v>
      </c>
      <c r="X394" s="216">
        <f t="shared" si="39"/>
        <v>0</v>
      </c>
      <c r="Y394" s="211"/>
      <c r="Z394" s="253"/>
    </row>
    <row r="395" spans="1:26">
      <c r="A395" s="150">
        <v>44924</v>
      </c>
      <c r="B395" s="154">
        <f t="shared" si="37"/>
        <v>44924</v>
      </c>
      <c r="C395" s="210">
        <v>1527424</v>
      </c>
      <c r="D395" s="317">
        <f t="shared" si="44"/>
        <v>225</v>
      </c>
      <c r="E395" s="211"/>
      <c r="F395" s="210">
        <v>4760213</v>
      </c>
      <c r="G395" s="212">
        <f t="shared" si="47"/>
        <v>21689</v>
      </c>
      <c r="H395" s="213">
        <f t="shared" si="40"/>
        <v>54.474530831099194</v>
      </c>
      <c r="I395" s="211"/>
      <c r="J395" s="210">
        <v>2622465</v>
      </c>
      <c r="K395" s="212">
        <f t="shared" si="41"/>
        <v>3807</v>
      </c>
      <c r="L395" s="214">
        <f t="shared" si="42"/>
        <v>28.2</v>
      </c>
      <c r="M395" s="211"/>
      <c r="N395" s="210">
        <v>474300</v>
      </c>
      <c r="O395" s="216">
        <f t="shared" si="45"/>
        <v>668</v>
      </c>
      <c r="P395" s="215"/>
      <c r="Q395" s="42">
        <v>564061</v>
      </c>
      <c r="R395" s="44">
        <f t="shared" si="43"/>
        <v>167</v>
      </c>
      <c r="S395" s="358"/>
      <c r="T395" s="210">
        <v>60593</v>
      </c>
      <c r="U395" s="215">
        <f t="shared" si="46"/>
        <v>259</v>
      </c>
      <c r="V395" s="211"/>
      <c r="W395" s="210">
        <v>45278</v>
      </c>
      <c r="X395" s="216">
        <f t="shared" si="39"/>
        <v>0</v>
      </c>
      <c r="Y395" s="211"/>
      <c r="Z395" s="253"/>
    </row>
    <row r="396" spans="1:26">
      <c r="A396" s="150">
        <v>44925</v>
      </c>
      <c r="B396" s="154">
        <f t="shared" si="37"/>
        <v>44925</v>
      </c>
      <c r="C396" s="210">
        <v>1527649</v>
      </c>
      <c r="D396" s="317">
        <f t="shared" si="44"/>
        <v>0</v>
      </c>
      <c r="E396" s="211"/>
      <c r="F396" s="210">
        <v>4781902</v>
      </c>
      <c r="G396" s="212">
        <f t="shared" si="47"/>
        <v>0</v>
      </c>
      <c r="H396" s="213">
        <f t="shared" si="40"/>
        <v>-4.2761394101876675</v>
      </c>
      <c r="I396" s="211"/>
      <c r="J396" s="210">
        <v>2626272</v>
      </c>
      <c r="K396" s="212">
        <f t="shared" si="41"/>
        <v>0</v>
      </c>
      <c r="L396" s="214">
        <f t="shared" si="42"/>
        <v>0</v>
      </c>
      <c r="M396" s="211"/>
      <c r="N396" s="210">
        <v>474968</v>
      </c>
      <c r="O396" s="216">
        <f t="shared" si="45"/>
        <v>0</v>
      </c>
      <c r="P396" s="215"/>
      <c r="Q396" s="42">
        <v>564228</v>
      </c>
      <c r="R396" s="44">
        <f t="shared" si="43"/>
        <v>125</v>
      </c>
      <c r="S396" s="358"/>
      <c r="T396" s="210">
        <v>60852</v>
      </c>
      <c r="U396" s="215">
        <f t="shared" si="46"/>
        <v>0</v>
      </c>
      <c r="V396" s="211"/>
      <c r="W396" s="210">
        <v>45278</v>
      </c>
      <c r="X396" s="216">
        <f t="shared" si="39"/>
        <v>0</v>
      </c>
      <c r="Y396" s="211"/>
      <c r="Z396" s="253"/>
    </row>
    <row r="397" spans="1:26">
      <c r="A397" s="150">
        <v>44926</v>
      </c>
      <c r="B397" s="154">
        <f t="shared" si="37"/>
        <v>44926</v>
      </c>
      <c r="C397" s="210">
        <v>1527649</v>
      </c>
      <c r="D397" s="317">
        <f t="shared" si="44"/>
        <v>0</v>
      </c>
      <c r="E397" s="211"/>
      <c r="F397" s="210">
        <v>4781902</v>
      </c>
      <c r="G397" s="212">
        <f t="shared" si="47"/>
        <v>0</v>
      </c>
      <c r="H397" s="213">
        <f t="shared" si="40"/>
        <v>-4.2761394101876675</v>
      </c>
      <c r="I397" s="211"/>
      <c r="J397" s="210">
        <v>2626272</v>
      </c>
      <c r="K397" s="212">
        <f t="shared" si="41"/>
        <v>0</v>
      </c>
      <c r="L397" s="214">
        <f t="shared" si="42"/>
        <v>0</v>
      </c>
      <c r="M397" s="211"/>
      <c r="N397" s="210">
        <v>474968</v>
      </c>
      <c r="O397" s="216">
        <f t="shared" si="45"/>
        <v>0</v>
      </c>
      <c r="P397" s="215"/>
      <c r="Q397" s="42">
        <v>564353</v>
      </c>
      <c r="R397" s="44">
        <f t="shared" si="43"/>
        <v>0</v>
      </c>
      <c r="S397" s="358"/>
      <c r="T397" s="210">
        <v>60852</v>
      </c>
      <c r="U397" s="215">
        <f t="shared" si="46"/>
        <v>0</v>
      </c>
      <c r="V397" s="211"/>
      <c r="W397" s="210">
        <v>45278</v>
      </c>
      <c r="X397" s="216">
        <f t="shared" si="39"/>
        <v>0</v>
      </c>
      <c r="Y397" s="211"/>
      <c r="Z397" s="253"/>
    </row>
    <row r="398" spans="1:26">
      <c r="A398" s="150">
        <v>44927</v>
      </c>
      <c r="B398" s="154">
        <f t="shared" ref="B398:B461" si="48">+A398</f>
        <v>44927</v>
      </c>
      <c r="C398" s="210">
        <v>1527649</v>
      </c>
      <c r="D398" s="317">
        <f t="shared" si="44"/>
        <v>0</v>
      </c>
      <c r="E398" s="211"/>
      <c r="F398" s="210">
        <v>4781902</v>
      </c>
      <c r="G398" s="212">
        <f t="shared" si="47"/>
        <v>0</v>
      </c>
      <c r="H398" s="213">
        <f t="shared" si="40"/>
        <v>-4.2761394101876675</v>
      </c>
      <c r="I398" s="211"/>
      <c r="J398" s="210">
        <v>2626272</v>
      </c>
      <c r="K398" s="212">
        <f t="shared" si="41"/>
        <v>0</v>
      </c>
      <c r="L398" s="214">
        <f t="shared" si="42"/>
        <v>0</v>
      </c>
      <c r="M398" s="211"/>
      <c r="N398" s="210">
        <v>474968</v>
      </c>
      <c r="O398" s="216">
        <f t="shared" si="45"/>
        <v>0</v>
      </c>
      <c r="P398" s="215"/>
      <c r="Q398" s="42">
        <v>564353</v>
      </c>
      <c r="R398" s="44">
        <f t="shared" si="43"/>
        <v>0</v>
      </c>
      <c r="S398" s="358"/>
      <c r="T398" s="210">
        <v>60852</v>
      </c>
      <c r="U398" s="215">
        <f t="shared" si="46"/>
        <v>0</v>
      </c>
      <c r="V398" s="211"/>
      <c r="W398" s="210">
        <v>45278</v>
      </c>
      <c r="X398" s="216">
        <f t="shared" si="39"/>
        <v>0</v>
      </c>
      <c r="Y398" s="211"/>
      <c r="Z398" s="253"/>
    </row>
    <row r="399" spans="1:26">
      <c r="A399" s="150">
        <v>44928</v>
      </c>
      <c r="B399" s="154">
        <f t="shared" si="48"/>
        <v>44928</v>
      </c>
      <c r="C399" s="210">
        <v>1527649</v>
      </c>
      <c r="D399" s="317">
        <f t="shared" si="44"/>
        <v>146</v>
      </c>
      <c r="E399" s="211"/>
      <c r="F399" s="210">
        <v>4781902</v>
      </c>
      <c r="G399" s="212">
        <f t="shared" si="47"/>
        <v>5612</v>
      </c>
      <c r="H399" s="213">
        <f t="shared" si="40"/>
        <v>11.160857908847184</v>
      </c>
      <c r="I399" s="211"/>
      <c r="J399" s="210">
        <v>2626272</v>
      </c>
      <c r="K399" s="212">
        <f t="shared" si="41"/>
        <v>60</v>
      </c>
      <c r="L399" s="214">
        <f t="shared" si="42"/>
        <v>0.44444444444444442</v>
      </c>
      <c r="M399" s="211"/>
      <c r="N399" s="210">
        <v>474968</v>
      </c>
      <c r="O399" s="216">
        <f t="shared" si="45"/>
        <v>1106</v>
      </c>
      <c r="P399" s="215"/>
      <c r="Q399" s="42">
        <v>564353</v>
      </c>
      <c r="R399" s="44">
        <f t="shared" si="43"/>
        <v>38</v>
      </c>
      <c r="S399" s="358"/>
      <c r="T399" s="210">
        <v>60852</v>
      </c>
      <c r="U399" s="215">
        <f t="shared" si="46"/>
        <v>0</v>
      </c>
      <c r="V399" s="211"/>
      <c r="W399" s="210">
        <v>45278</v>
      </c>
      <c r="X399" s="216">
        <f t="shared" si="39"/>
        <v>0</v>
      </c>
      <c r="Y399" s="211"/>
      <c r="Z399" s="253"/>
    </row>
    <row r="400" spans="1:26">
      <c r="A400" s="150">
        <v>44929</v>
      </c>
      <c r="B400" s="154">
        <f t="shared" si="48"/>
        <v>44929</v>
      </c>
      <c r="C400" s="210">
        <v>1527795</v>
      </c>
      <c r="D400" s="317">
        <f t="shared" si="44"/>
        <v>108</v>
      </c>
      <c r="E400" s="211"/>
      <c r="F400" s="210">
        <v>4787514</v>
      </c>
      <c r="G400" s="212">
        <f t="shared" si="47"/>
        <v>6728</v>
      </c>
      <c r="H400" s="213">
        <f t="shared" si="40"/>
        <v>14.050938337801609</v>
      </c>
      <c r="I400" s="211"/>
      <c r="J400" s="210">
        <v>2626332</v>
      </c>
      <c r="K400" s="212">
        <f t="shared" si="41"/>
        <v>4068</v>
      </c>
      <c r="L400" s="214">
        <f t="shared" si="42"/>
        <v>30.133333333333333</v>
      </c>
      <c r="M400" s="211"/>
      <c r="N400" s="210">
        <v>476074</v>
      </c>
      <c r="O400" s="216">
        <f t="shared" si="45"/>
        <v>617</v>
      </c>
      <c r="P400" s="215"/>
      <c r="Q400" s="42">
        <v>564391</v>
      </c>
      <c r="R400" s="44">
        <f t="shared" si="43"/>
        <v>40</v>
      </c>
      <c r="S400" s="358"/>
      <c r="T400" s="210">
        <v>60852</v>
      </c>
      <c r="U400" s="215">
        <f t="shared" si="46"/>
        <v>34</v>
      </c>
      <c r="V400" s="211"/>
      <c r="W400" s="210">
        <v>45278</v>
      </c>
      <c r="X400" s="216">
        <f t="shared" si="39"/>
        <v>0</v>
      </c>
      <c r="Y400" s="211"/>
      <c r="Z400" s="253"/>
    </row>
    <row r="401" spans="1:26">
      <c r="A401" s="150">
        <v>44930</v>
      </c>
      <c r="B401" s="154">
        <f t="shared" si="48"/>
        <v>44930</v>
      </c>
      <c r="C401" s="210">
        <v>1527903</v>
      </c>
      <c r="D401" s="317">
        <f t="shared" si="44"/>
        <v>196</v>
      </c>
      <c r="E401" s="211"/>
      <c r="F401" s="210">
        <v>4794242</v>
      </c>
      <c r="G401" s="212">
        <f t="shared" si="47"/>
        <v>7937</v>
      </c>
      <c r="H401" s="213">
        <f t="shared" si="40"/>
        <v>17.528150134048257</v>
      </c>
      <c r="I401" s="211"/>
      <c r="J401" s="210">
        <v>2630400</v>
      </c>
      <c r="K401" s="212">
        <f t="shared" si="41"/>
        <v>4068</v>
      </c>
      <c r="L401" s="214">
        <f t="shared" si="42"/>
        <v>30.133333333333333</v>
      </c>
      <c r="M401" s="211"/>
      <c r="N401" s="210">
        <v>476691</v>
      </c>
      <c r="O401" s="216">
        <f t="shared" si="45"/>
        <v>612</v>
      </c>
      <c r="P401" s="215"/>
      <c r="Q401" s="42">
        <v>564431</v>
      </c>
      <c r="R401" s="44">
        <f t="shared" si="43"/>
        <v>51</v>
      </c>
      <c r="S401" s="358"/>
      <c r="T401" s="210">
        <v>60886</v>
      </c>
      <c r="U401" s="215">
        <f t="shared" si="46"/>
        <v>213</v>
      </c>
      <c r="V401" s="211"/>
      <c r="W401" s="210">
        <v>45278</v>
      </c>
      <c r="X401" s="216">
        <f t="shared" si="39"/>
        <v>0</v>
      </c>
      <c r="Y401" s="211"/>
      <c r="Z401" s="253"/>
    </row>
    <row r="402" spans="1:26">
      <c r="A402" s="150">
        <v>44931</v>
      </c>
      <c r="B402" s="154">
        <f t="shared" si="48"/>
        <v>44931</v>
      </c>
      <c r="C402" s="210">
        <v>1528099</v>
      </c>
      <c r="D402" s="317">
        <f t="shared" si="44"/>
        <v>80</v>
      </c>
      <c r="E402" s="211"/>
      <c r="F402" s="210">
        <v>4802179</v>
      </c>
      <c r="G402" s="212">
        <f t="shared" si="47"/>
        <v>6497</v>
      </c>
      <c r="H402" s="213">
        <f t="shared" si="40"/>
        <v>13.35656836461126</v>
      </c>
      <c r="I402" s="211"/>
      <c r="J402" s="210">
        <v>2634468</v>
      </c>
      <c r="K402" s="212">
        <f t="shared" si="41"/>
        <v>130</v>
      </c>
      <c r="L402" s="214">
        <f>K402/135</f>
        <v>0.96296296296296291</v>
      </c>
      <c r="M402" s="211"/>
      <c r="N402" s="210">
        <v>477303</v>
      </c>
      <c r="O402" s="216">
        <f t="shared" si="45"/>
        <v>1198</v>
      </c>
      <c r="P402" s="215"/>
      <c r="Q402" s="42">
        <v>564482</v>
      </c>
      <c r="R402" s="44">
        <f t="shared" si="43"/>
        <v>40</v>
      </c>
      <c r="S402" s="358"/>
      <c r="T402" s="210">
        <v>61099</v>
      </c>
      <c r="U402" s="215">
        <f t="shared" si="46"/>
        <v>0</v>
      </c>
      <c r="V402" s="211"/>
      <c r="W402" s="210">
        <v>45278</v>
      </c>
      <c r="X402" s="216">
        <f t="shared" si="39"/>
        <v>0</v>
      </c>
      <c r="Y402" s="211"/>
      <c r="Z402" s="253"/>
    </row>
    <row r="403" spans="1:26">
      <c r="A403" s="150">
        <v>44932</v>
      </c>
      <c r="B403" s="154">
        <f t="shared" si="48"/>
        <v>44932</v>
      </c>
      <c r="C403" s="210">
        <v>1528179</v>
      </c>
      <c r="D403" s="317">
        <f t="shared" si="44"/>
        <v>15546</v>
      </c>
      <c r="E403" s="211"/>
      <c r="F403" s="210">
        <v>4808676</v>
      </c>
      <c r="G403" s="212">
        <f t="shared" si="47"/>
        <v>20924</v>
      </c>
      <c r="H403" s="213">
        <f t="shared" si="40"/>
        <v>93.498659517426276</v>
      </c>
      <c r="I403" s="211"/>
      <c r="J403" s="210">
        <v>2634598</v>
      </c>
      <c r="K403" s="212">
        <f t="shared" si="41"/>
        <v>5020</v>
      </c>
      <c r="L403" s="214">
        <f>K403/135</f>
        <v>37.185185185185183</v>
      </c>
      <c r="M403" s="211"/>
      <c r="N403" s="210">
        <v>478501</v>
      </c>
      <c r="O403" s="216">
        <f t="shared" si="45"/>
        <v>1420</v>
      </c>
      <c r="P403" s="365" t="s">
        <v>78</v>
      </c>
      <c r="Q403" s="42">
        <v>564522</v>
      </c>
      <c r="R403" s="44">
        <f t="shared" si="43"/>
        <v>0</v>
      </c>
      <c r="S403" s="358"/>
      <c r="T403" s="210">
        <v>61099</v>
      </c>
      <c r="U403" s="215">
        <f t="shared" si="46"/>
        <v>128</v>
      </c>
      <c r="V403" s="211"/>
      <c r="W403" s="210">
        <v>45278</v>
      </c>
      <c r="X403" s="216">
        <f t="shared" si="39"/>
        <v>0</v>
      </c>
      <c r="Y403" s="211"/>
      <c r="Z403" s="253"/>
    </row>
    <row r="404" spans="1:26">
      <c r="A404" s="150">
        <v>44933</v>
      </c>
      <c r="B404" s="154">
        <f t="shared" si="48"/>
        <v>44933</v>
      </c>
      <c r="C404" s="210">
        <v>1543725</v>
      </c>
      <c r="D404" s="317">
        <f t="shared" si="44"/>
        <v>0</v>
      </c>
      <c r="E404" s="211"/>
      <c r="F404" s="210">
        <v>4829600</v>
      </c>
      <c r="G404" s="212">
        <f t="shared" si="47"/>
        <v>0</v>
      </c>
      <c r="H404" s="213">
        <f t="shared" si="40"/>
        <v>-4.2761394101876675</v>
      </c>
      <c r="I404" s="211"/>
      <c r="J404" s="210">
        <v>2639618</v>
      </c>
      <c r="K404" s="212">
        <f t="shared" si="41"/>
        <v>0</v>
      </c>
      <c r="L404" s="214">
        <f t="shared" ref="L404:L407" si="49">K404/135</f>
        <v>0</v>
      </c>
      <c r="M404" s="211"/>
      <c r="N404" s="221">
        <v>479921</v>
      </c>
      <c r="O404" s="226">
        <f t="shared" si="45"/>
        <v>0</v>
      </c>
      <c r="P404" s="368"/>
      <c r="Q404" s="42">
        <v>564522</v>
      </c>
      <c r="R404" s="44">
        <f t="shared" si="43"/>
        <v>0</v>
      </c>
      <c r="S404" s="358"/>
      <c r="T404" s="210">
        <v>61227</v>
      </c>
      <c r="U404" s="215">
        <f t="shared" si="46"/>
        <v>0</v>
      </c>
      <c r="V404" s="211"/>
      <c r="W404" s="210">
        <v>45278</v>
      </c>
      <c r="X404" s="216">
        <f t="shared" si="39"/>
        <v>0</v>
      </c>
      <c r="Y404" s="211"/>
      <c r="Z404" s="253"/>
    </row>
    <row r="405" spans="1:26">
      <c r="A405" s="150">
        <v>44934</v>
      </c>
      <c r="B405" s="154">
        <f t="shared" si="48"/>
        <v>44934</v>
      </c>
      <c r="C405" s="210">
        <v>1543725</v>
      </c>
      <c r="D405" s="317">
        <f t="shared" si="44"/>
        <v>0</v>
      </c>
      <c r="E405" s="211"/>
      <c r="F405" s="210">
        <v>4829600</v>
      </c>
      <c r="G405" s="212">
        <f t="shared" si="47"/>
        <v>0</v>
      </c>
      <c r="H405" s="213">
        <f t="shared" si="40"/>
        <v>-4.2761394101876675</v>
      </c>
      <c r="I405" s="211"/>
      <c r="J405" s="210">
        <v>2639618</v>
      </c>
      <c r="K405" s="212">
        <f t="shared" si="41"/>
        <v>0</v>
      </c>
      <c r="L405" s="214">
        <f t="shared" si="49"/>
        <v>0</v>
      </c>
      <c r="M405" s="211"/>
      <c r="N405" s="221">
        <v>479921</v>
      </c>
      <c r="O405" s="226">
        <f t="shared" si="45"/>
        <v>0</v>
      </c>
      <c r="P405" s="368"/>
      <c r="Q405" s="42">
        <v>564522</v>
      </c>
      <c r="R405" s="44">
        <f t="shared" si="43"/>
        <v>0</v>
      </c>
      <c r="S405" s="358"/>
      <c r="T405" s="210">
        <v>61227</v>
      </c>
      <c r="U405" s="215">
        <f t="shared" si="46"/>
        <v>0</v>
      </c>
      <c r="V405" s="211"/>
      <c r="W405" s="210">
        <v>45278</v>
      </c>
      <c r="X405" s="216">
        <f t="shared" ref="X405:X468" si="50">W406-W405</f>
        <v>0</v>
      </c>
      <c r="Y405" s="211"/>
      <c r="Z405" s="253"/>
    </row>
    <row r="406" spans="1:26">
      <c r="A406" s="150">
        <v>44935</v>
      </c>
      <c r="B406" s="154">
        <f t="shared" si="48"/>
        <v>44935</v>
      </c>
      <c r="C406" s="210">
        <v>1543725</v>
      </c>
      <c r="D406" s="317">
        <f t="shared" si="44"/>
        <v>198</v>
      </c>
      <c r="E406" s="211"/>
      <c r="F406" s="210">
        <v>4829600</v>
      </c>
      <c r="G406" s="212">
        <f t="shared" si="47"/>
        <v>6641</v>
      </c>
      <c r="H406" s="213">
        <f t="shared" si="40"/>
        <v>14.058981233243967</v>
      </c>
      <c r="I406" s="211"/>
      <c r="J406" s="210">
        <v>2639618</v>
      </c>
      <c r="K406" s="212">
        <f t="shared" si="41"/>
        <v>4491</v>
      </c>
      <c r="L406" s="214">
        <f t="shared" si="49"/>
        <v>33.266666666666666</v>
      </c>
      <c r="M406" s="211"/>
      <c r="N406" s="221">
        <v>479921</v>
      </c>
      <c r="O406" s="226">
        <f t="shared" si="45"/>
        <v>767</v>
      </c>
      <c r="P406" s="368"/>
      <c r="Q406" s="42">
        <v>564522</v>
      </c>
      <c r="R406" s="44">
        <f t="shared" si="43"/>
        <v>71</v>
      </c>
      <c r="S406" s="358"/>
      <c r="T406" s="210">
        <v>61227</v>
      </c>
      <c r="U406" s="215">
        <f t="shared" si="46"/>
        <v>0</v>
      </c>
      <c r="V406" s="211"/>
      <c r="W406" s="210">
        <v>45278</v>
      </c>
      <c r="X406" s="216">
        <f t="shared" si="50"/>
        <v>0</v>
      </c>
      <c r="Y406" s="211"/>
      <c r="Z406" s="253"/>
    </row>
    <row r="407" spans="1:26">
      <c r="A407" s="150">
        <v>44936</v>
      </c>
      <c r="B407" s="154">
        <f t="shared" si="48"/>
        <v>44936</v>
      </c>
      <c r="C407" s="210">
        <v>1543923</v>
      </c>
      <c r="D407" s="317">
        <f t="shared" si="44"/>
        <v>136</v>
      </c>
      <c r="E407" s="40" t="s">
        <v>78</v>
      </c>
      <c r="F407" s="210">
        <v>4836241</v>
      </c>
      <c r="G407" s="212">
        <f t="shared" si="47"/>
        <v>7381</v>
      </c>
      <c r="H407" s="213">
        <f t="shared" si="40"/>
        <v>15.876675603217159</v>
      </c>
      <c r="I407" s="40" t="s">
        <v>78</v>
      </c>
      <c r="J407" s="210">
        <v>2644109</v>
      </c>
      <c r="K407" s="212">
        <f t="shared" si="41"/>
        <v>4463</v>
      </c>
      <c r="L407" s="214">
        <f t="shared" si="49"/>
        <v>33.059259259259257</v>
      </c>
      <c r="M407" s="40" t="s">
        <v>78</v>
      </c>
      <c r="N407" s="221">
        <v>480688</v>
      </c>
      <c r="O407" s="226">
        <f t="shared" si="45"/>
        <v>1037</v>
      </c>
      <c r="P407" s="368"/>
      <c r="Q407" s="42">
        <v>564593</v>
      </c>
      <c r="R407" s="44">
        <f t="shared" si="43"/>
        <v>78</v>
      </c>
      <c r="S407" s="358"/>
      <c r="T407" s="210">
        <v>61227</v>
      </c>
      <c r="U407" s="215">
        <f t="shared" si="46"/>
        <v>0</v>
      </c>
      <c r="V407" s="40" t="s">
        <v>78</v>
      </c>
      <c r="W407" s="210">
        <v>45278</v>
      </c>
      <c r="X407" s="216">
        <f t="shared" si="50"/>
        <v>0</v>
      </c>
      <c r="Y407" s="40" t="s">
        <v>78</v>
      </c>
      <c r="Z407" s="253"/>
    </row>
    <row r="408" spans="1:26">
      <c r="A408" s="150">
        <v>44937</v>
      </c>
      <c r="B408" s="154">
        <f t="shared" si="48"/>
        <v>44937</v>
      </c>
      <c r="C408" s="221">
        <v>1544059</v>
      </c>
      <c r="D408" s="318">
        <f t="shared" si="44"/>
        <v>157</v>
      </c>
      <c r="E408" s="222"/>
      <c r="F408" s="221">
        <v>4843622</v>
      </c>
      <c r="G408" s="223">
        <f t="shared" si="47"/>
        <v>7599</v>
      </c>
      <c r="H408" s="224">
        <f t="shared" si="40"/>
        <v>16.517426273458444</v>
      </c>
      <c r="I408" s="222"/>
      <c r="J408" s="221">
        <v>2648572</v>
      </c>
      <c r="K408" s="223">
        <f t="shared" si="41"/>
        <v>4592</v>
      </c>
      <c r="L408" s="225">
        <f>K408/135</f>
        <v>34.014814814814812</v>
      </c>
      <c r="M408" s="222"/>
      <c r="N408" s="221">
        <v>481725</v>
      </c>
      <c r="O408" s="226">
        <f t="shared" si="45"/>
        <v>674</v>
      </c>
      <c r="P408" s="368"/>
      <c r="Q408" s="42">
        <v>564671</v>
      </c>
      <c r="R408" s="44">
        <f t="shared" si="43"/>
        <v>132</v>
      </c>
      <c r="S408" s="358"/>
      <c r="T408" s="217">
        <v>61227</v>
      </c>
      <c r="U408" s="218">
        <f t="shared" si="46"/>
        <v>92</v>
      </c>
      <c r="V408" s="220"/>
      <c r="W408" s="217">
        <v>45278</v>
      </c>
      <c r="X408" s="219">
        <f t="shared" si="50"/>
        <v>0</v>
      </c>
      <c r="Y408" s="220"/>
      <c r="Z408" s="253"/>
    </row>
    <row r="409" spans="1:26">
      <c r="A409" s="150">
        <v>44938</v>
      </c>
      <c r="B409" s="154">
        <f t="shared" si="48"/>
        <v>44938</v>
      </c>
      <c r="C409" s="221">
        <v>1544216</v>
      </c>
      <c r="D409" s="318">
        <f t="shared" si="44"/>
        <v>161</v>
      </c>
      <c r="E409" s="222"/>
      <c r="F409" s="221">
        <v>4851221</v>
      </c>
      <c r="G409" s="223">
        <f t="shared" si="47"/>
        <v>7481</v>
      </c>
      <c r="H409" s="224">
        <f t="shared" si="40"/>
        <v>16.211796246648795</v>
      </c>
      <c r="I409" s="222"/>
      <c r="J409" s="221">
        <v>2653164</v>
      </c>
      <c r="K409" s="223">
        <f t="shared" si="41"/>
        <v>4711</v>
      </c>
      <c r="L409" s="225">
        <f>K409/135</f>
        <v>34.896296296296299</v>
      </c>
      <c r="M409" s="222"/>
      <c r="N409" s="221">
        <v>482399</v>
      </c>
      <c r="O409" s="226">
        <f t="shared" si="45"/>
        <v>831</v>
      </c>
      <c r="P409" s="368"/>
      <c r="Q409" s="42">
        <v>564803</v>
      </c>
      <c r="R409" s="44">
        <f t="shared" si="43"/>
        <v>49</v>
      </c>
      <c r="S409" s="358"/>
      <c r="T409" s="217">
        <v>61319</v>
      </c>
      <c r="U409" s="218">
        <f t="shared" si="46"/>
        <v>165</v>
      </c>
      <c r="V409" s="220"/>
      <c r="W409" s="217">
        <v>45278</v>
      </c>
      <c r="X409" s="219">
        <f t="shared" si="50"/>
        <v>3</v>
      </c>
      <c r="Y409" s="220"/>
      <c r="Z409" s="253"/>
    </row>
    <row r="410" spans="1:26">
      <c r="A410" s="150">
        <v>44939</v>
      </c>
      <c r="B410" s="154">
        <f t="shared" si="48"/>
        <v>44939</v>
      </c>
      <c r="C410" s="221">
        <v>1544377</v>
      </c>
      <c r="D410" s="318">
        <f t="shared" si="44"/>
        <v>13809</v>
      </c>
      <c r="E410" s="222"/>
      <c r="F410" s="221">
        <v>4858702</v>
      </c>
      <c r="G410" s="223">
        <f t="shared" si="47"/>
        <v>7472</v>
      </c>
      <c r="H410" s="224">
        <f t="shared" si="40"/>
        <v>52.777479892761392</v>
      </c>
      <c r="I410" s="222"/>
      <c r="J410" s="221">
        <v>2657875</v>
      </c>
      <c r="K410" s="223">
        <f t="shared" si="41"/>
        <v>4763</v>
      </c>
      <c r="L410" s="225">
        <f t="shared" ref="L410:L473" si="51">K410/135</f>
        <v>35.281481481481478</v>
      </c>
      <c r="M410" s="222"/>
      <c r="N410" s="221">
        <v>483230</v>
      </c>
      <c r="O410" s="226">
        <f t="shared" si="45"/>
        <v>584</v>
      </c>
      <c r="P410" s="368"/>
      <c r="Q410" s="42">
        <v>564852</v>
      </c>
      <c r="R410" s="44">
        <f t="shared" si="43"/>
        <v>255</v>
      </c>
      <c r="S410" s="358"/>
      <c r="T410" s="217">
        <v>61484</v>
      </c>
      <c r="U410" s="218">
        <f t="shared" si="46"/>
        <v>0</v>
      </c>
      <c r="V410" s="220"/>
      <c r="W410" s="217">
        <v>45281</v>
      </c>
      <c r="X410" s="219">
        <f t="shared" si="50"/>
        <v>0</v>
      </c>
      <c r="Y410" s="220"/>
      <c r="Z410" s="253"/>
    </row>
    <row r="411" spans="1:26">
      <c r="A411" s="150">
        <v>44940</v>
      </c>
      <c r="B411" s="154">
        <f t="shared" si="48"/>
        <v>44940</v>
      </c>
      <c r="C411" s="221">
        <v>1558186</v>
      </c>
      <c r="D411" s="318">
        <f t="shared" si="44"/>
        <v>829</v>
      </c>
      <c r="E411" s="222"/>
      <c r="F411" s="221">
        <v>4866174</v>
      </c>
      <c r="G411" s="223">
        <f t="shared" si="47"/>
        <v>13770</v>
      </c>
      <c r="H411" s="224">
        <f t="shared" si="40"/>
        <v>34.86327077747989</v>
      </c>
      <c r="I411" s="222"/>
      <c r="J411" s="221">
        <v>2662638</v>
      </c>
      <c r="K411" s="223">
        <f t="shared" si="41"/>
        <v>251</v>
      </c>
      <c r="L411" s="225">
        <f t="shared" si="51"/>
        <v>1.8592592592592592</v>
      </c>
      <c r="M411" s="222"/>
      <c r="N411" s="221">
        <v>483814</v>
      </c>
      <c r="O411" s="226">
        <f t="shared" si="45"/>
        <v>739</v>
      </c>
      <c r="P411" s="368"/>
      <c r="Q411" s="42">
        <v>565107</v>
      </c>
      <c r="R411" s="44">
        <f t="shared" si="43"/>
        <v>0</v>
      </c>
      <c r="S411" s="358"/>
      <c r="T411" s="217">
        <v>61484</v>
      </c>
      <c r="U411" s="218">
        <f t="shared" si="46"/>
        <v>0</v>
      </c>
      <c r="V411" s="220"/>
      <c r="W411" s="217">
        <v>45281</v>
      </c>
      <c r="X411" s="219">
        <f t="shared" si="50"/>
        <v>0</v>
      </c>
      <c r="Y411" s="220"/>
      <c r="Z411" s="253"/>
    </row>
    <row r="412" spans="1:26">
      <c r="A412" s="150">
        <v>44941</v>
      </c>
      <c r="B412" s="154">
        <f t="shared" si="48"/>
        <v>44941</v>
      </c>
      <c r="C412" s="221">
        <v>1559015</v>
      </c>
      <c r="D412" s="318">
        <f t="shared" si="44"/>
        <v>0</v>
      </c>
      <c r="E412" s="222"/>
      <c r="F412" s="221">
        <v>4879944</v>
      </c>
      <c r="G412" s="223">
        <f t="shared" si="47"/>
        <v>0</v>
      </c>
      <c r="H412" s="224">
        <f t="shared" si="40"/>
        <v>-4.2761394101876675</v>
      </c>
      <c r="I412" s="222"/>
      <c r="J412" s="221">
        <v>2662889</v>
      </c>
      <c r="K412" s="223">
        <f t="shared" si="41"/>
        <v>0</v>
      </c>
      <c r="L412" s="225">
        <f t="shared" si="51"/>
        <v>0</v>
      </c>
      <c r="M412" s="222"/>
      <c r="N412" s="221">
        <v>484553</v>
      </c>
      <c r="O412" s="226">
        <f t="shared" si="45"/>
        <v>0</v>
      </c>
      <c r="P412" s="368"/>
      <c r="Q412" s="42">
        <v>565107</v>
      </c>
      <c r="R412" s="44">
        <f t="shared" si="43"/>
        <v>0</v>
      </c>
      <c r="S412" s="358"/>
      <c r="T412" s="217">
        <v>61484</v>
      </c>
      <c r="U412" s="218">
        <f t="shared" si="46"/>
        <v>0</v>
      </c>
      <c r="V412" s="220"/>
      <c r="W412" s="217">
        <v>45281</v>
      </c>
      <c r="X412" s="219">
        <f t="shared" si="50"/>
        <v>0</v>
      </c>
      <c r="Y412" s="220"/>
      <c r="Z412" s="253"/>
    </row>
    <row r="413" spans="1:26">
      <c r="A413" s="150">
        <v>44942</v>
      </c>
      <c r="B413" s="154">
        <f t="shared" si="48"/>
        <v>44942</v>
      </c>
      <c r="C413" s="221">
        <v>1559015</v>
      </c>
      <c r="D413" s="318">
        <f t="shared" si="44"/>
        <v>204</v>
      </c>
      <c r="E413" s="222"/>
      <c r="F413" s="221">
        <v>4879944</v>
      </c>
      <c r="G413" s="223">
        <f t="shared" si="47"/>
        <v>6926</v>
      </c>
      <c r="H413" s="224">
        <f t="shared" ref="H413:H481" si="52">(G413+D413-1595)/373</f>
        <v>14.839142091152816</v>
      </c>
      <c r="I413" s="222"/>
      <c r="J413" s="221">
        <v>2662889</v>
      </c>
      <c r="K413" s="223">
        <f t="shared" ref="K413:K481" si="53">IF(J414&gt;0,J414-J413," ")</f>
        <v>4758</v>
      </c>
      <c r="L413" s="225">
        <f t="shared" si="51"/>
        <v>35.244444444444447</v>
      </c>
      <c r="M413" s="222"/>
      <c r="N413" s="221">
        <v>484553</v>
      </c>
      <c r="O413" s="226">
        <f t="shared" si="45"/>
        <v>739</v>
      </c>
      <c r="P413" s="368"/>
      <c r="Q413" s="42">
        <v>565107</v>
      </c>
      <c r="R413" s="44">
        <f t="shared" si="43"/>
        <v>146</v>
      </c>
      <c r="S413" s="358"/>
      <c r="T413" s="217">
        <v>61484</v>
      </c>
      <c r="U413" s="218">
        <f t="shared" si="46"/>
        <v>0</v>
      </c>
      <c r="V413" s="220"/>
      <c r="W413" s="217">
        <v>45281</v>
      </c>
      <c r="X413" s="219">
        <f t="shared" si="50"/>
        <v>0</v>
      </c>
      <c r="Y413" s="220"/>
      <c r="Z413" s="253"/>
    </row>
    <row r="414" spans="1:26">
      <c r="A414" s="150">
        <v>44943</v>
      </c>
      <c r="B414" s="154">
        <f t="shared" si="48"/>
        <v>44943</v>
      </c>
      <c r="C414" s="221">
        <v>1559219</v>
      </c>
      <c r="D414" s="318">
        <f t="shared" si="44"/>
        <v>201</v>
      </c>
      <c r="E414" s="222"/>
      <c r="F414" s="221">
        <v>4886870</v>
      </c>
      <c r="G414" s="223">
        <f t="shared" si="47"/>
        <v>7208</v>
      </c>
      <c r="H414" s="224">
        <f t="shared" si="52"/>
        <v>15.587131367292224</v>
      </c>
      <c r="I414" s="222"/>
      <c r="J414" s="221">
        <v>2667647</v>
      </c>
      <c r="K414" s="223">
        <f t="shared" si="53"/>
        <v>5073</v>
      </c>
      <c r="L414" s="225">
        <f t="shared" si="51"/>
        <v>37.577777777777776</v>
      </c>
      <c r="M414" s="222"/>
      <c r="N414" s="221">
        <v>485292</v>
      </c>
      <c r="O414" s="226">
        <f t="shared" si="45"/>
        <v>706</v>
      </c>
      <c r="P414" s="368"/>
      <c r="Q414" s="42">
        <v>565253</v>
      </c>
      <c r="R414" s="44">
        <f t="shared" si="43"/>
        <v>132</v>
      </c>
      <c r="S414" s="358"/>
      <c r="T414" s="217">
        <v>61484</v>
      </c>
      <c r="U414" s="218">
        <f t="shared" si="46"/>
        <v>24</v>
      </c>
      <c r="V414" s="220"/>
      <c r="W414" s="217">
        <v>45281</v>
      </c>
      <c r="X414" s="219">
        <f t="shared" si="50"/>
        <v>30</v>
      </c>
      <c r="Y414" s="220"/>
      <c r="Z414" s="253"/>
    </row>
    <row r="415" spans="1:26">
      <c r="A415" s="150">
        <v>44944</v>
      </c>
      <c r="B415" s="154">
        <f t="shared" si="48"/>
        <v>44944</v>
      </c>
      <c r="C415" s="221">
        <v>1559420</v>
      </c>
      <c r="D415" s="318">
        <f t="shared" si="44"/>
        <v>10557</v>
      </c>
      <c r="E415" s="222"/>
      <c r="F415" s="221">
        <v>4894078</v>
      </c>
      <c r="G415" s="223">
        <f t="shared" si="47"/>
        <v>6911</v>
      </c>
      <c r="H415" s="224">
        <f t="shared" si="52"/>
        <v>42.55495978552279</v>
      </c>
      <c r="I415" s="222"/>
      <c r="J415" s="221">
        <v>2672720</v>
      </c>
      <c r="K415" s="223">
        <f t="shared" si="53"/>
        <v>5284</v>
      </c>
      <c r="L415" s="225">
        <f t="shared" si="51"/>
        <v>39.140740740740739</v>
      </c>
      <c r="M415" s="222"/>
      <c r="N415" s="221">
        <v>485998</v>
      </c>
      <c r="O415" s="226">
        <f t="shared" si="45"/>
        <v>667</v>
      </c>
      <c r="P415" s="368"/>
      <c r="Q415" s="42">
        <v>565385</v>
      </c>
      <c r="R415" s="44">
        <f t="shared" si="43"/>
        <v>96</v>
      </c>
      <c r="S415" s="358"/>
      <c r="T415" s="217">
        <v>61508</v>
      </c>
      <c r="U415" s="218">
        <f t="shared" si="46"/>
        <v>108</v>
      </c>
      <c r="V415" s="220"/>
      <c r="W415" s="217">
        <v>45311</v>
      </c>
      <c r="X415" s="219">
        <f t="shared" si="50"/>
        <v>0</v>
      </c>
      <c r="Y415" s="220"/>
      <c r="Z415" s="253"/>
    </row>
    <row r="416" spans="1:26">
      <c r="A416" s="150">
        <v>44945</v>
      </c>
      <c r="B416" s="154">
        <f t="shared" si="48"/>
        <v>44945</v>
      </c>
      <c r="C416" s="221">
        <v>1569977</v>
      </c>
      <c r="D416" s="318">
        <f t="shared" si="44"/>
        <v>106</v>
      </c>
      <c r="E416" s="222"/>
      <c r="F416" s="221">
        <v>4900989</v>
      </c>
      <c r="G416" s="223">
        <f t="shared" si="47"/>
        <v>7836</v>
      </c>
      <c r="H416" s="224">
        <f t="shared" si="52"/>
        <v>17.01608579088472</v>
      </c>
      <c r="I416" s="222"/>
      <c r="J416" s="221">
        <v>2678004</v>
      </c>
      <c r="K416" s="223">
        <f t="shared" si="53"/>
        <v>5146</v>
      </c>
      <c r="L416" s="225">
        <f t="shared" si="51"/>
        <v>38.11851851851852</v>
      </c>
      <c r="M416" s="222"/>
      <c r="N416" s="221">
        <v>486665</v>
      </c>
      <c r="O416" s="226">
        <f t="shared" si="45"/>
        <v>806</v>
      </c>
      <c r="P416" s="368"/>
      <c r="Q416" s="42">
        <v>565481</v>
      </c>
      <c r="R416" s="44">
        <f t="shared" si="43"/>
        <v>42</v>
      </c>
      <c r="S416" s="358"/>
      <c r="T416" s="217">
        <v>61616</v>
      </c>
      <c r="U416" s="218">
        <f t="shared" si="46"/>
        <v>0</v>
      </c>
      <c r="V416" s="220"/>
      <c r="W416" s="217">
        <v>45311</v>
      </c>
      <c r="X416" s="219">
        <f t="shared" si="50"/>
        <v>0</v>
      </c>
      <c r="Y416" s="220"/>
      <c r="Z416" s="253"/>
    </row>
    <row r="417" spans="1:26">
      <c r="A417" s="150">
        <v>44946</v>
      </c>
      <c r="B417" s="154">
        <f t="shared" si="48"/>
        <v>44946</v>
      </c>
      <c r="C417" s="221">
        <v>1570083</v>
      </c>
      <c r="D417" s="318">
        <f t="shared" si="44"/>
        <v>61</v>
      </c>
      <c r="E417" s="222"/>
      <c r="F417" s="221">
        <v>4908825</v>
      </c>
      <c r="G417" s="223">
        <f t="shared" si="47"/>
        <v>7720</v>
      </c>
      <c r="H417" s="224">
        <f t="shared" si="52"/>
        <v>16.584450402144771</v>
      </c>
      <c r="I417" s="222"/>
      <c r="J417" s="221">
        <v>2683150</v>
      </c>
      <c r="K417" s="223">
        <f t="shared" si="53"/>
        <v>4856</v>
      </c>
      <c r="L417" s="225">
        <f t="shared" si="51"/>
        <v>35.970370370370368</v>
      </c>
      <c r="M417" s="222"/>
      <c r="N417" s="221">
        <v>487471</v>
      </c>
      <c r="O417" s="226">
        <f t="shared" si="45"/>
        <v>603</v>
      </c>
      <c r="P417" s="368"/>
      <c r="Q417" s="42">
        <v>565523</v>
      </c>
      <c r="R417" s="44">
        <f t="shared" si="43"/>
        <v>82</v>
      </c>
      <c r="S417" s="358"/>
      <c r="T417" s="217">
        <v>61616</v>
      </c>
      <c r="U417" s="218">
        <f t="shared" si="46"/>
        <v>231</v>
      </c>
      <c r="V417" s="220"/>
      <c r="W417" s="217">
        <v>45311</v>
      </c>
      <c r="X417" s="219">
        <f t="shared" si="50"/>
        <v>14</v>
      </c>
      <c r="Y417" s="220"/>
      <c r="Z417" s="253"/>
    </row>
    <row r="418" spans="1:26">
      <c r="A418" s="150">
        <v>44947</v>
      </c>
      <c r="B418" s="154">
        <f t="shared" si="48"/>
        <v>44947</v>
      </c>
      <c r="C418" s="221">
        <v>1570144</v>
      </c>
      <c r="D418" s="318">
        <f t="shared" si="44"/>
        <v>76</v>
      </c>
      <c r="E418" s="222"/>
      <c r="F418" s="221">
        <v>4916545</v>
      </c>
      <c r="G418" s="223">
        <f t="shared" si="47"/>
        <v>14172</v>
      </c>
      <c r="H418" s="224">
        <f t="shared" si="52"/>
        <v>33.922252010723859</v>
      </c>
      <c r="I418" s="222"/>
      <c r="J418" s="221">
        <v>2688006</v>
      </c>
      <c r="K418" s="223">
        <f t="shared" si="53"/>
        <v>3837</v>
      </c>
      <c r="L418" s="225">
        <f t="shared" si="51"/>
        <v>28.422222222222221</v>
      </c>
      <c r="M418" s="222"/>
      <c r="N418" s="221">
        <v>488074</v>
      </c>
      <c r="O418" s="226">
        <f t="shared" si="45"/>
        <v>681</v>
      </c>
      <c r="P418" s="368"/>
      <c r="Q418" s="42">
        <v>565605</v>
      </c>
      <c r="R418" s="44">
        <f t="shared" si="43"/>
        <v>0</v>
      </c>
      <c r="S418" s="358"/>
      <c r="T418" s="217">
        <v>61847</v>
      </c>
      <c r="U418" s="218">
        <f t="shared" si="46"/>
        <v>0</v>
      </c>
      <c r="V418" s="220"/>
      <c r="W418" s="217">
        <v>45325</v>
      </c>
      <c r="X418" s="219">
        <f t="shared" si="50"/>
        <v>0</v>
      </c>
      <c r="Y418" s="220"/>
      <c r="Z418" s="253"/>
    </row>
    <row r="419" spans="1:26">
      <c r="A419" s="150">
        <v>44948</v>
      </c>
      <c r="B419" s="154">
        <f t="shared" si="48"/>
        <v>44948</v>
      </c>
      <c r="C419" s="221">
        <v>1570220</v>
      </c>
      <c r="D419" s="318">
        <f>IF(C420&gt;0,C420-C419," ")</f>
        <v>0</v>
      </c>
      <c r="E419" s="222"/>
      <c r="F419" s="221">
        <v>4930717</v>
      </c>
      <c r="G419" s="223">
        <f t="shared" si="47"/>
        <v>0</v>
      </c>
      <c r="H419" s="224">
        <f t="shared" si="52"/>
        <v>-4.2761394101876675</v>
      </c>
      <c r="I419" s="222"/>
      <c r="J419" s="221">
        <v>2691843</v>
      </c>
      <c r="K419" s="223">
        <f t="shared" si="53"/>
        <v>0</v>
      </c>
      <c r="L419" s="225">
        <f t="shared" si="51"/>
        <v>0</v>
      </c>
      <c r="M419" s="222"/>
      <c r="N419" s="221">
        <v>488755</v>
      </c>
      <c r="O419" s="226">
        <f t="shared" si="45"/>
        <v>0</v>
      </c>
      <c r="P419" s="368"/>
      <c r="Q419" s="42">
        <v>565605</v>
      </c>
      <c r="R419" s="44">
        <f t="shared" si="43"/>
        <v>0</v>
      </c>
      <c r="S419" s="358"/>
      <c r="T419" s="217">
        <v>61847</v>
      </c>
      <c r="U419" s="218">
        <f t="shared" si="46"/>
        <v>0</v>
      </c>
      <c r="V419" s="220"/>
      <c r="W419" s="217">
        <v>45325</v>
      </c>
      <c r="X419" s="219">
        <f t="shared" si="50"/>
        <v>0</v>
      </c>
      <c r="Y419" s="220"/>
      <c r="Z419" s="253"/>
    </row>
    <row r="420" spans="1:26">
      <c r="A420" s="150">
        <v>44949</v>
      </c>
      <c r="B420" s="154">
        <f t="shared" si="48"/>
        <v>44949</v>
      </c>
      <c r="C420" s="221">
        <v>1570220</v>
      </c>
      <c r="D420" s="318">
        <f t="shared" si="44"/>
        <v>14365</v>
      </c>
      <c r="E420" s="222"/>
      <c r="F420" s="221">
        <v>4930717</v>
      </c>
      <c r="G420" s="223">
        <f t="shared" si="47"/>
        <v>4787</v>
      </c>
      <c r="H420" s="224">
        <f t="shared" si="52"/>
        <v>47.069705093833782</v>
      </c>
      <c r="I420" s="222"/>
      <c r="J420" s="221">
        <v>2691843</v>
      </c>
      <c r="K420" s="223">
        <f t="shared" si="53"/>
        <v>5043</v>
      </c>
      <c r="L420" s="225">
        <f t="shared" si="51"/>
        <v>37.355555555555554</v>
      </c>
      <c r="M420" s="222"/>
      <c r="N420" s="221">
        <v>488755</v>
      </c>
      <c r="O420" s="226">
        <f t="shared" si="45"/>
        <v>656</v>
      </c>
      <c r="P420" s="368"/>
      <c r="Q420" s="42">
        <v>565605</v>
      </c>
      <c r="R420" s="44">
        <f t="shared" si="43"/>
        <v>47</v>
      </c>
      <c r="S420" s="358"/>
      <c r="T420" s="217">
        <v>61847</v>
      </c>
      <c r="U420" s="218">
        <f t="shared" si="46"/>
        <v>0</v>
      </c>
      <c r="V420" s="220"/>
      <c r="W420" s="217">
        <v>45325</v>
      </c>
      <c r="X420" s="219">
        <f t="shared" si="50"/>
        <v>0</v>
      </c>
      <c r="Y420" s="220"/>
      <c r="Z420" s="253"/>
    </row>
    <row r="421" spans="1:26">
      <c r="A421" s="150">
        <v>44950</v>
      </c>
      <c r="B421" s="154">
        <f t="shared" si="48"/>
        <v>44950</v>
      </c>
      <c r="C421" s="221">
        <v>1584585</v>
      </c>
      <c r="D421" s="318">
        <f t="shared" si="44"/>
        <v>5552</v>
      </c>
      <c r="E421" s="222"/>
      <c r="F421" s="221">
        <v>4935504</v>
      </c>
      <c r="G421" s="223">
        <f t="shared" si="47"/>
        <v>16005</v>
      </c>
      <c r="H421" s="224">
        <f t="shared" si="52"/>
        <v>53.517426273458447</v>
      </c>
      <c r="I421" s="222"/>
      <c r="J421" s="221">
        <v>2696886</v>
      </c>
      <c r="K421" s="223">
        <f t="shared" si="53"/>
        <v>5097</v>
      </c>
      <c r="L421" s="225">
        <f t="shared" si="51"/>
        <v>37.755555555555553</v>
      </c>
      <c r="M421" s="222"/>
      <c r="N421" s="221">
        <v>489411</v>
      </c>
      <c r="O421" s="226">
        <f t="shared" si="45"/>
        <v>909</v>
      </c>
      <c r="P421" s="368"/>
      <c r="Q421" s="42">
        <v>565652</v>
      </c>
      <c r="R421" s="44">
        <f t="shared" si="43"/>
        <v>47</v>
      </c>
      <c r="S421" s="358"/>
      <c r="T421" s="217">
        <v>61847</v>
      </c>
      <c r="U421" s="218">
        <f t="shared" si="46"/>
        <v>78</v>
      </c>
      <c r="V421" s="220"/>
      <c r="W421" s="217">
        <v>45325</v>
      </c>
      <c r="X421" s="219">
        <f t="shared" si="50"/>
        <v>0</v>
      </c>
      <c r="Y421" s="220"/>
      <c r="Z421" s="253"/>
    </row>
    <row r="422" spans="1:26">
      <c r="A422" s="150">
        <v>44951</v>
      </c>
      <c r="B422" s="154">
        <f t="shared" si="48"/>
        <v>44951</v>
      </c>
      <c r="C422" s="221">
        <v>1590137</v>
      </c>
      <c r="D422" s="318">
        <f t="shared" si="44"/>
        <v>0</v>
      </c>
      <c r="E422" s="222"/>
      <c r="F422" s="221">
        <v>4951509</v>
      </c>
      <c r="G422" s="223">
        <f t="shared" si="47"/>
        <v>0</v>
      </c>
      <c r="H422" s="224">
        <f t="shared" si="52"/>
        <v>-4.2761394101876675</v>
      </c>
      <c r="I422" s="222"/>
      <c r="J422" s="221">
        <v>2701983</v>
      </c>
      <c r="K422" s="223">
        <f t="shared" si="53"/>
        <v>0</v>
      </c>
      <c r="L422" s="225">
        <f t="shared" si="51"/>
        <v>0</v>
      </c>
      <c r="M422" s="222"/>
      <c r="N422" s="221">
        <v>490320</v>
      </c>
      <c r="O422" s="226">
        <f t="shared" si="45"/>
        <v>0</v>
      </c>
      <c r="P422" s="368"/>
      <c r="Q422" s="42">
        <v>565699</v>
      </c>
      <c r="R422" s="44">
        <f t="shared" si="43"/>
        <v>73</v>
      </c>
      <c r="S422" s="358"/>
      <c r="T422" s="217">
        <v>61925</v>
      </c>
      <c r="U422" s="218">
        <f>T423-T422</f>
        <v>0</v>
      </c>
      <c r="V422" s="220"/>
      <c r="W422" s="217">
        <v>45325</v>
      </c>
      <c r="X422" s="219">
        <f t="shared" si="50"/>
        <v>0</v>
      </c>
      <c r="Y422" s="220"/>
      <c r="Z422" s="253"/>
    </row>
    <row r="423" spans="1:26">
      <c r="A423" s="150">
        <v>44952</v>
      </c>
      <c r="B423" s="154">
        <f t="shared" si="48"/>
        <v>44952</v>
      </c>
      <c r="C423" s="221">
        <v>1590137</v>
      </c>
      <c r="D423" s="318">
        <f t="shared" si="44"/>
        <v>38</v>
      </c>
      <c r="E423" s="222"/>
      <c r="F423" s="221">
        <v>4951509</v>
      </c>
      <c r="G423" s="223">
        <f t="shared" si="47"/>
        <v>8688</v>
      </c>
      <c r="H423" s="224">
        <f t="shared" si="52"/>
        <v>19.117962466487935</v>
      </c>
      <c r="I423" s="222"/>
      <c r="J423" s="221">
        <v>2701983</v>
      </c>
      <c r="K423" s="223">
        <f>IF(J424&gt;0,J424-J423," ")</f>
        <v>8900</v>
      </c>
      <c r="L423" s="225">
        <f>K423/135</f>
        <v>65.925925925925924</v>
      </c>
      <c r="M423" s="222"/>
      <c r="N423" s="221">
        <v>490320</v>
      </c>
      <c r="O423" s="226">
        <f t="shared" si="45"/>
        <v>909</v>
      </c>
      <c r="P423" s="368"/>
      <c r="Q423" s="42">
        <v>565772</v>
      </c>
      <c r="R423" s="44">
        <f t="shared" si="43"/>
        <v>163</v>
      </c>
      <c r="S423" s="358"/>
      <c r="T423" s="217">
        <v>61925</v>
      </c>
      <c r="U423" s="218">
        <f t="shared" si="46"/>
        <v>49</v>
      </c>
      <c r="V423" s="220"/>
      <c r="W423" s="217">
        <v>45325</v>
      </c>
      <c r="X423" s="219">
        <f t="shared" si="50"/>
        <v>0</v>
      </c>
      <c r="Y423" s="220"/>
      <c r="Z423" s="253"/>
    </row>
    <row r="424" spans="1:26">
      <c r="A424" s="150">
        <v>44953</v>
      </c>
      <c r="B424" s="154">
        <f t="shared" si="48"/>
        <v>44953</v>
      </c>
      <c r="C424" s="221">
        <v>1590175</v>
      </c>
      <c r="D424" s="318">
        <f t="shared" si="44"/>
        <v>38</v>
      </c>
      <c r="E424" s="222"/>
      <c r="F424" s="221">
        <v>4960197</v>
      </c>
      <c r="G424" s="223">
        <f t="shared" si="47"/>
        <v>8863</v>
      </c>
      <c r="H424" s="224">
        <f t="shared" si="52"/>
        <v>19.587131367292226</v>
      </c>
      <c r="I424" s="222"/>
      <c r="J424" s="221">
        <v>2710883</v>
      </c>
      <c r="K424" s="223">
        <f t="shared" si="53"/>
        <v>5450</v>
      </c>
      <c r="L424" s="225">
        <f t="shared" si="51"/>
        <v>40.370370370370374</v>
      </c>
      <c r="M424" s="222"/>
      <c r="N424" s="221">
        <v>491229</v>
      </c>
      <c r="O424" s="226">
        <f t="shared" si="45"/>
        <v>958</v>
      </c>
      <c r="P424" s="368"/>
      <c r="Q424" s="42">
        <v>565935</v>
      </c>
      <c r="R424" s="44">
        <f t="shared" si="43"/>
        <v>275</v>
      </c>
      <c r="S424" s="358"/>
      <c r="T424" s="217">
        <v>61974</v>
      </c>
      <c r="U424" s="218">
        <f t="shared" si="46"/>
        <v>135</v>
      </c>
      <c r="V424" s="220"/>
      <c r="W424" s="217">
        <v>45325</v>
      </c>
      <c r="X424" s="219">
        <f t="shared" si="50"/>
        <v>2</v>
      </c>
      <c r="Y424" s="220"/>
      <c r="Z424" s="253"/>
    </row>
    <row r="425" spans="1:26">
      <c r="A425" s="150">
        <v>44954</v>
      </c>
      <c r="B425" s="154">
        <f t="shared" si="48"/>
        <v>44954</v>
      </c>
      <c r="C425" s="221">
        <v>1590213</v>
      </c>
      <c r="D425" s="318">
        <f t="shared" si="44"/>
        <v>149</v>
      </c>
      <c r="E425" s="222"/>
      <c r="F425" s="221">
        <v>4969060</v>
      </c>
      <c r="G425" s="223">
        <f t="shared" si="47"/>
        <v>16660</v>
      </c>
      <c r="H425" s="224">
        <f t="shared" si="52"/>
        <v>40.788203753351205</v>
      </c>
      <c r="I425" s="222"/>
      <c r="J425" s="221">
        <v>2716333</v>
      </c>
      <c r="K425" s="223">
        <f t="shared" si="53"/>
        <v>24</v>
      </c>
      <c r="L425" s="225">
        <f t="shared" si="51"/>
        <v>0.17777777777777778</v>
      </c>
      <c r="M425" s="222"/>
      <c r="N425" s="221">
        <v>492187</v>
      </c>
      <c r="O425" s="226">
        <f t="shared" si="45"/>
        <v>652</v>
      </c>
      <c r="P425" s="368"/>
      <c r="Q425" s="42">
        <v>566210</v>
      </c>
      <c r="R425" s="44">
        <f t="shared" si="43"/>
        <v>0</v>
      </c>
      <c r="S425" s="358"/>
      <c r="T425" s="217">
        <v>62109</v>
      </c>
      <c r="U425" s="218">
        <f t="shared" si="46"/>
        <v>0</v>
      </c>
      <c r="V425" s="220"/>
      <c r="W425" s="217">
        <v>45327</v>
      </c>
      <c r="X425" s="219">
        <f t="shared" si="50"/>
        <v>0</v>
      </c>
      <c r="Y425" s="220"/>
      <c r="Z425" s="253"/>
    </row>
    <row r="426" spans="1:26">
      <c r="A426" s="150">
        <v>44955</v>
      </c>
      <c r="B426" s="154">
        <f t="shared" si="48"/>
        <v>44955</v>
      </c>
      <c r="C426" s="221">
        <v>1590362</v>
      </c>
      <c r="D426" s="318">
        <f t="shared" si="44"/>
        <v>0</v>
      </c>
      <c r="E426" s="222"/>
      <c r="F426" s="221">
        <v>4985720</v>
      </c>
      <c r="G426" s="223">
        <f t="shared" si="47"/>
        <v>0</v>
      </c>
      <c r="H426" s="224">
        <f t="shared" si="52"/>
        <v>-4.2761394101876675</v>
      </c>
      <c r="I426" s="222"/>
      <c r="J426" s="221">
        <v>2716357</v>
      </c>
      <c r="K426" s="223">
        <f t="shared" si="53"/>
        <v>0</v>
      </c>
      <c r="L426" s="225">
        <f t="shared" si="51"/>
        <v>0</v>
      </c>
      <c r="M426" s="222"/>
      <c r="N426" s="221">
        <v>492839</v>
      </c>
      <c r="O426" s="226">
        <f t="shared" si="45"/>
        <v>0</v>
      </c>
      <c r="P426" s="368"/>
      <c r="Q426" s="42">
        <v>566210</v>
      </c>
      <c r="R426" s="44">
        <f t="shared" si="43"/>
        <v>0</v>
      </c>
      <c r="S426" s="358"/>
      <c r="T426" s="217">
        <v>62109</v>
      </c>
      <c r="U426" s="218">
        <f t="shared" si="46"/>
        <v>0</v>
      </c>
      <c r="V426" s="220"/>
      <c r="W426" s="217">
        <v>45327</v>
      </c>
      <c r="X426" s="219">
        <f t="shared" si="50"/>
        <v>0</v>
      </c>
      <c r="Y426" s="220"/>
      <c r="Z426" s="253"/>
    </row>
    <row r="427" spans="1:26">
      <c r="A427" s="150">
        <v>44956</v>
      </c>
      <c r="B427" s="154">
        <f t="shared" si="48"/>
        <v>44956</v>
      </c>
      <c r="C427" s="221">
        <v>1590362</v>
      </c>
      <c r="D427" s="318">
        <f t="shared" si="44"/>
        <v>24</v>
      </c>
      <c r="E427" s="222"/>
      <c r="F427" s="221">
        <v>4985720</v>
      </c>
      <c r="G427" s="223">
        <f t="shared" si="47"/>
        <v>7376</v>
      </c>
      <c r="H427" s="224">
        <f t="shared" si="52"/>
        <v>15.563002680965148</v>
      </c>
      <c r="I427" s="222"/>
      <c r="J427" s="221">
        <v>2716357</v>
      </c>
      <c r="K427" s="223">
        <f t="shared" si="53"/>
        <v>8833</v>
      </c>
      <c r="L427" s="225">
        <f t="shared" si="51"/>
        <v>65.42962962962963</v>
      </c>
      <c r="M427" s="222"/>
      <c r="N427" s="221">
        <v>492839</v>
      </c>
      <c r="O427" s="226">
        <f t="shared" si="45"/>
        <v>754</v>
      </c>
      <c r="P427" s="368"/>
      <c r="Q427" s="42">
        <v>566210</v>
      </c>
      <c r="R427" s="44">
        <f t="shared" si="43"/>
        <v>69</v>
      </c>
      <c r="S427" s="358"/>
      <c r="T427" s="217">
        <v>62109</v>
      </c>
      <c r="U427" s="218">
        <f t="shared" si="46"/>
        <v>0</v>
      </c>
      <c r="V427" s="220"/>
      <c r="W427" s="217">
        <v>45327</v>
      </c>
      <c r="X427" s="219">
        <f t="shared" si="50"/>
        <v>0</v>
      </c>
      <c r="Y427" s="220"/>
      <c r="Z427" s="253"/>
    </row>
    <row r="428" spans="1:26">
      <c r="A428" s="150">
        <v>44957</v>
      </c>
      <c r="B428" s="154">
        <f t="shared" si="48"/>
        <v>44957</v>
      </c>
      <c r="C428" s="221">
        <v>1590386</v>
      </c>
      <c r="D428" s="318">
        <f t="shared" si="44"/>
        <v>16</v>
      </c>
      <c r="E428" s="222"/>
      <c r="F428" s="221">
        <v>4993096</v>
      </c>
      <c r="G428" s="223">
        <f t="shared" si="47"/>
        <v>7590</v>
      </c>
      <c r="H428" s="224">
        <f t="shared" si="52"/>
        <v>16.115281501340483</v>
      </c>
      <c r="I428" s="222"/>
      <c r="J428" s="221">
        <v>2725190</v>
      </c>
      <c r="K428" s="223">
        <f t="shared" si="53"/>
        <v>5214</v>
      </c>
      <c r="L428" s="225">
        <f t="shared" si="51"/>
        <v>38.62222222222222</v>
      </c>
      <c r="M428" s="222"/>
      <c r="N428" s="221">
        <v>493593</v>
      </c>
      <c r="O428" s="226">
        <f t="shared" si="45"/>
        <v>0</v>
      </c>
      <c r="P428" s="368"/>
      <c r="Q428" s="42">
        <v>566279</v>
      </c>
      <c r="R428" s="44">
        <f t="shared" si="43"/>
        <v>89</v>
      </c>
      <c r="S428" s="358"/>
      <c r="T428" s="217">
        <v>62109</v>
      </c>
      <c r="U428" s="218">
        <f t="shared" si="46"/>
        <v>38</v>
      </c>
      <c r="V428" s="220"/>
      <c r="W428" s="217">
        <v>45327</v>
      </c>
      <c r="X428" s="219">
        <f t="shared" si="50"/>
        <v>0</v>
      </c>
      <c r="Y428" s="220"/>
      <c r="Z428" s="253"/>
    </row>
    <row r="429" spans="1:26">
      <c r="A429" s="150">
        <v>44958</v>
      </c>
      <c r="B429" s="154">
        <f t="shared" si="48"/>
        <v>44958</v>
      </c>
      <c r="C429" s="221">
        <v>1590402</v>
      </c>
      <c r="D429" s="318">
        <f t="shared" si="44"/>
        <v>11176</v>
      </c>
      <c r="E429" s="222"/>
      <c r="F429" s="221">
        <v>5000686</v>
      </c>
      <c r="G429" s="223">
        <f t="shared" si="47"/>
        <v>7636</v>
      </c>
      <c r="H429" s="224">
        <f t="shared" si="52"/>
        <v>46.158176943699729</v>
      </c>
      <c r="I429" s="222"/>
      <c r="J429" s="221">
        <v>2730404</v>
      </c>
      <c r="K429" s="223">
        <f t="shared" si="53"/>
        <v>5570</v>
      </c>
      <c r="L429" s="225">
        <f t="shared" si="51"/>
        <v>41.25925925925926</v>
      </c>
      <c r="M429" s="222"/>
      <c r="N429" s="221">
        <v>493593</v>
      </c>
      <c r="O429" s="226">
        <f t="shared" si="45"/>
        <v>1460</v>
      </c>
      <c r="P429" s="368"/>
      <c r="Q429" s="42">
        <v>566368</v>
      </c>
      <c r="R429" s="44">
        <f t="shared" si="43"/>
        <v>216</v>
      </c>
      <c r="S429" s="358"/>
      <c r="T429" s="217">
        <v>62147</v>
      </c>
      <c r="U429" s="218">
        <f t="shared" si="46"/>
        <v>95</v>
      </c>
      <c r="V429" s="220"/>
      <c r="W429" s="217">
        <v>45327</v>
      </c>
      <c r="X429" s="219">
        <f t="shared" si="50"/>
        <v>0</v>
      </c>
      <c r="Y429" s="220"/>
      <c r="Z429" s="253"/>
    </row>
    <row r="430" spans="1:26">
      <c r="A430" s="150">
        <v>44959</v>
      </c>
      <c r="B430" s="154">
        <f t="shared" si="48"/>
        <v>44959</v>
      </c>
      <c r="C430" s="221">
        <v>1601578</v>
      </c>
      <c r="D430" s="318">
        <f t="shared" si="44"/>
        <v>6434</v>
      </c>
      <c r="E430" s="222"/>
      <c r="F430" s="221">
        <v>5008322</v>
      </c>
      <c r="G430" s="223">
        <f t="shared" si="47"/>
        <v>5921</v>
      </c>
      <c r="H430" s="224">
        <f t="shared" si="52"/>
        <v>28.847184986595174</v>
      </c>
      <c r="I430" s="222"/>
      <c r="J430" s="221">
        <v>2735974</v>
      </c>
      <c r="K430" s="223">
        <f t="shared" si="53"/>
        <v>9734</v>
      </c>
      <c r="L430" s="225">
        <f t="shared" si="51"/>
        <v>72.103703703703701</v>
      </c>
      <c r="M430" s="222"/>
      <c r="N430" s="221">
        <v>495053</v>
      </c>
      <c r="O430" s="226">
        <f t="shared" si="45"/>
        <v>787</v>
      </c>
      <c r="P430" s="368"/>
      <c r="Q430" s="42">
        <v>566584</v>
      </c>
      <c r="R430" s="44">
        <f t="shared" si="43"/>
        <v>164</v>
      </c>
      <c r="S430" s="358"/>
      <c r="T430" s="217">
        <v>62242</v>
      </c>
      <c r="U430" s="218">
        <f t="shared" si="46"/>
        <v>0</v>
      </c>
      <c r="V430" s="220"/>
      <c r="W430" s="217">
        <v>45327</v>
      </c>
      <c r="X430" s="219">
        <f t="shared" si="50"/>
        <v>0</v>
      </c>
      <c r="Y430" s="220"/>
      <c r="Z430" s="253"/>
    </row>
    <row r="431" spans="1:26">
      <c r="A431" s="150">
        <v>44960</v>
      </c>
      <c r="B431" s="154">
        <f t="shared" si="48"/>
        <v>44960</v>
      </c>
      <c r="C431" s="221">
        <v>1608012</v>
      </c>
      <c r="D431" s="318">
        <f t="shared" si="44"/>
        <v>2884</v>
      </c>
      <c r="E431" s="222"/>
      <c r="F431" s="221">
        <v>5014243</v>
      </c>
      <c r="G431" s="223">
        <f t="shared" si="47"/>
        <v>6228</v>
      </c>
      <c r="H431" s="224">
        <f t="shared" si="52"/>
        <v>20.152815013404826</v>
      </c>
      <c r="I431" s="222"/>
      <c r="J431" s="221">
        <v>2745708</v>
      </c>
      <c r="K431" s="223">
        <f t="shared" si="53"/>
        <v>5070</v>
      </c>
      <c r="L431" s="225">
        <f t="shared" si="51"/>
        <v>37.555555555555557</v>
      </c>
      <c r="M431" s="222"/>
      <c r="N431" s="221">
        <v>495840</v>
      </c>
      <c r="O431" s="226">
        <f t="shared" si="45"/>
        <v>914</v>
      </c>
      <c r="P431" s="368"/>
      <c r="Q431" s="42">
        <v>566748</v>
      </c>
      <c r="R431" s="44">
        <f t="shared" si="43"/>
        <v>464</v>
      </c>
      <c r="S431" s="358"/>
      <c r="T431" s="217">
        <v>62242</v>
      </c>
      <c r="U431" s="218">
        <f t="shared" si="46"/>
        <v>199</v>
      </c>
      <c r="V431" s="220"/>
      <c r="W431" s="217">
        <v>45327</v>
      </c>
      <c r="X431" s="219">
        <f t="shared" si="50"/>
        <v>10</v>
      </c>
      <c r="Y431" s="220"/>
      <c r="Z431" s="253"/>
    </row>
    <row r="432" spans="1:26">
      <c r="A432" s="150">
        <v>44961</v>
      </c>
      <c r="B432" s="154">
        <f t="shared" si="48"/>
        <v>44961</v>
      </c>
      <c r="C432" s="221">
        <v>1610896</v>
      </c>
      <c r="D432" s="318">
        <f t="shared" si="44"/>
        <v>301</v>
      </c>
      <c r="E432" s="222"/>
      <c r="F432" s="221">
        <v>5020471</v>
      </c>
      <c r="G432" s="223">
        <f t="shared" si="47"/>
        <v>9737</v>
      </c>
      <c r="H432" s="224">
        <f t="shared" si="52"/>
        <v>22.635388739946382</v>
      </c>
      <c r="I432" s="222"/>
      <c r="J432" s="221">
        <v>2750778</v>
      </c>
      <c r="K432" s="223">
        <f t="shared" si="53"/>
        <v>0</v>
      </c>
      <c r="L432" s="225">
        <f t="shared" si="51"/>
        <v>0</v>
      </c>
      <c r="M432" s="222"/>
      <c r="N432" s="221">
        <v>496754</v>
      </c>
      <c r="O432" s="226">
        <f t="shared" si="45"/>
        <v>776</v>
      </c>
      <c r="P432" s="365" t="s">
        <v>78</v>
      </c>
      <c r="Q432" s="42">
        <v>567212</v>
      </c>
      <c r="R432" s="44">
        <f t="shared" si="43"/>
        <v>0</v>
      </c>
      <c r="S432" s="358"/>
      <c r="T432" s="217">
        <v>62441</v>
      </c>
      <c r="U432" s="218">
        <f t="shared" si="46"/>
        <v>0</v>
      </c>
      <c r="V432" s="220"/>
      <c r="W432" s="217">
        <v>45337</v>
      </c>
      <c r="X432" s="219">
        <f t="shared" si="50"/>
        <v>0</v>
      </c>
      <c r="Y432" s="220"/>
      <c r="Z432" s="253"/>
    </row>
    <row r="433" spans="1:26">
      <c r="A433" s="150">
        <v>44962</v>
      </c>
      <c r="B433" s="154">
        <f t="shared" si="48"/>
        <v>44962</v>
      </c>
      <c r="C433" s="221">
        <v>1611197</v>
      </c>
      <c r="D433" s="318">
        <f t="shared" si="44"/>
        <v>0</v>
      </c>
      <c r="E433" s="222"/>
      <c r="F433" s="221">
        <v>5030208</v>
      </c>
      <c r="G433" s="223">
        <f t="shared" si="47"/>
        <v>0</v>
      </c>
      <c r="H433" s="224">
        <f t="shared" si="52"/>
        <v>-4.2761394101876675</v>
      </c>
      <c r="I433" s="222"/>
      <c r="J433" s="221">
        <v>2750778</v>
      </c>
      <c r="K433" s="223">
        <f t="shared" si="53"/>
        <v>0</v>
      </c>
      <c r="L433" s="225">
        <f t="shared" si="51"/>
        <v>0</v>
      </c>
      <c r="M433" s="222"/>
      <c r="N433" s="227">
        <v>497530</v>
      </c>
      <c r="O433" s="232">
        <f t="shared" si="45"/>
        <v>0</v>
      </c>
      <c r="P433" s="233"/>
      <c r="Q433" s="42">
        <v>567212</v>
      </c>
      <c r="R433" s="44">
        <f t="shared" si="43"/>
        <v>0</v>
      </c>
      <c r="S433" s="358"/>
      <c r="T433" s="217">
        <v>62441</v>
      </c>
      <c r="U433" s="218">
        <f t="shared" si="46"/>
        <v>0</v>
      </c>
      <c r="V433" s="220"/>
      <c r="W433" s="217">
        <v>45337</v>
      </c>
      <c r="X433" s="219">
        <f t="shared" si="50"/>
        <v>0</v>
      </c>
      <c r="Y433" s="220"/>
      <c r="Z433" s="253"/>
    </row>
    <row r="434" spans="1:26">
      <c r="A434" s="150">
        <v>44963</v>
      </c>
      <c r="B434" s="154">
        <f t="shared" si="48"/>
        <v>44963</v>
      </c>
      <c r="C434" s="221">
        <v>1611197</v>
      </c>
      <c r="D434" s="318">
        <f t="shared" si="44"/>
        <v>328</v>
      </c>
      <c r="E434" s="222"/>
      <c r="F434" s="221">
        <v>5030208</v>
      </c>
      <c r="G434" s="223">
        <f t="shared" si="47"/>
        <v>7985</v>
      </c>
      <c r="H434" s="224">
        <f t="shared" si="52"/>
        <v>18.010723860589813</v>
      </c>
      <c r="I434" s="222"/>
      <c r="J434" s="221">
        <v>2750778</v>
      </c>
      <c r="K434" s="223">
        <f t="shared" si="53"/>
        <v>9295</v>
      </c>
      <c r="L434" s="225">
        <f t="shared" si="51"/>
        <v>68.851851851851848</v>
      </c>
      <c r="M434" s="222"/>
      <c r="N434" s="227">
        <v>497530</v>
      </c>
      <c r="O434" s="232">
        <f t="shared" si="45"/>
        <v>830</v>
      </c>
      <c r="P434" s="233"/>
      <c r="Q434" s="42">
        <v>567212</v>
      </c>
      <c r="R434" s="44">
        <f t="shared" si="43"/>
        <v>142</v>
      </c>
      <c r="S434" s="358"/>
      <c r="T434" s="217">
        <v>62441</v>
      </c>
      <c r="U434" s="218">
        <f t="shared" si="46"/>
        <v>0</v>
      </c>
      <c r="V434" s="220"/>
      <c r="W434" s="217">
        <v>45337</v>
      </c>
      <c r="X434" s="219">
        <f t="shared" si="50"/>
        <v>0</v>
      </c>
      <c r="Y434" s="220"/>
      <c r="Z434" s="253"/>
    </row>
    <row r="435" spans="1:26">
      <c r="A435" s="150">
        <v>44964</v>
      </c>
      <c r="B435" s="154">
        <f t="shared" si="48"/>
        <v>44964</v>
      </c>
      <c r="C435" s="221">
        <v>1611525</v>
      </c>
      <c r="D435" s="318">
        <f t="shared" si="44"/>
        <v>196</v>
      </c>
      <c r="E435" s="222"/>
      <c r="F435" s="221">
        <v>5038193</v>
      </c>
      <c r="G435" s="223">
        <f t="shared" si="47"/>
        <v>6813</v>
      </c>
      <c r="H435" s="224">
        <f t="shared" si="52"/>
        <v>14.514745308310992</v>
      </c>
      <c r="I435" s="222"/>
      <c r="J435" s="221">
        <v>2760073</v>
      </c>
      <c r="K435" s="223">
        <f t="shared" si="53"/>
        <v>5129</v>
      </c>
      <c r="L435" s="225">
        <f t="shared" si="51"/>
        <v>37.992592592592594</v>
      </c>
      <c r="M435" s="222"/>
      <c r="N435" s="227">
        <v>498360</v>
      </c>
      <c r="O435" s="232">
        <f t="shared" si="45"/>
        <v>757</v>
      </c>
      <c r="P435" s="233"/>
      <c r="Q435" s="42">
        <v>567354</v>
      </c>
      <c r="R435" s="44">
        <f t="shared" si="43"/>
        <v>212</v>
      </c>
      <c r="S435" s="358"/>
      <c r="T435" s="217">
        <v>62441</v>
      </c>
      <c r="U435" s="218">
        <f t="shared" si="46"/>
        <v>0</v>
      </c>
      <c r="V435" s="220"/>
      <c r="W435" s="217">
        <v>45337</v>
      </c>
      <c r="X435" s="219">
        <f t="shared" si="50"/>
        <v>0</v>
      </c>
      <c r="Y435" s="220"/>
      <c r="Z435" s="253"/>
    </row>
    <row r="436" spans="1:26">
      <c r="A436" s="150">
        <v>44965</v>
      </c>
      <c r="B436" s="154">
        <f t="shared" si="48"/>
        <v>44965</v>
      </c>
      <c r="C436" s="221">
        <v>1611721</v>
      </c>
      <c r="D436" s="318">
        <f t="shared" si="44"/>
        <v>10718</v>
      </c>
      <c r="E436" s="222"/>
      <c r="F436" s="221">
        <v>5045006</v>
      </c>
      <c r="G436" s="223">
        <f t="shared" si="47"/>
        <v>7689</v>
      </c>
      <c r="H436" s="224">
        <f t="shared" si="52"/>
        <v>45.07238605898123</v>
      </c>
      <c r="I436" s="222"/>
      <c r="J436" s="221">
        <v>2765202</v>
      </c>
      <c r="K436" s="223">
        <f t="shared" si="53"/>
        <v>5535</v>
      </c>
      <c r="L436" s="225">
        <f t="shared" si="51"/>
        <v>41</v>
      </c>
      <c r="M436" s="222"/>
      <c r="N436" s="227">
        <v>499117</v>
      </c>
      <c r="O436" s="232">
        <f t="shared" si="45"/>
        <v>816</v>
      </c>
      <c r="P436" s="233"/>
      <c r="Q436" s="42">
        <v>567566</v>
      </c>
      <c r="R436" s="44">
        <f t="shared" si="43"/>
        <v>180</v>
      </c>
      <c r="S436" s="358"/>
      <c r="T436" s="217">
        <v>62441</v>
      </c>
      <c r="U436" s="218">
        <f t="shared" si="46"/>
        <v>97</v>
      </c>
      <c r="V436" s="220"/>
      <c r="W436" s="217">
        <v>45337</v>
      </c>
      <c r="X436" s="219">
        <f t="shared" si="50"/>
        <v>1</v>
      </c>
      <c r="Y436" s="220"/>
      <c r="Z436" s="253"/>
    </row>
    <row r="437" spans="1:26">
      <c r="A437" s="150">
        <v>44966</v>
      </c>
      <c r="B437" s="154">
        <f t="shared" si="48"/>
        <v>44966</v>
      </c>
      <c r="C437" s="221">
        <v>1622439</v>
      </c>
      <c r="D437" s="318">
        <f t="shared" si="44"/>
        <v>11623</v>
      </c>
      <c r="E437" s="40" t="s">
        <v>78</v>
      </c>
      <c r="F437" s="221">
        <v>5052695</v>
      </c>
      <c r="G437" s="223">
        <f t="shared" si="47"/>
        <v>7645</v>
      </c>
      <c r="H437" s="224">
        <f t="shared" si="52"/>
        <v>47.380697050938338</v>
      </c>
      <c r="I437" s="40" t="s">
        <v>78</v>
      </c>
      <c r="J437" s="221">
        <v>2770737</v>
      </c>
      <c r="K437" s="223">
        <f t="shared" si="53"/>
        <v>10245</v>
      </c>
      <c r="L437" s="225">
        <f t="shared" si="51"/>
        <v>75.888888888888886</v>
      </c>
      <c r="M437" s="40" t="s">
        <v>78</v>
      </c>
      <c r="N437" s="227">
        <v>499933</v>
      </c>
      <c r="O437" s="232">
        <f t="shared" si="45"/>
        <v>890</v>
      </c>
      <c r="P437" s="233"/>
      <c r="Q437" s="42">
        <v>567746</v>
      </c>
      <c r="R437" s="44">
        <f t="shared" si="43"/>
        <v>150</v>
      </c>
      <c r="S437" s="358"/>
      <c r="T437" s="217">
        <v>62538</v>
      </c>
      <c r="U437" s="218">
        <f t="shared" si="46"/>
        <v>35</v>
      </c>
      <c r="V437" s="40" t="s">
        <v>78</v>
      </c>
      <c r="W437" s="217">
        <v>45338</v>
      </c>
      <c r="X437" s="219">
        <f t="shared" si="50"/>
        <v>16</v>
      </c>
      <c r="Y437" s="40" t="s">
        <v>78</v>
      </c>
      <c r="Z437" s="253"/>
    </row>
    <row r="438" spans="1:26">
      <c r="A438" s="150">
        <v>44967</v>
      </c>
      <c r="B438" s="154">
        <f t="shared" si="48"/>
        <v>44967</v>
      </c>
      <c r="C438" s="227">
        <v>1634062</v>
      </c>
      <c r="D438" s="319">
        <f t="shared" si="44"/>
        <v>4977</v>
      </c>
      <c r="E438" s="228"/>
      <c r="F438" s="227">
        <v>5060340</v>
      </c>
      <c r="G438" s="229">
        <f t="shared" si="47"/>
        <v>7763</v>
      </c>
      <c r="H438" s="230">
        <f t="shared" si="52"/>
        <v>29.87935656836461</v>
      </c>
      <c r="I438" s="228"/>
      <c r="J438" s="227">
        <v>2780982</v>
      </c>
      <c r="K438" s="229">
        <f t="shared" si="53"/>
        <v>5265</v>
      </c>
      <c r="L438" s="231">
        <f t="shared" si="51"/>
        <v>39</v>
      </c>
      <c r="M438" s="228"/>
      <c r="N438" s="227">
        <v>500823</v>
      </c>
      <c r="O438" s="232">
        <f t="shared" si="45"/>
        <v>974</v>
      </c>
      <c r="P438" s="233"/>
      <c r="Q438" s="42">
        <v>567896</v>
      </c>
      <c r="R438" s="44">
        <f t="shared" si="43"/>
        <v>347</v>
      </c>
      <c r="S438" s="358"/>
      <c r="T438" s="227">
        <v>62573</v>
      </c>
      <c r="U438" s="233">
        <f t="shared" si="46"/>
        <v>188</v>
      </c>
      <c r="V438" s="228"/>
      <c r="W438" s="227">
        <v>45354</v>
      </c>
      <c r="X438" s="232">
        <f t="shared" si="50"/>
        <v>0</v>
      </c>
      <c r="Y438" s="228"/>
      <c r="Z438" s="253"/>
    </row>
    <row r="439" spans="1:26">
      <c r="A439" s="150">
        <v>44968</v>
      </c>
      <c r="B439" s="154">
        <f t="shared" si="48"/>
        <v>44968</v>
      </c>
      <c r="C439" s="227">
        <v>1639039</v>
      </c>
      <c r="D439" s="319">
        <f t="shared" si="44"/>
        <v>82</v>
      </c>
      <c r="E439" s="228"/>
      <c r="F439" s="227">
        <v>5068103</v>
      </c>
      <c r="G439" s="229">
        <f t="shared" si="47"/>
        <v>15507</v>
      </c>
      <c r="H439" s="230">
        <f t="shared" si="52"/>
        <v>37.517426273458447</v>
      </c>
      <c r="I439" s="228"/>
      <c r="J439" s="227">
        <v>2786247</v>
      </c>
      <c r="K439" s="229">
        <f t="shared" si="53"/>
        <v>5093</v>
      </c>
      <c r="L439" s="231">
        <f t="shared" si="51"/>
        <v>37.725925925925928</v>
      </c>
      <c r="M439" s="228"/>
      <c r="N439" s="227">
        <v>501797</v>
      </c>
      <c r="O439" s="232">
        <f t="shared" si="45"/>
        <v>744</v>
      </c>
      <c r="P439" s="233"/>
      <c r="Q439" s="42">
        <v>568243</v>
      </c>
      <c r="R439" s="44">
        <f t="shared" ref="R439:R502" si="54">Q440-Q439</f>
        <v>0</v>
      </c>
      <c r="S439" s="358"/>
      <c r="T439" s="227">
        <v>62761</v>
      </c>
      <c r="U439" s="233">
        <f t="shared" si="46"/>
        <v>0</v>
      </c>
      <c r="V439" s="228"/>
      <c r="W439" s="227">
        <v>45354</v>
      </c>
      <c r="X439" s="232">
        <f t="shared" si="50"/>
        <v>0</v>
      </c>
      <c r="Y439" s="228"/>
      <c r="Z439" s="253"/>
    </row>
    <row r="440" spans="1:26">
      <c r="A440" s="150">
        <v>44969</v>
      </c>
      <c r="B440" s="154">
        <f t="shared" si="48"/>
        <v>44969</v>
      </c>
      <c r="C440" s="227">
        <v>1639121</v>
      </c>
      <c r="D440" s="319">
        <f t="shared" si="44"/>
        <v>0</v>
      </c>
      <c r="E440" s="228"/>
      <c r="F440" s="227">
        <v>5083610</v>
      </c>
      <c r="G440" s="229">
        <f t="shared" si="47"/>
        <v>0</v>
      </c>
      <c r="H440" s="230">
        <f t="shared" si="52"/>
        <v>-4.2761394101876675</v>
      </c>
      <c r="I440" s="228"/>
      <c r="J440" s="227">
        <v>2791340</v>
      </c>
      <c r="K440" s="229">
        <f t="shared" si="53"/>
        <v>0</v>
      </c>
      <c r="L440" s="231">
        <f t="shared" si="51"/>
        <v>0</v>
      </c>
      <c r="M440" s="228"/>
      <c r="N440" s="227">
        <v>502541</v>
      </c>
      <c r="O440" s="232">
        <f t="shared" si="45"/>
        <v>0</v>
      </c>
      <c r="P440" s="233"/>
      <c r="Q440" s="42">
        <v>568243</v>
      </c>
      <c r="R440" s="44">
        <f t="shared" si="54"/>
        <v>0</v>
      </c>
      <c r="S440" s="358"/>
      <c r="T440" s="227">
        <v>62761</v>
      </c>
      <c r="U440" s="233">
        <f t="shared" si="46"/>
        <v>0</v>
      </c>
      <c r="V440" s="228"/>
      <c r="W440" s="227">
        <v>45354</v>
      </c>
      <c r="X440" s="232">
        <f t="shared" si="50"/>
        <v>0</v>
      </c>
      <c r="Y440" s="228"/>
      <c r="Z440" s="253"/>
    </row>
    <row r="441" spans="1:26">
      <c r="A441" s="150">
        <v>44970</v>
      </c>
      <c r="B441" s="154">
        <f t="shared" si="48"/>
        <v>44970</v>
      </c>
      <c r="C441" s="227">
        <v>1639121</v>
      </c>
      <c r="D441" s="319">
        <f t="shared" si="44"/>
        <v>52</v>
      </c>
      <c r="E441" s="228"/>
      <c r="F441" s="227">
        <v>5083610</v>
      </c>
      <c r="G441" s="229">
        <f t="shared" si="47"/>
        <v>7555</v>
      </c>
      <c r="H441" s="230">
        <f t="shared" si="52"/>
        <v>16.117962466487935</v>
      </c>
      <c r="I441" s="228"/>
      <c r="J441" s="227">
        <v>2791340</v>
      </c>
      <c r="K441" s="229">
        <f t="shared" si="53"/>
        <v>10266</v>
      </c>
      <c r="L441" s="231">
        <f t="shared" si="51"/>
        <v>76.044444444444451</v>
      </c>
      <c r="M441" s="228"/>
      <c r="N441" s="227">
        <v>502541</v>
      </c>
      <c r="O441" s="232">
        <f t="shared" si="45"/>
        <v>734</v>
      </c>
      <c r="P441" s="233"/>
      <c r="Q441" s="42">
        <v>568243</v>
      </c>
      <c r="R441" s="44">
        <f t="shared" si="54"/>
        <v>72</v>
      </c>
      <c r="S441" s="358"/>
      <c r="T441" s="227">
        <v>62761</v>
      </c>
      <c r="U441" s="233">
        <f t="shared" si="46"/>
        <v>0</v>
      </c>
      <c r="V441" s="228"/>
      <c r="W441" s="227">
        <v>45354</v>
      </c>
      <c r="X441" s="232">
        <f t="shared" si="50"/>
        <v>0</v>
      </c>
      <c r="Y441" s="228"/>
      <c r="Z441" s="253"/>
    </row>
    <row r="442" spans="1:26">
      <c r="A442" s="150">
        <v>44971</v>
      </c>
      <c r="B442" s="154">
        <f t="shared" si="48"/>
        <v>44971</v>
      </c>
      <c r="C442" s="227">
        <v>1639173</v>
      </c>
      <c r="D442" s="319">
        <f t="shared" si="44"/>
        <v>16517</v>
      </c>
      <c r="E442" s="228"/>
      <c r="F442" s="227">
        <v>5091165</v>
      </c>
      <c r="G442" s="229">
        <f t="shared" si="47"/>
        <v>7451</v>
      </c>
      <c r="H442" s="230">
        <f t="shared" si="52"/>
        <v>59.981233243967829</v>
      </c>
      <c r="I442" s="228"/>
      <c r="J442" s="227">
        <v>2801606</v>
      </c>
      <c r="K442" s="229">
        <f t="shared" si="53"/>
        <v>5373</v>
      </c>
      <c r="L442" s="231">
        <f t="shared" si="51"/>
        <v>39.799999999999997</v>
      </c>
      <c r="M442" s="228"/>
      <c r="N442" s="227">
        <v>503275</v>
      </c>
      <c r="O442" s="232">
        <f t="shared" si="45"/>
        <v>828</v>
      </c>
      <c r="P442" s="233"/>
      <c r="Q442" s="42">
        <v>568315</v>
      </c>
      <c r="R442" s="44">
        <f t="shared" si="54"/>
        <v>74</v>
      </c>
      <c r="S442" s="358"/>
      <c r="T442" s="227">
        <v>62761</v>
      </c>
      <c r="U442" s="233">
        <f t="shared" si="46"/>
        <v>0</v>
      </c>
      <c r="V442" s="228"/>
      <c r="W442" s="227">
        <v>45354</v>
      </c>
      <c r="X442" s="232">
        <f t="shared" si="50"/>
        <v>0</v>
      </c>
      <c r="Y442" s="228"/>
      <c r="Z442" s="253"/>
    </row>
    <row r="443" spans="1:26">
      <c r="A443" s="150">
        <v>44972</v>
      </c>
      <c r="B443" s="154">
        <f t="shared" si="48"/>
        <v>44972</v>
      </c>
      <c r="C443" s="227">
        <v>1655690</v>
      </c>
      <c r="D443" s="319">
        <f t="shared" si="44"/>
        <v>1108</v>
      </c>
      <c r="E443" s="228"/>
      <c r="F443" s="227">
        <v>5098616</v>
      </c>
      <c r="G443" s="229">
        <f t="shared" si="47"/>
        <v>7252</v>
      </c>
      <c r="H443" s="230">
        <f t="shared" si="52"/>
        <v>18.136729222520106</v>
      </c>
      <c r="I443" s="228"/>
      <c r="J443" s="227">
        <v>2806979</v>
      </c>
      <c r="K443" s="229">
        <f t="shared" si="53"/>
        <v>9392</v>
      </c>
      <c r="L443" s="231">
        <f t="shared" si="51"/>
        <v>69.57037037037037</v>
      </c>
      <c r="M443" s="228"/>
      <c r="N443" s="227">
        <v>504103</v>
      </c>
      <c r="O443" s="232">
        <f t="shared" si="45"/>
        <v>855</v>
      </c>
      <c r="P443" s="233"/>
      <c r="Q443" s="42">
        <v>568389</v>
      </c>
      <c r="R443" s="44">
        <f t="shared" si="54"/>
        <v>78</v>
      </c>
      <c r="S443" s="358"/>
      <c r="T443" s="227">
        <v>62761</v>
      </c>
      <c r="U443" s="233">
        <f t="shared" si="46"/>
        <v>48</v>
      </c>
      <c r="V443" s="228"/>
      <c r="W443" s="227">
        <v>45354</v>
      </c>
      <c r="X443" s="232">
        <f t="shared" si="50"/>
        <v>0</v>
      </c>
      <c r="Y443" s="228"/>
      <c r="Z443" s="253"/>
    </row>
    <row r="444" spans="1:26">
      <c r="A444" s="150">
        <v>44973</v>
      </c>
      <c r="B444" s="154">
        <f t="shared" si="48"/>
        <v>44973</v>
      </c>
      <c r="C444" s="227">
        <v>1656798</v>
      </c>
      <c r="D444" s="319">
        <f t="shared" si="44"/>
        <v>18448</v>
      </c>
      <c r="E444" s="228"/>
      <c r="F444" s="227">
        <v>5105868</v>
      </c>
      <c r="G444" s="229">
        <f t="shared" si="47"/>
        <v>7430</v>
      </c>
      <c r="H444" s="230">
        <f t="shared" si="52"/>
        <v>65.101876675603222</v>
      </c>
      <c r="I444" s="228"/>
      <c r="J444" s="227">
        <v>2816371</v>
      </c>
      <c r="K444" s="229">
        <f t="shared" si="53"/>
        <v>5189</v>
      </c>
      <c r="L444" s="231">
        <f t="shared" si="51"/>
        <v>38.437037037037037</v>
      </c>
      <c r="M444" s="228"/>
      <c r="N444" s="227">
        <v>504958</v>
      </c>
      <c r="O444" s="232">
        <f t="shared" si="45"/>
        <v>1088</v>
      </c>
      <c r="P444" s="233"/>
      <c r="Q444" s="42">
        <v>568467</v>
      </c>
      <c r="R444" s="44">
        <f t="shared" si="54"/>
        <v>64</v>
      </c>
      <c r="S444" s="358"/>
      <c r="T444" s="227">
        <v>62809</v>
      </c>
      <c r="U444" s="233">
        <f t="shared" si="46"/>
        <v>28</v>
      </c>
      <c r="V444" s="228"/>
      <c r="W444" s="227">
        <v>45354</v>
      </c>
      <c r="X444" s="232">
        <f t="shared" si="50"/>
        <v>0</v>
      </c>
      <c r="Y444" s="228"/>
      <c r="Z444" s="253"/>
    </row>
    <row r="445" spans="1:26">
      <c r="A445" s="150">
        <v>44974</v>
      </c>
      <c r="B445" s="154">
        <f t="shared" si="48"/>
        <v>44974</v>
      </c>
      <c r="C445" s="227">
        <v>1675246</v>
      </c>
      <c r="D445" s="319">
        <f t="shared" si="44"/>
        <v>8579</v>
      </c>
      <c r="E445" s="228"/>
      <c r="F445" s="227">
        <v>5113298</v>
      </c>
      <c r="G445" s="229">
        <f t="shared" si="47"/>
        <v>28722</v>
      </c>
      <c r="H445" s="230">
        <f t="shared" si="52"/>
        <v>95.72654155495978</v>
      </c>
      <c r="I445" s="228"/>
      <c r="J445" s="227">
        <v>2821560</v>
      </c>
      <c r="K445" s="229">
        <f t="shared" si="53"/>
        <v>10578</v>
      </c>
      <c r="L445" s="231">
        <f t="shared" si="51"/>
        <v>78.355555555555554</v>
      </c>
      <c r="M445" s="228"/>
      <c r="N445" s="227">
        <v>506046</v>
      </c>
      <c r="O445" s="232">
        <f t="shared" si="45"/>
        <v>1003</v>
      </c>
      <c r="P445" s="233"/>
      <c r="Q445" s="42">
        <v>568531</v>
      </c>
      <c r="R445" s="44">
        <f t="shared" si="54"/>
        <v>591</v>
      </c>
      <c r="S445" s="358"/>
      <c r="T445" s="227">
        <v>62837</v>
      </c>
      <c r="U445" s="233">
        <f t="shared" si="46"/>
        <v>284</v>
      </c>
      <c r="V445" s="228"/>
      <c r="W445" s="227">
        <v>45354</v>
      </c>
      <c r="X445" s="232">
        <f t="shared" si="50"/>
        <v>4</v>
      </c>
      <c r="Y445" s="228"/>
      <c r="Z445" s="246" t="s">
        <v>102</v>
      </c>
    </row>
    <row r="446" spans="1:26">
      <c r="A446" s="150">
        <v>44975</v>
      </c>
      <c r="B446" s="154">
        <f t="shared" si="48"/>
        <v>44975</v>
      </c>
      <c r="C446" s="227">
        <v>1683825</v>
      </c>
      <c r="D446" s="319">
        <f t="shared" ref="D446:D509" si="55">IF(C447&gt;0,C447-C446," ")</f>
        <v>0</v>
      </c>
      <c r="E446" s="228"/>
      <c r="F446" s="227">
        <v>5142020</v>
      </c>
      <c r="G446" s="229">
        <f t="shared" si="47"/>
        <v>0</v>
      </c>
      <c r="H446" s="230">
        <f t="shared" si="52"/>
        <v>-4.2761394101876675</v>
      </c>
      <c r="I446" s="228"/>
      <c r="J446" s="227">
        <v>2832138</v>
      </c>
      <c r="K446" s="229">
        <f t="shared" si="53"/>
        <v>0</v>
      </c>
      <c r="L446" s="231">
        <f t="shared" si="51"/>
        <v>0</v>
      </c>
      <c r="M446" s="228"/>
      <c r="N446" s="227">
        <v>507049</v>
      </c>
      <c r="O446" s="232">
        <f t="shared" ref="O446:O509" si="56">N447-N446</f>
        <v>0</v>
      </c>
      <c r="P446" s="233"/>
      <c r="Q446" s="42">
        <v>569122</v>
      </c>
      <c r="R446" s="44">
        <f t="shared" si="54"/>
        <v>0</v>
      </c>
      <c r="S446" s="358"/>
      <c r="T446" s="227">
        <v>63121</v>
      </c>
      <c r="U446" s="233">
        <f t="shared" si="46"/>
        <v>0</v>
      </c>
      <c r="V446" s="228"/>
      <c r="W446" s="227">
        <v>45358</v>
      </c>
      <c r="X446" s="232">
        <f t="shared" si="50"/>
        <v>0</v>
      </c>
      <c r="Y446" s="228"/>
      <c r="Z446" s="253"/>
    </row>
    <row r="447" spans="1:26">
      <c r="A447" s="150">
        <v>44976</v>
      </c>
      <c r="B447" s="154">
        <f t="shared" si="48"/>
        <v>44976</v>
      </c>
      <c r="C447" s="227">
        <v>1683825</v>
      </c>
      <c r="D447" s="319">
        <f t="shared" si="55"/>
        <v>0</v>
      </c>
      <c r="E447" s="228"/>
      <c r="F447" s="227">
        <v>5142020</v>
      </c>
      <c r="G447" s="229">
        <f t="shared" si="47"/>
        <v>0</v>
      </c>
      <c r="H447" s="230">
        <f t="shared" si="52"/>
        <v>-4.2761394101876675</v>
      </c>
      <c r="I447" s="228"/>
      <c r="J447" s="227">
        <v>2832138</v>
      </c>
      <c r="K447" s="229">
        <f t="shared" si="53"/>
        <v>0</v>
      </c>
      <c r="L447" s="231">
        <f t="shared" si="51"/>
        <v>0</v>
      </c>
      <c r="M447" s="228"/>
      <c r="N447" s="227">
        <v>507049</v>
      </c>
      <c r="O447" s="232">
        <f t="shared" si="56"/>
        <v>0</v>
      </c>
      <c r="P447" s="233"/>
      <c r="Q447" s="42">
        <v>569122</v>
      </c>
      <c r="R447" s="44">
        <f t="shared" si="54"/>
        <v>0</v>
      </c>
      <c r="S447" s="358"/>
      <c r="T447" s="227">
        <v>63121</v>
      </c>
      <c r="U447" s="233">
        <f t="shared" si="46"/>
        <v>0</v>
      </c>
      <c r="V447" s="228"/>
      <c r="W447" s="227">
        <v>45358</v>
      </c>
      <c r="X447" s="232">
        <f t="shared" si="50"/>
        <v>0</v>
      </c>
      <c r="Y447" s="228"/>
      <c r="Z447" s="253"/>
    </row>
    <row r="448" spans="1:26">
      <c r="A448" s="150">
        <v>44977</v>
      </c>
      <c r="B448" s="154">
        <f t="shared" si="48"/>
        <v>44977</v>
      </c>
      <c r="C448" s="227">
        <v>1683825</v>
      </c>
      <c r="D448" s="319">
        <f t="shared" si="55"/>
        <v>0</v>
      </c>
      <c r="E448" s="228"/>
      <c r="F448" s="227">
        <v>5142020</v>
      </c>
      <c r="G448" s="229">
        <f t="shared" si="47"/>
        <v>0</v>
      </c>
      <c r="H448" s="230">
        <f t="shared" si="52"/>
        <v>-4.2761394101876675</v>
      </c>
      <c r="I448" s="228"/>
      <c r="J448" s="227">
        <v>2832138</v>
      </c>
      <c r="K448" s="229">
        <f t="shared" si="53"/>
        <v>0</v>
      </c>
      <c r="L448" s="231">
        <f t="shared" si="51"/>
        <v>0</v>
      </c>
      <c r="M448" s="228"/>
      <c r="N448" s="227">
        <v>507049</v>
      </c>
      <c r="O448" s="232">
        <f t="shared" si="56"/>
        <v>0</v>
      </c>
      <c r="P448" s="233"/>
      <c r="Q448" s="42">
        <v>569122</v>
      </c>
      <c r="R448" s="44">
        <f t="shared" si="54"/>
        <v>0</v>
      </c>
      <c r="S448" s="358"/>
      <c r="T448" s="227">
        <v>63121</v>
      </c>
      <c r="U448" s="233">
        <f t="shared" si="46"/>
        <v>0</v>
      </c>
      <c r="V448" s="228"/>
      <c r="W448" s="227">
        <v>45358</v>
      </c>
      <c r="X448" s="232">
        <f t="shared" si="50"/>
        <v>0</v>
      </c>
      <c r="Y448" s="228"/>
      <c r="Z448" s="253"/>
    </row>
    <row r="449" spans="1:26">
      <c r="A449" s="150">
        <v>44978</v>
      </c>
      <c r="B449" s="154">
        <f t="shared" si="48"/>
        <v>44978</v>
      </c>
      <c r="C449" s="227">
        <v>1683825</v>
      </c>
      <c r="D449" s="319">
        <f t="shared" si="55"/>
        <v>0</v>
      </c>
      <c r="E449" s="228"/>
      <c r="F449" s="227">
        <v>5142020</v>
      </c>
      <c r="G449" s="229">
        <f t="shared" si="47"/>
        <v>0</v>
      </c>
      <c r="H449" s="230">
        <f t="shared" si="52"/>
        <v>-4.2761394101876675</v>
      </c>
      <c r="I449" s="228"/>
      <c r="J449" s="227">
        <v>2832138</v>
      </c>
      <c r="K449" s="229">
        <f t="shared" si="53"/>
        <v>0</v>
      </c>
      <c r="L449" s="231">
        <f t="shared" si="51"/>
        <v>0</v>
      </c>
      <c r="M449" s="228"/>
      <c r="N449" s="227">
        <v>507049</v>
      </c>
      <c r="O449" s="232">
        <f t="shared" si="56"/>
        <v>0</v>
      </c>
      <c r="P449" s="233"/>
      <c r="Q449" s="42">
        <v>569122</v>
      </c>
      <c r="R449" s="44">
        <f t="shared" si="54"/>
        <v>0</v>
      </c>
      <c r="S449" s="358"/>
      <c r="T449" s="227">
        <v>63121</v>
      </c>
      <c r="U449" s="233">
        <f t="shared" si="46"/>
        <v>0</v>
      </c>
      <c r="V449" s="228"/>
      <c r="W449" s="227">
        <v>45358</v>
      </c>
      <c r="X449" s="232">
        <f t="shared" si="50"/>
        <v>0</v>
      </c>
      <c r="Y449" s="228"/>
      <c r="Z449" s="253"/>
    </row>
    <row r="450" spans="1:26">
      <c r="A450" s="150">
        <v>44979</v>
      </c>
      <c r="B450" s="154">
        <f t="shared" si="48"/>
        <v>44979</v>
      </c>
      <c r="C450" s="227">
        <v>1683825</v>
      </c>
      <c r="D450" s="319">
        <f t="shared" si="55"/>
        <v>5911</v>
      </c>
      <c r="E450" s="228"/>
      <c r="F450" s="227">
        <v>5142020</v>
      </c>
      <c r="G450" s="229">
        <f t="shared" si="47"/>
        <v>11566</v>
      </c>
      <c r="H450" s="230">
        <f t="shared" si="52"/>
        <v>42.579088471849865</v>
      </c>
      <c r="I450" s="228"/>
      <c r="J450" s="227">
        <v>2832138</v>
      </c>
      <c r="K450" s="229">
        <f t="shared" si="53"/>
        <v>10494</v>
      </c>
      <c r="L450" s="231">
        <f t="shared" si="51"/>
        <v>77.733333333333334</v>
      </c>
      <c r="M450" s="228"/>
      <c r="N450" s="227">
        <v>507049</v>
      </c>
      <c r="O450" s="232">
        <f t="shared" si="56"/>
        <v>1206</v>
      </c>
      <c r="P450" s="233"/>
      <c r="Q450" s="42">
        <v>569122</v>
      </c>
      <c r="R450" s="44">
        <f t="shared" si="54"/>
        <v>206</v>
      </c>
      <c r="S450" s="358"/>
      <c r="T450" s="227">
        <v>63121</v>
      </c>
      <c r="U450" s="233">
        <f t="shared" si="46"/>
        <v>37</v>
      </c>
      <c r="V450" s="228"/>
      <c r="W450" s="227">
        <v>45358</v>
      </c>
      <c r="X450" s="232">
        <f t="shared" si="50"/>
        <v>-2</v>
      </c>
      <c r="Y450" s="228"/>
      <c r="Z450" s="253"/>
    </row>
    <row r="451" spans="1:26">
      <c r="A451" s="150">
        <v>44980</v>
      </c>
      <c r="B451" s="154">
        <f t="shared" si="48"/>
        <v>44980</v>
      </c>
      <c r="C451" s="227">
        <v>1689736</v>
      </c>
      <c r="D451" s="319">
        <f t="shared" si="55"/>
        <v>5825</v>
      </c>
      <c r="E451" s="228"/>
      <c r="F451" s="227">
        <v>5153586</v>
      </c>
      <c r="G451" s="229">
        <f t="shared" si="47"/>
        <v>11549</v>
      </c>
      <c r="H451" s="230">
        <f t="shared" si="52"/>
        <v>42.302949061662197</v>
      </c>
      <c r="I451" s="228"/>
      <c r="J451" s="227">
        <v>2842632</v>
      </c>
      <c r="K451" s="229">
        <f t="shared" si="53"/>
        <v>5347</v>
      </c>
      <c r="L451" s="231">
        <f t="shared" si="51"/>
        <v>39.607407407407408</v>
      </c>
      <c r="M451" s="228"/>
      <c r="N451" s="227">
        <v>508255</v>
      </c>
      <c r="O451" s="232">
        <f t="shared" si="56"/>
        <v>0</v>
      </c>
      <c r="P451" s="233"/>
      <c r="Q451" s="42">
        <v>569328</v>
      </c>
      <c r="R451" s="44">
        <f t="shared" si="54"/>
        <v>173</v>
      </c>
      <c r="S451" s="358"/>
      <c r="T451" s="227">
        <v>63158</v>
      </c>
      <c r="U451" s="233">
        <f t="shared" si="46"/>
        <v>116</v>
      </c>
      <c r="V451" s="228"/>
      <c r="W451" s="227">
        <v>45356</v>
      </c>
      <c r="X451" s="232">
        <f t="shared" si="50"/>
        <v>49</v>
      </c>
      <c r="Y451" s="228"/>
      <c r="Z451" s="253"/>
    </row>
    <row r="452" spans="1:26">
      <c r="A452" s="150">
        <v>44981</v>
      </c>
      <c r="B452" s="154">
        <f t="shared" si="48"/>
        <v>44981</v>
      </c>
      <c r="C452" s="227">
        <v>1695561</v>
      </c>
      <c r="D452" s="319">
        <f t="shared" si="55"/>
        <v>5875</v>
      </c>
      <c r="E452" s="228"/>
      <c r="F452" s="227">
        <v>5165135</v>
      </c>
      <c r="G452" s="229">
        <f t="shared" si="47"/>
        <v>12167</v>
      </c>
      <c r="H452" s="230">
        <f t="shared" si="52"/>
        <v>44.093833780160857</v>
      </c>
      <c r="I452" s="228"/>
      <c r="J452" s="227">
        <v>2847979</v>
      </c>
      <c r="K452" s="229">
        <f t="shared" si="53"/>
        <v>9280</v>
      </c>
      <c r="L452" s="231">
        <f t="shared" si="51"/>
        <v>68.740740740740748</v>
      </c>
      <c r="M452" s="228"/>
      <c r="N452" s="227">
        <v>508255</v>
      </c>
      <c r="O452" s="232">
        <f t="shared" si="56"/>
        <v>1382</v>
      </c>
      <c r="P452" s="233"/>
      <c r="Q452" s="42">
        <v>569501</v>
      </c>
      <c r="R452" s="44">
        <f t="shared" si="54"/>
        <v>472</v>
      </c>
      <c r="S452" s="358"/>
      <c r="T452" s="227">
        <v>63274</v>
      </c>
      <c r="U452" s="233">
        <f t="shared" ref="U452:U515" si="57">T453-T452</f>
        <v>0</v>
      </c>
      <c r="V452" s="228"/>
      <c r="W452" s="227">
        <v>45405</v>
      </c>
      <c r="X452" s="232">
        <f t="shared" si="50"/>
        <v>0</v>
      </c>
      <c r="Y452" s="228"/>
      <c r="Z452" s="253"/>
    </row>
    <row r="453" spans="1:26">
      <c r="A453" s="150">
        <v>44982</v>
      </c>
      <c r="B453" s="154">
        <f t="shared" si="48"/>
        <v>44982</v>
      </c>
      <c r="C453" s="227">
        <v>1701436</v>
      </c>
      <c r="D453" s="319">
        <f t="shared" si="55"/>
        <v>23</v>
      </c>
      <c r="E453" s="228"/>
      <c r="F453" s="227">
        <v>5177302</v>
      </c>
      <c r="G453" s="229">
        <f t="shared" si="47"/>
        <v>3388</v>
      </c>
      <c r="H453" s="230">
        <f t="shared" si="52"/>
        <v>4.8686327077747986</v>
      </c>
      <c r="I453" s="228"/>
      <c r="J453" s="227">
        <v>2857259</v>
      </c>
      <c r="K453" s="229">
        <f t="shared" si="53"/>
        <v>22</v>
      </c>
      <c r="L453" s="231">
        <f t="shared" si="51"/>
        <v>0.16296296296296298</v>
      </c>
      <c r="M453" s="228"/>
      <c r="N453" s="227">
        <v>509637</v>
      </c>
      <c r="O453" s="232">
        <f t="shared" si="56"/>
        <v>708</v>
      </c>
      <c r="P453" s="233"/>
      <c r="Q453" s="42">
        <v>569973</v>
      </c>
      <c r="R453" s="44">
        <f t="shared" si="54"/>
        <v>0</v>
      </c>
      <c r="S453" s="358"/>
      <c r="T453" s="227">
        <v>63274</v>
      </c>
      <c r="U453" s="233">
        <f t="shared" si="57"/>
        <v>0</v>
      </c>
      <c r="V453" s="228"/>
      <c r="W453" s="227">
        <v>45405</v>
      </c>
      <c r="X453" s="232">
        <f t="shared" si="50"/>
        <v>0</v>
      </c>
      <c r="Y453" s="228"/>
      <c r="Z453" s="253"/>
    </row>
    <row r="454" spans="1:26">
      <c r="A454" s="150">
        <v>44983</v>
      </c>
      <c r="B454" s="154">
        <f t="shared" si="48"/>
        <v>44983</v>
      </c>
      <c r="C454" s="227">
        <v>1701459</v>
      </c>
      <c r="D454" s="319">
        <f t="shared" si="55"/>
        <v>0</v>
      </c>
      <c r="E454" s="228"/>
      <c r="F454" s="227">
        <v>5180690</v>
      </c>
      <c r="G454" s="229">
        <f t="shared" ref="G454:G498" si="58">IF(F455&gt;0,F455-F454," ")</f>
        <v>0</v>
      </c>
      <c r="H454" s="230">
        <f t="shared" si="52"/>
        <v>-4.2761394101876675</v>
      </c>
      <c r="I454" s="228"/>
      <c r="J454" s="227">
        <v>2857281</v>
      </c>
      <c r="K454" s="229">
        <f t="shared" si="53"/>
        <v>0</v>
      </c>
      <c r="L454" s="231">
        <f t="shared" si="51"/>
        <v>0</v>
      </c>
      <c r="M454" s="228"/>
      <c r="N454" s="227">
        <v>510345</v>
      </c>
      <c r="O454" s="232">
        <f t="shared" si="56"/>
        <v>702</v>
      </c>
      <c r="P454" s="233"/>
      <c r="Q454" s="42">
        <v>569973</v>
      </c>
      <c r="R454" s="44">
        <f t="shared" si="54"/>
        <v>0</v>
      </c>
      <c r="S454" s="358"/>
      <c r="T454" s="227">
        <v>63274</v>
      </c>
      <c r="U454" s="233">
        <f t="shared" si="57"/>
        <v>159</v>
      </c>
      <c r="V454" s="228"/>
      <c r="W454" s="227">
        <v>45405</v>
      </c>
      <c r="X454" s="232">
        <f t="shared" si="50"/>
        <v>2</v>
      </c>
      <c r="Y454" s="228"/>
      <c r="Z454" s="253"/>
    </row>
    <row r="455" spans="1:26">
      <c r="A455" s="150">
        <v>44984</v>
      </c>
      <c r="B455" s="154">
        <f t="shared" si="48"/>
        <v>44984</v>
      </c>
      <c r="C455" s="227">
        <v>1701459</v>
      </c>
      <c r="D455" s="319">
        <f t="shared" si="55"/>
        <v>5744</v>
      </c>
      <c r="E455" s="228"/>
      <c r="F455" s="227">
        <v>5180690</v>
      </c>
      <c r="G455" s="229">
        <f t="shared" si="58"/>
        <v>11466</v>
      </c>
      <c r="H455" s="230">
        <f t="shared" si="52"/>
        <v>41.86327077747989</v>
      </c>
      <c r="I455" s="228"/>
      <c r="J455" s="227">
        <v>2857281</v>
      </c>
      <c r="K455" s="229">
        <f t="shared" si="53"/>
        <v>5229</v>
      </c>
      <c r="L455" s="231">
        <f t="shared" si="51"/>
        <v>38.733333333333334</v>
      </c>
      <c r="M455" s="228"/>
      <c r="N455" s="227">
        <v>511047</v>
      </c>
      <c r="O455" s="232">
        <f t="shared" si="56"/>
        <v>0</v>
      </c>
      <c r="P455" s="233"/>
      <c r="Q455" s="42">
        <v>569973</v>
      </c>
      <c r="R455" s="44">
        <f t="shared" si="54"/>
        <v>214</v>
      </c>
      <c r="S455" s="358"/>
      <c r="T455" s="227">
        <v>63433</v>
      </c>
      <c r="U455" s="233">
        <f t="shared" si="57"/>
        <v>0</v>
      </c>
      <c r="V455" s="228"/>
      <c r="W455" s="227">
        <v>45407</v>
      </c>
      <c r="X455" s="232">
        <f t="shared" si="50"/>
        <v>0</v>
      </c>
      <c r="Y455" s="228"/>
      <c r="Z455" s="253"/>
    </row>
    <row r="456" spans="1:26">
      <c r="A456" s="150">
        <v>44985</v>
      </c>
      <c r="B456" s="154">
        <f t="shared" si="48"/>
        <v>44985</v>
      </c>
      <c r="C456" s="227">
        <v>1707203</v>
      </c>
      <c r="D456" s="319">
        <f t="shared" si="55"/>
        <v>5439</v>
      </c>
      <c r="E456" s="228"/>
      <c r="F456" s="227">
        <v>5192156</v>
      </c>
      <c r="G456" s="229">
        <f t="shared" si="58"/>
        <v>11065</v>
      </c>
      <c r="H456" s="230">
        <f t="shared" si="52"/>
        <v>39.970509383378015</v>
      </c>
      <c r="I456" s="228"/>
      <c r="J456" s="227">
        <v>2862510</v>
      </c>
      <c r="K456" s="229">
        <f t="shared" si="53"/>
        <v>6023</v>
      </c>
      <c r="L456" s="231">
        <f t="shared" si="51"/>
        <v>44.614814814814814</v>
      </c>
      <c r="M456" s="228"/>
      <c r="N456" s="227">
        <v>511047</v>
      </c>
      <c r="O456" s="232">
        <f t="shared" si="56"/>
        <v>887</v>
      </c>
      <c r="P456" s="233"/>
      <c r="Q456" s="42">
        <v>570187</v>
      </c>
      <c r="R456" s="44">
        <f t="shared" si="54"/>
        <v>171</v>
      </c>
      <c r="S456" s="358"/>
      <c r="T456" s="227">
        <v>63433</v>
      </c>
      <c r="U456" s="233">
        <f t="shared" si="57"/>
        <v>0</v>
      </c>
      <c r="V456" s="228"/>
      <c r="W456" s="227">
        <v>45407</v>
      </c>
      <c r="X456" s="232">
        <f t="shared" si="50"/>
        <v>0</v>
      </c>
      <c r="Y456" s="228"/>
      <c r="Z456" s="253"/>
    </row>
    <row r="457" spans="1:26">
      <c r="A457" s="150">
        <v>44986</v>
      </c>
      <c r="B457" s="154">
        <f t="shared" si="48"/>
        <v>44986</v>
      </c>
      <c r="C457" s="227">
        <v>1712642</v>
      </c>
      <c r="D457" s="319">
        <f t="shared" si="55"/>
        <v>5477</v>
      </c>
      <c r="E457" s="228"/>
      <c r="F457" s="227">
        <v>5203221</v>
      </c>
      <c r="G457" s="229">
        <f t="shared" si="58"/>
        <v>11121</v>
      </c>
      <c r="H457" s="230">
        <f t="shared" si="52"/>
        <v>40.222520107238608</v>
      </c>
      <c r="I457" s="228"/>
      <c r="J457" s="227">
        <v>2868533</v>
      </c>
      <c r="K457" s="229">
        <f t="shared" si="53"/>
        <v>9361</v>
      </c>
      <c r="L457" s="231">
        <f t="shared" si="51"/>
        <v>69.340740740740742</v>
      </c>
      <c r="M457" s="228"/>
      <c r="N457" s="227">
        <v>511934</v>
      </c>
      <c r="O457" s="232">
        <f t="shared" si="56"/>
        <v>741</v>
      </c>
      <c r="P457" s="233"/>
      <c r="Q457" s="42">
        <v>570358</v>
      </c>
      <c r="R457" s="44">
        <f t="shared" si="54"/>
        <v>163</v>
      </c>
      <c r="S457" s="358"/>
      <c r="T457" s="227">
        <v>63433</v>
      </c>
      <c r="U457" s="233">
        <f t="shared" si="57"/>
        <v>0</v>
      </c>
      <c r="V457" s="228"/>
      <c r="W457" s="227">
        <v>45407</v>
      </c>
      <c r="X457" s="232">
        <f t="shared" si="50"/>
        <v>0</v>
      </c>
      <c r="Y457" s="228"/>
      <c r="Z457" s="253"/>
    </row>
    <row r="458" spans="1:26">
      <c r="A458" s="150">
        <v>44987</v>
      </c>
      <c r="B458" s="154">
        <f t="shared" si="48"/>
        <v>44987</v>
      </c>
      <c r="C458" s="227">
        <v>1718119</v>
      </c>
      <c r="D458" s="319">
        <f t="shared" si="55"/>
        <v>5665</v>
      </c>
      <c r="E458" s="228"/>
      <c r="F458" s="227">
        <v>5214342</v>
      </c>
      <c r="G458" s="229">
        <f t="shared" si="58"/>
        <v>11394</v>
      </c>
      <c r="H458" s="230">
        <f t="shared" si="52"/>
        <v>41.458445040214478</v>
      </c>
      <c r="I458" s="228"/>
      <c r="J458" s="227">
        <v>2877894</v>
      </c>
      <c r="K458" s="229">
        <f t="shared" si="53"/>
        <v>5928</v>
      </c>
      <c r="L458" s="231">
        <f t="shared" si="51"/>
        <v>43.911111111111111</v>
      </c>
      <c r="M458" s="228"/>
      <c r="N458" s="227">
        <v>512675</v>
      </c>
      <c r="O458" s="232">
        <f t="shared" si="56"/>
        <v>727</v>
      </c>
      <c r="P458" s="233"/>
      <c r="Q458" s="42">
        <v>570521</v>
      </c>
      <c r="R458" s="44">
        <f t="shared" si="54"/>
        <v>177</v>
      </c>
      <c r="S458" s="358"/>
      <c r="T458" s="227">
        <v>63433</v>
      </c>
      <c r="U458" s="233">
        <f t="shared" si="57"/>
        <v>15</v>
      </c>
      <c r="V458" s="228"/>
      <c r="W458" s="227">
        <v>45407</v>
      </c>
      <c r="X458" s="232">
        <f t="shared" si="50"/>
        <v>1</v>
      </c>
      <c r="Y458" s="228"/>
      <c r="Z458" s="253"/>
    </row>
    <row r="459" spans="1:26">
      <c r="A459" s="150">
        <v>44988</v>
      </c>
      <c r="B459" s="154">
        <f t="shared" si="48"/>
        <v>44988</v>
      </c>
      <c r="C459" s="227">
        <v>1723784</v>
      </c>
      <c r="D459" s="319">
        <f t="shared" si="55"/>
        <v>5451</v>
      </c>
      <c r="E459" s="228"/>
      <c r="F459" s="227">
        <v>5225736</v>
      </c>
      <c r="G459" s="229">
        <f t="shared" si="58"/>
        <v>10941</v>
      </c>
      <c r="H459" s="230">
        <f t="shared" si="52"/>
        <v>39.670241286863273</v>
      </c>
      <c r="I459" s="228"/>
      <c r="J459" s="227">
        <v>2883822</v>
      </c>
      <c r="K459" s="229">
        <f t="shared" si="53"/>
        <v>5513</v>
      </c>
      <c r="L459" s="231">
        <f t="shared" si="51"/>
        <v>40.837037037037035</v>
      </c>
      <c r="M459" s="228"/>
      <c r="N459" s="227">
        <v>513402</v>
      </c>
      <c r="O459" s="232">
        <f t="shared" si="56"/>
        <v>905</v>
      </c>
      <c r="P459" s="233"/>
      <c r="Q459" s="42">
        <v>570698</v>
      </c>
      <c r="R459" s="44">
        <f t="shared" si="54"/>
        <v>533</v>
      </c>
      <c r="S459" s="358"/>
      <c r="T459" s="227">
        <v>63448</v>
      </c>
      <c r="U459" s="233">
        <f t="shared" si="57"/>
        <v>103</v>
      </c>
      <c r="V459" s="228"/>
      <c r="W459" s="227">
        <v>45408</v>
      </c>
      <c r="X459" s="232">
        <f t="shared" si="50"/>
        <v>5</v>
      </c>
      <c r="Y459" s="228"/>
      <c r="Z459" s="253"/>
    </row>
    <row r="460" spans="1:26">
      <c r="A460" s="150">
        <v>44989</v>
      </c>
      <c r="B460" s="154">
        <f t="shared" si="48"/>
        <v>44989</v>
      </c>
      <c r="C460" s="227">
        <v>1729235</v>
      </c>
      <c r="D460" s="319">
        <f t="shared" si="55"/>
        <v>658</v>
      </c>
      <c r="E460" s="228"/>
      <c r="F460" s="227">
        <v>5236677</v>
      </c>
      <c r="G460" s="229">
        <f t="shared" si="58"/>
        <v>6560</v>
      </c>
      <c r="H460" s="230">
        <f t="shared" si="52"/>
        <v>15.075067024128685</v>
      </c>
      <c r="I460" s="228"/>
      <c r="J460" s="227">
        <v>2889335</v>
      </c>
      <c r="K460" s="229">
        <f t="shared" si="53"/>
        <v>3675</v>
      </c>
      <c r="L460" s="231">
        <f t="shared" si="51"/>
        <v>27.222222222222221</v>
      </c>
      <c r="M460" s="228"/>
      <c r="N460" s="227">
        <v>514307</v>
      </c>
      <c r="O460" s="232">
        <f t="shared" si="56"/>
        <v>0</v>
      </c>
      <c r="P460" s="233"/>
      <c r="Q460" s="42">
        <v>571231</v>
      </c>
      <c r="R460" s="44">
        <f t="shared" si="54"/>
        <v>0</v>
      </c>
      <c r="S460" s="358"/>
      <c r="T460" s="227">
        <v>63551</v>
      </c>
      <c r="U460" s="233">
        <f t="shared" si="57"/>
        <v>0</v>
      </c>
      <c r="V460" s="228"/>
      <c r="W460" s="227">
        <v>45413</v>
      </c>
      <c r="X460" s="232">
        <f t="shared" si="50"/>
        <v>0</v>
      </c>
      <c r="Y460" s="228"/>
      <c r="Z460" s="253"/>
    </row>
    <row r="461" spans="1:26">
      <c r="A461" s="150">
        <v>44990</v>
      </c>
      <c r="B461" s="154">
        <f t="shared" si="48"/>
        <v>44990</v>
      </c>
      <c r="C461" s="227">
        <v>1729893</v>
      </c>
      <c r="D461" s="319">
        <f t="shared" si="55"/>
        <v>0</v>
      </c>
      <c r="E461" s="228"/>
      <c r="F461" s="227">
        <v>5243237</v>
      </c>
      <c r="G461" s="229">
        <f t="shared" si="58"/>
        <v>0</v>
      </c>
      <c r="H461" s="230">
        <f>(G461+D461-1595)/378</f>
        <v>-4.21957671957672</v>
      </c>
      <c r="I461" s="228"/>
      <c r="J461" s="227">
        <v>2893010</v>
      </c>
      <c r="K461" s="229">
        <f t="shared" si="53"/>
        <v>0</v>
      </c>
      <c r="L461" s="231">
        <f t="shared" si="51"/>
        <v>0</v>
      </c>
      <c r="M461" s="228"/>
      <c r="N461" s="227">
        <v>514307</v>
      </c>
      <c r="O461" s="232">
        <f t="shared" si="56"/>
        <v>764</v>
      </c>
      <c r="P461" s="233"/>
      <c r="Q461" s="42">
        <v>571231</v>
      </c>
      <c r="R461" s="44">
        <f t="shared" si="54"/>
        <v>0</v>
      </c>
      <c r="S461" s="358"/>
      <c r="T461" s="227">
        <v>63551</v>
      </c>
      <c r="U461" s="233">
        <f t="shared" si="57"/>
        <v>0</v>
      </c>
      <c r="V461" s="228"/>
      <c r="W461" s="227">
        <v>45413</v>
      </c>
      <c r="X461" s="232">
        <f t="shared" si="50"/>
        <v>0</v>
      </c>
      <c r="Y461" s="228"/>
      <c r="Z461" s="253"/>
    </row>
    <row r="462" spans="1:26">
      <c r="A462" s="150">
        <v>44991</v>
      </c>
      <c r="B462" s="154">
        <f t="shared" ref="B462:B525" si="59">+A462</f>
        <v>44991</v>
      </c>
      <c r="C462" s="227">
        <v>1729893</v>
      </c>
      <c r="D462" s="319">
        <f t="shared" si="55"/>
        <v>5793</v>
      </c>
      <c r="E462" s="228"/>
      <c r="F462" s="227">
        <v>5243237</v>
      </c>
      <c r="G462" s="229">
        <f t="shared" si="58"/>
        <v>11645</v>
      </c>
      <c r="H462" s="230">
        <f t="shared" ref="H462:H463" si="60">(G462+D462-1595)/378</f>
        <v>41.912698412698411</v>
      </c>
      <c r="I462" s="228"/>
      <c r="J462" s="227">
        <v>2893010</v>
      </c>
      <c r="K462" s="229">
        <f t="shared" si="53"/>
        <v>5810</v>
      </c>
      <c r="L462" s="231">
        <f t="shared" si="51"/>
        <v>43.037037037037038</v>
      </c>
      <c r="M462" s="228"/>
      <c r="N462" s="227">
        <v>515071</v>
      </c>
      <c r="O462" s="232">
        <f t="shared" si="56"/>
        <v>704</v>
      </c>
      <c r="P462" s="365" t="s">
        <v>78</v>
      </c>
      <c r="Q462" s="42">
        <v>571231</v>
      </c>
      <c r="R462" s="44">
        <f t="shared" si="54"/>
        <v>201</v>
      </c>
      <c r="S462" s="358"/>
      <c r="T462" s="227">
        <v>63551</v>
      </c>
      <c r="U462" s="233">
        <f t="shared" si="57"/>
        <v>46</v>
      </c>
      <c r="V462" s="228"/>
      <c r="W462" s="227">
        <v>45413</v>
      </c>
      <c r="X462" s="232">
        <f t="shared" si="50"/>
        <v>1</v>
      </c>
      <c r="Y462" s="228"/>
      <c r="Z462" s="253"/>
    </row>
    <row r="463" spans="1:26">
      <c r="A463" s="150">
        <v>44992</v>
      </c>
      <c r="B463" s="154">
        <f t="shared" si="59"/>
        <v>44992</v>
      </c>
      <c r="C463" s="227">
        <v>1735686</v>
      </c>
      <c r="D463" s="319">
        <f t="shared" si="55"/>
        <v>5710</v>
      </c>
      <c r="E463" s="228"/>
      <c r="F463" s="227">
        <v>5254882</v>
      </c>
      <c r="G463" s="229">
        <f t="shared" si="58"/>
        <v>11477</v>
      </c>
      <c r="H463" s="230">
        <f t="shared" si="60"/>
        <v>41.248677248677247</v>
      </c>
      <c r="I463" s="228"/>
      <c r="J463" s="227">
        <v>2898820</v>
      </c>
      <c r="K463" s="229">
        <f t="shared" si="53"/>
        <v>9705</v>
      </c>
      <c r="L463" s="231">
        <f>K463/145</f>
        <v>66.931034482758619</v>
      </c>
      <c r="M463" s="228"/>
      <c r="N463" s="240">
        <v>515775</v>
      </c>
      <c r="O463" s="241">
        <f t="shared" si="56"/>
        <v>755</v>
      </c>
      <c r="P463" s="369"/>
      <c r="Q463" s="42">
        <v>571432</v>
      </c>
      <c r="R463" s="44">
        <f t="shared" si="54"/>
        <v>191</v>
      </c>
      <c r="S463" s="358"/>
      <c r="T463" s="227">
        <v>63597</v>
      </c>
      <c r="U463" s="233">
        <f t="shared" si="57"/>
        <v>43</v>
      </c>
      <c r="V463" s="228"/>
      <c r="W463" s="227">
        <v>45414</v>
      </c>
      <c r="X463" s="232">
        <f t="shared" si="50"/>
        <v>0</v>
      </c>
      <c r="Y463" s="228"/>
      <c r="Z463" s="253"/>
    </row>
    <row r="464" spans="1:26">
      <c r="A464" s="150">
        <v>44993</v>
      </c>
      <c r="B464" s="154">
        <f t="shared" si="59"/>
        <v>44993</v>
      </c>
      <c r="C464" s="227">
        <v>1741396</v>
      </c>
      <c r="D464" s="319">
        <f t="shared" si="55"/>
        <v>6021</v>
      </c>
      <c r="E464" s="228"/>
      <c r="F464" s="227">
        <v>5266359</v>
      </c>
      <c r="G464" s="229">
        <f t="shared" si="58"/>
        <v>12081</v>
      </c>
      <c r="H464" s="230">
        <f t="shared" si="52"/>
        <v>44.254691689008041</v>
      </c>
      <c r="I464" s="228"/>
      <c r="J464" s="227">
        <v>2908525</v>
      </c>
      <c r="K464" s="229">
        <f t="shared" si="53"/>
        <v>5526</v>
      </c>
      <c r="L464" s="231">
        <f t="shared" si="51"/>
        <v>40.93333333333333</v>
      </c>
      <c r="M464" s="228"/>
      <c r="N464" s="240">
        <v>516530</v>
      </c>
      <c r="O464" s="241">
        <f t="shared" si="56"/>
        <v>778</v>
      </c>
      <c r="P464" s="369"/>
      <c r="Q464" s="42">
        <v>571623</v>
      </c>
      <c r="R464" s="44">
        <f t="shared" si="54"/>
        <v>157</v>
      </c>
      <c r="S464" s="358"/>
      <c r="T464" s="227">
        <v>63640</v>
      </c>
      <c r="U464" s="233">
        <f t="shared" si="57"/>
        <v>0</v>
      </c>
      <c r="V464" s="228"/>
      <c r="W464" s="227">
        <v>45414</v>
      </c>
      <c r="X464" s="232">
        <f t="shared" si="50"/>
        <v>0</v>
      </c>
      <c r="Y464" s="228"/>
      <c r="Z464" s="253"/>
    </row>
    <row r="465" spans="1:26">
      <c r="A465" s="150">
        <v>44994</v>
      </c>
      <c r="B465" s="154">
        <f t="shared" si="59"/>
        <v>44994</v>
      </c>
      <c r="C465" s="227">
        <v>1747417</v>
      </c>
      <c r="D465" s="319">
        <f t="shared" si="55"/>
        <v>5847</v>
      </c>
      <c r="E465" s="228"/>
      <c r="F465" s="227">
        <v>5278440</v>
      </c>
      <c r="G465" s="229">
        <f t="shared" si="58"/>
        <v>11852</v>
      </c>
      <c r="H465" s="230">
        <f t="shared" si="52"/>
        <v>43.174262734584453</v>
      </c>
      <c r="I465" s="228"/>
      <c r="J465" s="227">
        <v>2914051</v>
      </c>
      <c r="K465" s="229">
        <f t="shared" si="53"/>
        <v>9089</v>
      </c>
      <c r="L465" s="231">
        <f t="shared" si="51"/>
        <v>67.32592592592593</v>
      </c>
      <c r="M465" s="228"/>
      <c r="N465" s="240">
        <v>517308</v>
      </c>
      <c r="O465" s="241">
        <f t="shared" si="56"/>
        <v>1220</v>
      </c>
      <c r="P465" s="369"/>
      <c r="Q465" s="42">
        <v>571780</v>
      </c>
      <c r="R465" s="44">
        <f t="shared" si="54"/>
        <v>434</v>
      </c>
      <c r="S465" s="358"/>
      <c r="T465" s="227">
        <v>63640</v>
      </c>
      <c r="U465" s="233">
        <f t="shared" si="57"/>
        <v>24</v>
      </c>
      <c r="V465" s="228"/>
      <c r="W465" s="227">
        <v>45414</v>
      </c>
      <c r="X465" s="232">
        <f t="shared" si="50"/>
        <v>0</v>
      </c>
      <c r="Y465" s="228"/>
      <c r="Z465" s="253"/>
    </row>
    <row r="466" spans="1:26">
      <c r="A466" s="150">
        <v>44995</v>
      </c>
      <c r="B466" s="154">
        <f t="shared" si="59"/>
        <v>44995</v>
      </c>
      <c r="C466" s="227">
        <v>1753264</v>
      </c>
      <c r="D466" s="319">
        <f t="shared" si="55"/>
        <v>5163</v>
      </c>
      <c r="E466" s="40" t="s">
        <v>78</v>
      </c>
      <c r="F466" s="227">
        <v>5290292</v>
      </c>
      <c r="G466" s="229">
        <f t="shared" si="58"/>
        <v>10793</v>
      </c>
      <c r="H466" s="230">
        <f t="shared" si="52"/>
        <v>38.501340482573724</v>
      </c>
      <c r="I466" s="40" t="s">
        <v>78</v>
      </c>
      <c r="J466" s="227">
        <v>2923140</v>
      </c>
      <c r="K466" s="229">
        <f t="shared" si="53"/>
        <v>4896</v>
      </c>
      <c r="L466" s="231">
        <f t="shared" si="51"/>
        <v>36.266666666666666</v>
      </c>
      <c r="M466" s="40" t="s">
        <v>78</v>
      </c>
      <c r="N466" s="240">
        <v>518528</v>
      </c>
      <c r="O466" s="241">
        <f t="shared" si="56"/>
        <v>876</v>
      </c>
      <c r="P466" s="369"/>
      <c r="Q466" s="42">
        <v>572214</v>
      </c>
      <c r="R466" s="44">
        <f t="shared" si="54"/>
        <v>0</v>
      </c>
      <c r="S466" s="358"/>
      <c r="T466" s="227">
        <v>63664</v>
      </c>
      <c r="U466" s="233">
        <f t="shared" si="57"/>
        <v>823</v>
      </c>
      <c r="V466" s="40" t="s">
        <v>78</v>
      </c>
      <c r="W466" s="227">
        <v>45414</v>
      </c>
      <c r="X466" s="232">
        <f t="shared" si="50"/>
        <v>3</v>
      </c>
      <c r="Y466" s="40" t="s">
        <v>78</v>
      </c>
      <c r="Z466" s="253"/>
    </row>
    <row r="467" spans="1:26">
      <c r="A467" s="150">
        <v>44996</v>
      </c>
      <c r="B467" s="154">
        <f t="shared" si="59"/>
        <v>44996</v>
      </c>
      <c r="C467" s="46">
        <v>1758427</v>
      </c>
      <c r="D467" s="35">
        <f t="shared" si="55"/>
        <v>404</v>
      </c>
      <c r="E467" s="39"/>
      <c r="F467" s="46">
        <v>5301085</v>
      </c>
      <c r="G467" s="2">
        <f t="shared" si="58"/>
        <v>6488</v>
      </c>
      <c r="H467" s="156">
        <f t="shared" si="52"/>
        <v>14.201072386058982</v>
      </c>
      <c r="I467" s="39"/>
      <c r="J467" s="46">
        <v>2928036</v>
      </c>
      <c r="K467" s="2">
        <f t="shared" si="53"/>
        <v>41</v>
      </c>
      <c r="L467" s="160">
        <f t="shared" si="51"/>
        <v>0.3037037037037037</v>
      </c>
      <c r="M467" s="39"/>
      <c r="N467" s="240">
        <v>519404</v>
      </c>
      <c r="O467" s="241">
        <f t="shared" si="56"/>
        <v>846</v>
      </c>
      <c r="P467" s="369"/>
      <c r="Q467" s="42">
        <v>572214</v>
      </c>
      <c r="R467" s="44">
        <f t="shared" si="54"/>
        <v>0</v>
      </c>
      <c r="S467" s="358"/>
      <c r="T467" s="46">
        <v>64487</v>
      </c>
      <c r="U467" s="166">
        <f t="shared" si="57"/>
        <v>0</v>
      </c>
      <c r="V467" s="39"/>
      <c r="W467" s="46">
        <v>45417</v>
      </c>
      <c r="X467" s="12">
        <f t="shared" si="50"/>
        <v>0</v>
      </c>
      <c r="Y467" s="39"/>
      <c r="Z467" s="253"/>
    </row>
    <row r="468" spans="1:26">
      <c r="A468" s="150">
        <v>44997</v>
      </c>
      <c r="B468" s="154">
        <f t="shared" si="59"/>
        <v>44997</v>
      </c>
      <c r="C468" s="46">
        <v>1758831</v>
      </c>
      <c r="D468" s="35">
        <f t="shared" si="55"/>
        <v>0</v>
      </c>
      <c r="E468" s="39"/>
      <c r="F468" s="46">
        <v>5307573</v>
      </c>
      <c r="G468" s="2">
        <f t="shared" si="58"/>
        <v>0</v>
      </c>
      <c r="H468" s="156">
        <f t="shared" si="52"/>
        <v>-4.2761394101876675</v>
      </c>
      <c r="I468" s="39"/>
      <c r="J468" s="46">
        <v>2928077</v>
      </c>
      <c r="K468" s="2">
        <f t="shared" si="53"/>
        <v>0</v>
      </c>
      <c r="L468" s="160">
        <f t="shared" si="51"/>
        <v>0</v>
      </c>
      <c r="M468" s="39"/>
      <c r="N468" s="240">
        <v>520250</v>
      </c>
      <c r="O468" s="241">
        <f t="shared" si="56"/>
        <v>0</v>
      </c>
      <c r="P468" s="369"/>
      <c r="Q468" s="42">
        <v>572214</v>
      </c>
      <c r="R468" s="44">
        <f t="shared" si="54"/>
        <v>0</v>
      </c>
      <c r="S468" s="358"/>
      <c r="T468" s="46">
        <v>64487</v>
      </c>
      <c r="U468" s="166">
        <f t="shared" si="57"/>
        <v>0</v>
      </c>
      <c r="V468" s="39"/>
      <c r="W468" s="46">
        <v>45417</v>
      </c>
      <c r="X468" s="12">
        <f t="shared" si="50"/>
        <v>0</v>
      </c>
      <c r="Y468" s="39"/>
      <c r="Z468" s="253"/>
    </row>
    <row r="469" spans="1:26">
      <c r="A469" s="150">
        <v>44998</v>
      </c>
      <c r="B469" s="154">
        <f t="shared" si="59"/>
        <v>44998</v>
      </c>
      <c r="C469" s="46">
        <v>1758831</v>
      </c>
      <c r="D469" s="35">
        <f t="shared" si="55"/>
        <v>5918</v>
      </c>
      <c r="E469" s="39"/>
      <c r="F469" s="46">
        <v>5307573</v>
      </c>
      <c r="G469" s="2">
        <f t="shared" si="58"/>
        <v>11909</v>
      </c>
      <c r="H469" s="156">
        <f t="shared" si="52"/>
        <v>43.517426273458447</v>
      </c>
      <c r="I469" s="39"/>
      <c r="J469" s="46">
        <v>2928077</v>
      </c>
      <c r="K469" s="2">
        <f t="shared" si="53"/>
        <v>9932</v>
      </c>
      <c r="L469" s="160">
        <f t="shared" si="51"/>
        <v>73.57037037037037</v>
      </c>
      <c r="M469" s="39"/>
      <c r="N469" s="240">
        <v>520250</v>
      </c>
      <c r="O469" s="241">
        <f t="shared" si="56"/>
        <v>866</v>
      </c>
      <c r="P469" s="369"/>
      <c r="Q469" s="42">
        <v>572214</v>
      </c>
      <c r="R469" s="44">
        <f t="shared" si="54"/>
        <v>212</v>
      </c>
      <c r="S469" s="358"/>
      <c r="T469" s="46">
        <v>64487</v>
      </c>
      <c r="U469" s="166">
        <f t="shared" si="57"/>
        <v>0</v>
      </c>
      <c r="V469" s="39"/>
      <c r="W469" s="46">
        <v>45417</v>
      </c>
      <c r="X469" s="12">
        <f t="shared" ref="X469:X532" si="61">W470-W469</f>
        <v>0</v>
      </c>
      <c r="Y469" s="39"/>
      <c r="Z469" s="253"/>
    </row>
    <row r="470" spans="1:26">
      <c r="A470" s="150">
        <v>44999</v>
      </c>
      <c r="B470" s="154">
        <f t="shared" si="59"/>
        <v>44999</v>
      </c>
      <c r="C470" s="46">
        <v>1764749</v>
      </c>
      <c r="D470" s="35">
        <f t="shared" si="55"/>
        <v>5875</v>
      </c>
      <c r="E470" s="39"/>
      <c r="F470" s="46">
        <v>5319482</v>
      </c>
      <c r="G470" s="2">
        <f t="shared" si="58"/>
        <v>11724</v>
      </c>
      <c r="H470" s="156">
        <f t="shared" si="52"/>
        <v>42.906166219839143</v>
      </c>
      <c r="I470" s="39"/>
      <c r="J470" s="46">
        <v>2938009</v>
      </c>
      <c r="K470" s="2">
        <f t="shared" si="53"/>
        <v>5377</v>
      </c>
      <c r="L470" s="160">
        <f t="shared" si="51"/>
        <v>39.829629629629629</v>
      </c>
      <c r="M470" s="39"/>
      <c r="N470" s="240">
        <v>521116</v>
      </c>
      <c r="O470" s="241">
        <f t="shared" si="56"/>
        <v>697</v>
      </c>
      <c r="P470" s="369"/>
      <c r="Q470" s="42">
        <v>572426</v>
      </c>
      <c r="R470" s="44">
        <f t="shared" si="54"/>
        <v>186</v>
      </c>
      <c r="S470" s="358"/>
      <c r="T470" s="46">
        <v>64487</v>
      </c>
      <c r="U470" s="166">
        <f t="shared" si="57"/>
        <v>0</v>
      </c>
      <c r="V470" s="39"/>
      <c r="W470" s="46">
        <v>45417</v>
      </c>
      <c r="X470" s="12">
        <f t="shared" si="61"/>
        <v>0</v>
      </c>
      <c r="Y470" s="39"/>
      <c r="Z470" s="253"/>
    </row>
    <row r="471" spans="1:26">
      <c r="A471" s="150">
        <v>45000</v>
      </c>
      <c r="B471" s="154">
        <f t="shared" si="59"/>
        <v>45000</v>
      </c>
      <c r="C471" s="46">
        <v>1770624</v>
      </c>
      <c r="D471" s="35">
        <f t="shared" si="55"/>
        <v>6168</v>
      </c>
      <c r="E471" s="39"/>
      <c r="F471" s="46">
        <v>5331206</v>
      </c>
      <c r="G471" s="2">
        <f t="shared" si="58"/>
        <v>11972</v>
      </c>
      <c r="H471" s="156">
        <f t="shared" si="52"/>
        <v>44.356568364611263</v>
      </c>
      <c r="I471" s="39"/>
      <c r="J471" s="46">
        <v>2943386</v>
      </c>
      <c r="K471" s="2">
        <f t="shared" si="53"/>
        <v>5678</v>
      </c>
      <c r="L471" s="160">
        <f t="shared" si="51"/>
        <v>42.059259259259257</v>
      </c>
      <c r="M471" s="39"/>
      <c r="N471" s="240">
        <v>521813</v>
      </c>
      <c r="O471" s="241">
        <f t="shared" si="56"/>
        <v>955</v>
      </c>
      <c r="P471" s="369"/>
      <c r="Q471" s="42">
        <v>572612</v>
      </c>
      <c r="R471" s="44">
        <f t="shared" si="54"/>
        <v>123</v>
      </c>
      <c r="S471" s="358"/>
      <c r="T471" s="46">
        <v>64487</v>
      </c>
      <c r="U471" s="166">
        <f t="shared" si="57"/>
        <v>0</v>
      </c>
      <c r="V471" s="39"/>
      <c r="W471" s="46">
        <v>45417</v>
      </c>
      <c r="X471" s="12">
        <f t="shared" si="61"/>
        <v>0</v>
      </c>
      <c r="Y471" s="39"/>
      <c r="Z471" s="253"/>
    </row>
    <row r="472" spans="1:26">
      <c r="A472" s="150">
        <v>45001</v>
      </c>
      <c r="B472" s="154">
        <f t="shared" si="59"/>
        <v>45001</v>
      </c>
      <c r="C472" s="46">
        <v>1776792</v>
      </c>
      <c r="D472" s="35">
        <f t="shared" si="55"/>
        <v>6343</v>
      </c>
      <c r="E472" s="39"/>
      <c r="F472" s="46">
        <v>5343178</v>
      </c>
      <c r="G472" s="2">
        <f t="shared" si="58"/>
        <v>12293</v>
      </c>
      <c r="H472" s="156">
        <f t="shared" si="52"/>
        <v>45.68632707774799</v>
      </c>
      <c r="I472" s="39"/>
      <c r="J472" s="46">
        <v>2949064</v>
      </c>
      <c r="K472" s="2">
        <f t="shared" si="53"/>
        <v>10447</v>
      </c>
      <c r="L472" s="160">
        <f t="shared" si="51"/>
        <v>77.385185185185179</v>
      </c>
      <c r="M472" s="39"/>
      <c r="N472" s="240">
        <v>522768</v>
      </c>
      <c r="O472" s="241">
        <f t="shared" si="56"/>
        <v>958</v>
      </c>
      <c r="P472" s="369"/>
      <c r="Q472" s="42">
        <v>572735</v>
      </c>
      <c r="R472" s="44">
        <f t="shared" si="54"/>
        <v>216</v>
      </c>
      <c r="S472" s="358"/>
      <c r="T472" s="46">
        <v>64487</v>
      </c>
      <c r="U472" s="166">
        <f t="shared" si="57"/>
        <v>55</v>
      </c>
      <c r="V472" s="39"/>
      <c r="W472" s="46">
        <v>45417</v>
      </c>
      <c r="X472" s="12">
        <f t="shared" si="61"/>
        <v>0</v>
      </c>
      <c r="Y472" s="39"/>
      <c r="Z472" s="253"/>
    </row>
    <row r="473" spans="1:26">
      <c r="A473" s="150">
        <v>45002</v>
      </c>
      <c r="B473" s="154">
        <f t="shared" si="59"/>
        <v>45002</v>
      </c>
      <c r="C473" s="46">
        <v>1783135</v>
      </c>
      <c r="D473" s="35">
        <f t="shared" si="55"/>
        <v>5583</v>
      </c>
      <c r="E473" s="39"/>
      <c r="F473" s="46">
        <v>5355471</v>
      </c>
      <c r="G473" s="2">
        <f t="shared" si="58"/>
        <v>11047</v>
      </c>
      <c r="H473" s="156">
        <f t="shared" si="52"/>
        <v>40.308310991957107</v>
      </c>
      <c r="I473" s="39"/>
      <c r="J473" s="46">
        <v>2959511</v>
      </c>
      <c r="K473" s="2">
        <f t="shared" si="53"/>
        <v>5295</v>
      </c>
      <c r="L473" s="160">
        <f t="shared" si="51"/>
        <v>39.222222222222221</v>
      </c>
      <c r="M473" s="39"/>
      <c r="N473" s="240">
        <v>523726</v>
      </c>
      <c r="O473" s="241">
        <f t="shared" si="56"/>
        <v>860</v>
      </c>
      <c r="P473" s="369"/>
      <c r="Q473" s="42">
        <v>572951</v>
      </c>
      <c r="R473" s="44">
        <f t="shared" si="54"/>
        <v>537</v>
      </c>
      <c r="S473" s="358"/>
      <c r="T473" s="46">
        <v>64542</v>
      </c>
      <c r="U473" s="166">
        <f t="shared" si="57"/>
        <v>56</v>
      </c>
      <c r="V473" s="39"/>
      <c r="W473" s="46">
        <v>45417</v>
      </c>
      <c r="X473" s="12">
        <f t="shared" si="61"/>
        <v>7</v>
      </c>
      <c r="Y473" s="39"/>
      <c r="Z473" s="253"/>
    </row>
    <row r="474" spans="1:26">
      <c r="A474" s="150">
        <v>45003</v>
      </c>
      <c r="B474" s="154">
        <f t="shared" si="59"/>
        <v>45003</v>
      </c>
      <c r="C474" s="46">
        <v>1788718</v>
      </c>
      <c r="D474" s="35">
        <f t="shared" si="55"/>
        <v>466</v>
      </c>
      <c r="E474" s="39"/>
      <c r="F474" s="46">
        <v>5366518</v>
      </c>
      <c r="G474" s="2">
        <f t="shared" si="58"/>
        <v>5699</v>
      </c>
      <c r="H474" s="156">
        <f t="shared" si="52"/>
        <v>12.25201072386059</v>
      </c>
      <c r="I474" s="39"/>
      <c r="J474" s="46">
        <v>2964806</v>
      </c>
      <c r="K474" s="2">
        <f t="shared" si="53"/>
        <v>0</v>
      </c>
      <c r="L474" s="160">
        <f t="shared" ref="L474:L537" si="62">K474/135</f>
        <v>0</v>
      </c>
      <c r="M474" s="39"/>
      <c r="N474" s="240">
        <v>524586</v>
      </c>
      <c r="O474" s="241">
        <f t="shared" si="56"/>
        <v>932</v>
      </c>
      <c r="P474" s="369"/>
      <c r="Q474" s="42">
        <v>573488</v>
      </c>
      <c r="R474" s="44">
        <f t="shared" si="54"/>
        <v>0</v>
      </c>
      <c r="S474" s="358"/>
      <c r="T474" s="46">
        <v>64598</v>
      </c>
      <c r="U474" s="166">
        <f t="shared" si="57"/>
        <v>0</v>
      </c>
      <c r="V474" s="39"/>
      <c r="W474" s="46">
        <v>45424</v>
      </c>
      <c r="X474" s="12">
        <f t="shared" si="61"/>
        <v>0</v>
      </c>
      <c r="Y474" s="39"/>
      <c r="Z474" s="253"/>
    </row>
    <row r="475" spans="1:26">
      <c r="A475" s="150">
        <v>45004</v>
      </c>
      <c r="B475" s="154">
        <f t="shared" si="59"/>
        <v>45004</v>
      </c>
      <c r="C475" s="46">
        <v>1789184</v>
      </c>
      <c r="D475" s="35">
        <f t="shared" si="55"/>
        <v>0</v>
      </c>
      <c r="E475" s="39"/>
      <c r="F475" s="46">
        <v>5372217</v>
      </c>
      <c r="G475" s="2">
        <f t="shared" si="58"/>
        <v>0</v>
      </c>
      <c r="H475" s="156">
        <f t="shared" si="52"/>
        <v>-4.2761394101876675</v>
      </c>
      <c r="I475" s="39"/>
      <c r="J475" s="46">
        <v>2964806</v>
      </c>
      <c r="K475" s="2">
        <f t="shared" si="53"/>
        <v>0</v>
      </c>
      <c r="L475" s="160">
        <f t="shared" si="62"/>
        <v>0</v>
      </c>
      <c r="M475" s="39"/>
      <c r="N475" s="240">
        <v>525518</v>
      </c>
      <c r="O475" s="241">
        <f t="shared" si="56"/>
        <v>0</v>
      </c>
      <c r="P475" s="369"/>
      <c r="Q475" s="42">
        <v>573488</v>
      </c>
      <c r="R475" s="44">
        <f t="shared" si="54"/>
        <v>0</v>
      </c>
      <c r="S475" s="358"/>
      <c r="T475" s="46">
        <v>64598</v>
      </c>
      <c r="U475" s="166">
        <f t="shared" si="57"/>
        <v>0</v>
      </c>
      <c r="V475" s="39"/>
      <c r="W475" s="46">
        <v>45424</v>
      </c>
      <c r="X475" s="12">
        <f t="shared" si="61"/>
        <v>0</v>
      </c>
      <c r="Y475" s="39"/>
      <c r="Z475" s="253"/>
    </row>
    <row r="476" spans="1:26">
      <c r="A476" s="150">
        <v>45005</v>
      </c>
      <c r="B476" s="154">
        <f t="shared" si="59"/>
        <v>45005</v>
      </c>
      <c r="C476" s="46">
        <v>1789184</v>
      </c>
      <c r="D476" s="35">
        <f t="shared" si="55"/>
        <v>6371</v>
      </c>
      <c r="E476" s="39"/>
      <c r="F476" s="46">
        <v>5372217</v>
      </c>
      <c r="G476" s="2">
        <f t="shared" si="58"/>
        <v>12217</v>
      </c>
      <c r="H476" s="156">
        <f t="shared" si="52"/>
        <v>45.557640750670238</v>
      </c>
      <c r="I476" s="39"/>
      <c r="J476" s="46">
        <v>2964806</v>
      </c>
      <c r="K476" s="2">
        <f t="shared" si="53"/>
        <v>5252</v>
      </c>
      <c r="L476" s="160">
        <f t="shared" si="62"/>
        <v>38.903703703703705</v>
      </c>
      <c r="M476" s="39"/>
      <c r="N476" s="240">
        <v>525518</v>
      </c>
      <c r="O476" s="241">
        <f t="shared" si="56"/>
        <v>788</v>
      </c>
      <c r="P476" s="369"/>
      <c r="Q476" s="42">
        <v>573488</v>
      </c>
      <c r="R476" s="44">
        <f t="shared" si="54"/>
        <v>230</v>
      </c>
      <c r="S476" s="358"/>
      <c r="T476" s="46">
        <v>64598</v>
      </c>
      <c r="U476" s="166">
        <f t="shared" si="57"/>
        <v>10</v>
      </c>
      <c r="V476" s="39"/>
      <c r="W476" s="46">
        <v>45424</v>
      </c>
      <c r="X476" s="12">
        <f t="shared" si="61"/>
        <v>0</v>
      </c>
      <c r="Y476" s="39"/>
      <c r="Z476" s="253"/>
    </row>
    <row r="477" spans="1:26">
      <c r="A477" s="150">
        <v>45006</v>
      </c>
      <c r="B477" s="154">
        <f t="shared" si="59"/>
        <v>45006</v>
      </c>
      <c r="C477" s="46">
        <v>1795555</v>
      </c>
      <c r="D477" s="35">
        <f t="shared" si="55"/>
        <v>6217</v>
      </c>
      <c r="E477" s="39"/>
      <c r="F477" s="46">
        <v>5384434</v>
      </c>
      <c r="G477" s="2">
        <f t="shared" si="58"/>
        <v>12061</v>
      </c>
      <c r="H477" s="156">
        <f t="shared" si="52"/>
        <v>44.726541554959788</v>
      </c>
      <c r="I477" s="39"/>
      <c r="J477" s="46">
        <v>2970058</v>
      </c>
      <c r="K477" s="2">
        <f t="shared" si="53"/>
        <v>10322</v>
      </c>
      <c r="L477" s="160">
        <f t="shared" si="62"/>
        <v>76.459259259259255</v>
      </c>
      <c r="M477" s="39"/>
      <c r="N477" s="240">
        <v>526306</v>
      </c>
      <c r="O477" s="241">
        <f t="shared" si="56"/>
        <v>918</v>
      </c>
      <c r="P477" s="369"/>
      <c r="Q477" s="42">
        <v>573718</v>
      </c>
      <c r="R477" s="44">
        <f t="shared" si="54"/>
        <v>248</v>
      </c>
      <c r="S477" s="358"/>
      <c r="T477" s="46">
        <v>64608</v>
      </c>
      <c r="U477" s="166">
        <f t="shared" si="57"/>
        <v>0</v>
      </c>
      <c r="V477" s="39"/>
      <c r="W477" s="46">
        <v>45424</v>
      </c>
      <c r="X477" s="12">
        <f t="shared" si="61"/>
        <v>0</v>
      </c>
      <c r="Y477" s="39"/>
      <c r="Z477" s="253"/>
    </row>
    <row r="478" spans="1:26">
      <c r="A478" s="150">
        <v>45007</v>
      </c>
      <c r="B478" s="154">
        <f t="shared" si="59"/>
        <v>45007</v>
      </c>
      <c r="C478" s="46">
        <v>1801772</v>
      </c>
      <c r="D478" s="35">
        <f t="shared" si="55"/>
        <v>6199</v>
      </c>
      <c r="E478" s="39"/>
      <c r="F478" s="46">
        <v>5396495</v>
      </c>
      <c r="G478" s="2">
        <f t="shared" si="58"/>
        <v>12028</v>
      </c>
      <c r="H478" s="156">
        <f t="shared" si="52"/>
        <v>44.589812332439678</v>
      </c>
      <c r="I478" s="39"/>
      <c r="J478" s="46">
        <v>2980380</v>
      </c>
      <c r="K478" s="2">
        <f t="shared" si="53"/>
        <v>6148</v>
      </c>
      <c r="L478" s="160">
        <f t="shared" si="62"/>
        <v>45.540740740740738</v>
      </c>
      <c r="M478" s="39"/>
      <c r="N478" s="240">
        <v>527224</v>
      </c>
      <c r="O478" s="241">
        <f t="shared" si="56"/>
        <v>774</v>
      </c>
      <c r="P478" s="369"/>
      <c r="Q478" s="42">
        <v>573966</v>
      </c>
      <c r="R478" s="44">
        <f t="shared" si="54"/>
        <v>263</v>
      </c>
      <c r="S478" s="358"/>
      <c r="T478" s="46">
        <v>64608</v>
      </c>
      <c r="U478" s="166">
        <f t="shared" si="57"/>
        <v>63</v>
      </c>
      <c r="V478" s="39"/>
      <c r="W478" s="46">
        <v>45424</v>
      </c>
      <c r="X478" s="12">
        <f t="shared" si="61"/>
        <v>1</v>
      </c>
      <c r="Y478" s="39"/>
      <c r="Z478" s="253"/>
    </row>
    <row r="479" spans="1:26">
      <c r="A479" s="150">
        <v>45008</v>
      </c>
      <c r="B479" s="154">
        <f t="shared" si="59"/>
        <v>45008</v>
      </c>
      <c r="C479" s="46">
        <v>1807971</v>
      </c>
      <c r="D479" s="35">
        <f t="shared" si="55"/>
        <v>5752</v>
      </c>
      <c r="E479" s="39"/>
      <c r="F479" s="46">
        <v>5408523</v>
      </c>
      <c r="G479" s="2">
        <f t="shared" si="58"/>
        <v>11342</v>
      </c>
      <c r="H479" s="156">
        <f t="shared" si="52"/>
        <v>41.552278820375335</v>
      </c>
      <c r="I479" s="39"/>
      <c r="J479" s="46">
        <v>2986528</v>
      </c>
      <c r="K479" s="2">
        <f t="shared" si="53"/>
        <v>5780</v>
      </c>
      <c r="L479" s="160">
        <f t="shared" si="62"/>
        <v>42.814814814814817</v>
      </c>
      <c r="M479" s="39"/>
      <c r="N479" s="240">
        <v>527998</v>
      </c>
      <c r="O479" s="241">
        <f t="shared" si="56"/>
        <v>925</v>
      </c>
      <c r="P479" s="369"/>
      <c r="Q479" s="42">
        <v>574229</v>
      </c>
      <c r="R479" s="44">
        <f t="shared" si="54"/>
        <v>250</v>
      </c>
      <c r="S479" s="358"/>
      <c r="T479" s="46">
        <v>64671</v>
      </c>
      <c r="U479" s="166">
        <f t="shared" si="57"/>
        <v>0</v>
      </c>
      <c r="V479" s="39"/>
      <c r="W479" s="46">
        <v>45425</v>
      </c>
      <c r="X479" s="12">
        <f t="shared" si="61"/>
        <v>0</v>
      </c>
      <c r="Y479" s="39"/>
      <c r="Z479" s="253"/>
    </row>
    <row r="480" spans="1:26">
      <c r="A480" s="150">
        <v>45009</v>
      </c>
      <c r="B480" s="154">
        <f t="shared" si="59"/>
        <v>45009</v>
      </c>
      <c r="C480" s="46">
        <v>1813723</v>
      </c>
      <c r="D480" s="35">
        <f t="shared" si="55"/>
        <v>5740</v>
      </c>
      <c r="E480" s="39"/>
      <c r="F480" s="46">
        <v>5419865</v>
      </c>
      <c r="G480" s="2">
        <f t="shared" si="58"/>
        <v>11443</v>
      </c>
      <c r="H480" s="156">
        <f t="shared" si="52"/>
        <v>41.79088471849866</v>
      </c>
      <c r="I480" s="39"/>
      <c r="J480" s="46">
        <v>2992308</v>
      </c>
      <c r="K480" s="2">
        <f t="shared" si="53"/>
        <v>9415</v>
      </c>
      <c r="L480" s="160">
        <f t="shared" si="62"/>
        <v>69.740740740740748</v>
      </c>
      <c r="M480" s="39"/>
      <c r="N480" s="240">
        <v>528923</v>
      </c>
      <c r="O480" s="241">
        <f t="shared" si="56"/>
        <v>928</v>
      </c>
      <c r="P480" s="369"/>
      <c r="Q480" s="42">
        <v>574479</v>
      </c>
      <c r="R480" s="44">
        <f t="shared" si="54"/>
        <v>710</v>
      </c>
      <c r="S480" s="358"/>
      <c r="T480" s="46">
        <v>64671</v>
      </c>
      <c r="U480" s="166">
        <f t="shared" si="57"/>
        <v>44</v>
      </c>
      <c r="V480" s="39"/>
      <c r="W480" s="46">
        <v>45425</v>
      </c>
      <c r="X480" s="12">
        <f t="shared" si="61"/>
        <v>2</v>
      </c>
      <c r="Y480" s="39"/>
      <c r="Z480" s="253"/>
    </row>
    <row r="481" spans="1:26">
      <c r="A481" s="150">
        <v>45010</v>
      </c>
      <c r="B481" s="154">
        <f t="shared" si="59"/>
        <v>45010</v>
      </c>
      <c r="C481" s="46">
        <v>1819463</v>
      </c>
      <c r="D481" s="35">
        <f t="shared" si="55"/>
        <v>2082</v>
      </c>
      <c r="E481" s="39"/>
      <c r="F481" s="46">
        <v>5431308</v>
      </c>
      <c r="G481" s="2">
        <f t="shared" si="58"/>
        <v>9519</v>
      </c>
      <c r="H481" s="156">
        <f t="shared" si="52"/>
        <v>26.825737265415551</v>
      </c>
      <c r="I481" s="39"/>
      <c r="J481" s="46">
        <v>3001723</v>
      </c>
      <c r="K481" s="2">
        <f t="shared" si="53"/>
        <v>553</v>
      </c>
      <c r="L481" s="160">
        <f t="shared" si="62"/>
        <v>4.0962962962962965</v>
      </c>
      <c r="M481" s="39"/>
      <c r="N481" s="240">
        <v>529851</v>
      </c>
      <c r="O481" s="241">
        <f t="shared" si="56"/>
        <v>810</v>
      </c>
      <c r="P481" s="369"/>
      <c r="Q481" s="42">
        <v>575189</v>
      </c>
      <c r="R481" s="44">
        <f t="shared" si="54"/>
        <v>0</v>
      </c>
      <c r="S481" s="358"/>
      <c r="T481" s="46">
        <v>64715</v>
      </c>
      <c r="U481" s="166">
        <f t="shared" si="57"/>
        <v>0</v>
      </c>
      <c r="V481" s="39"/>
      <c r="W481" s="46">
        <v>45427</v>
      </c>
      <c r="X481" s="12">
        <f t="shared" si="61"/>
        <v>0</v>
      </c>
      <c r="Y481" s="39"/>
      <c r="Z481" s="253"/>
    </row>
    <row r="482" spans="1:26">
      <c r="A482" s="150">
        <v>45011</v>
      </c>
      <c r="B482" s="154">
        <f t="shared" si="59"/>
        <v>45011</v>
      </c>
      <c r="C482" s="46">
        <v>1821545</v>
      </c>
      <c r="D482" s="35">
        <f t="shared" si="55"/>
        <v>0</v>
      </c>
      <c r="E482" s="39"/>
      <c r="F482" s="46">
        <v>5440827</v>
      </c>
      <c r="G482" s="2">
        <f t="shared" si="58"/>
        <v>0</v>
      </c>
      <c r="H482" s="156">
        <f t="shared" ref="H482:H498" si="63">(G482+D482-1595)/373</f>
        <v>-4.2761394101876675</v>
      </c>
      <c r="I482" s="39"/>
      <c r="J482" s="46">
        <v>3002276</v>
      </c>
      <c r="K482" s="2">
        <f t="shared" ref="K482:K549" si="64">IF(J483&gt;0,J483-J482," ")</f>
        <v>0</v>
      </c>
      <c r="L482" s="160">
        <f t="shared" si="62"/>
        <v>0</v>
      </c>
      <c r="M482" s="39"/>
      <c r="N482" s="240">
        <v>530661</v>
      </c>
      <c r="O482" s="241">
        <f t="shared" si="56"/>
        <v>0</v>
      </c>
      <c r="P482" s="369"/>
      <c r="Q482" s="42">
        <v>575189</v>
      </c>
      <c r="R482" s="44">
        <f t="shared" si="54"/>
        <v>0</v>
      </c>
      <c r="S482" s="358"/>
      <c r="T482" s="46">
        <v>64715</v>
      </c>
      <c r="U482" s="166">
        <f t="shared" si="57"/>
        <v>0</v>
      </c>
      <c r="V482" s="39"/>
      <c r="W482" s="46">
        <v>45427</v>
      </c>
      <c r="X482" s="12">
        <f t="shared" si="61"/>
        <v>0</v>
      </c>
      <c r="Y482" s="39"/>
      <c r="Z482" s="253"/>
    </row>
    <row r="483" spans="1:26">
      <c r="A483" s="150">
        <v>45012</v>
      </c>
      <c r="B483" s="154">
        <f t="shared" si="59"/>
        <v>45012</v>
      </c>
      <c r="C483" s="46">
        <v>1821545</v>
      </c>
      <c r="D483" s="35">
        <f t="shared" si="55"/>
        <v>6154</v>
      </c>
      <c r="E483" s="39"/>
      <c r="F483" s="46">
        <v>5440827</v>
      </c>
      <c r="G483" s="2">
        <f t="shared" si="58"/>
        <v>11907</v>
      </c>
      <c r="H483" s="156">
        <f t="shared" si="63"/>
        <v>44.144772117962468</v>
      </c>
      <c r="I483" s="39"/>
      <c r="J483" s="46">
        <v>3002276</v>
      </c>
      <c r="K483" s="2">
        <f t="shared" si="64"/>
        <v>5573</v>
      </c>
      <c r="L483" s="160">
        <f t="shared" si="62"/>
        <v>41.281481481481478</v>
      </c>
      <c r="M483" s="39"/>
      <c r="N483" s="240">
        <v>530661</v>
      </c>
      <c r="O483" s="241">
        <f t="shared" si="56"/>
        <v>891</v>
      </c>
      <c r="P483" s="369"/>
      <c r="Q483" s="42">
        <v>575189</v>
      </c>
      <c r="R483" s="44">
        <f t="shared" si="54"/>
        <v>227</v>
      </c>
      <c r="S483" s="358"/>
      <c r="T483" s="46">
        <v>64715</v>
      </c>
      <c r="U483" s="166">
        <f t="shared" si="57"/>
        <v>-64368</v>
      </c>
      <c r="V483" s="39"/>
      <c r="W483" s="46">
        <v>45427</v>
      </c>
      <c r="X483" s="12">
        <f t="shared" si="61"/>
        <v>3</v>
      </c>
      <c r="Y483" s="39"/>
      <c r="Z483" s="253"/>
    </row>
    <row r="484" spans="1:26">
      <c r="A484" s="150">
        <v>45013</v>
      </c>
      <c r="B484" s="154">
        <f t="shared" si="59"/>
        <v>45013</v>
      </c>
      <c r="C484" s="46">
        <v>1827699</v>
      </c>
      <c r="D484" s="35">
        <f t="shared" si="55"/>
        <v>5780</v>
      </c>
      <c r="E484" s="39"/>
      <c r="F484" s="46">
        <v>5452734</v>
      </c>
      <c r="G484" s="2">
        <f t="shared" si="58"/>
        <v>11298</v>
      </c>
      <c r="H484" s="156">
        <f t="shared" si="63"/>
        <v>41.509383378016089</v>
      </c>
      <c r="I484" s="39"/>
      <c r="J484" s="46">
        <v>3007849</v>
      </c>
      <c r="K484" s="2">
        <f t="shared" si="64"/>
        <v>4997</v>
      </c>
      <c r="L484" s="160">
        <f t="shared" si="62"/>
        <v>37.014814814814812</v>
      </c>
      <c r="M484" s="39"/>
      <c r="N484" s="240">
        <v>531552</v>
      </c>
      <c r="O484" s="241">
        <f t="shared" si="56"/>
        <v>796</v>
      </c>
      <c r="P484" s="369"/>
      <c r="Q484" s="42">
        <v>575416</v>
      </c>
      <c r="R484" s="44">
        <f t="shared" si="54"/>
        <v>201</v>
      </c>
      <c r="S484" s="358"/>
      <c r="T484" s="46">
        <v>347</v>
      </c>
      <c r="U484" s="166">
        <f t="shared" si="57"/>
        <v>906</v>
      </c>
      <c r="V484" s="39"/>
      <c r="W484" s="46">
        <v>45430</v>
      </c>
      <c r="X484" s="12">
        <f t="shared" si="61"/>
        <v>2</v>
      </c>
      <c r="Y484" s="39"/>
      <c r="Z484" s="246" t="s">
        <v>102</v>
      </c>
    </row>
    <row r="485" spans="1:26">
      <c r="A485" s="150">
        <v>45014</v>
      </c>
      <c r="B485" s="154">
        <f t="shared" si="59"/>
        <v>45014</v>
      </c>
      <c r="C485" s="46">
        <v>1833479</v>
      </c>
      <c r="D485" s="35">
        <f t="shared" si="55"/>
        <v>6251</v>
      </c>
      <c r="E485" s="39"/>
      <c r="F485" s="46">
        <v>5464032</v>
      </c>
      <c r="G485" s="2">
        <f t="shared" si="58"/>
        <v>12030</v>
      </c>
      <c r="H485" s="156">
        <f t="shared" si="63"/>
        <v>44.734584450402146</v>
      </c>
      <c r="I485" s="39"/>
      <c r="J485" s="46">
        <v>3012846</v>
      </c>
      <c r="K485" s="2">
        <f t="shared" si="64"/>
        <v>9522</v>
      </c>
      <c r="L485" s="160">
        <f t="shared" si="62"/>
        <v>70.533333333333331</v>
      </c>
      <c r="M485" s="39"/>
      <c r="N485" s="240">
        <v>532348</v>
      </c>
      <c r="O485" s="241">
        <f t="shared" si="56"/>
        <v>834</v>
      </c>
      <c r="P485" s="369"/>
      <c r="Q485" s="42">
        <v>575617</v>
      </c>
      <c r="R485" s="44">
        <f t="shared" si="54"/>
        <v>442</v>
      </c>
      <c r="S485" s="358"/>
      <c r="T485" s="46">
        <v>1253</v>
      </c>
      <c r="U485" s="166">
        <f t="shared" si="57"/>
        <v>0</v>
      </c>
      <c r="V485" s="39"/>
      <c r="W485" s="46">
        <v>45432</v>
      </c>
      <c r="X485" s="12">
        <f t="shared" si="61"/>
        <v>0</v>
      </c>
      <c r="Y485" s="39"/>
      <c r="Z485" s="253"/>
    </row>
    <row r="486" spans="1:26">
      <c r="A486" s="150">
        <v>45015</v>
      </c>
      <c r="B486" s="154">
        <f t="shared" si="59"/>
        <v>45015</v>
      </c>
      <c r="C486" s="46">
        <v>1839730</v>
      </c>
      <c r="D486" s="35">
        <f t="shared" si="55"/>
        <v>6263</v>
      </c>
      <c r="E486" s="39"/>
      <c r="F486" s="46">
        <v>5476062</v>
      </c>
      <c r="G486" s="2">
        <f t="shared" si="58"/>
        <v>12034</v>
      </c>
      <c r="H486" s="156">
        <f t="shared" si="63"/>
        <v>44.777479892761392</v>
      </c>
      <c r="I486" s="39"/>
      <c r="J486" s="46">
        <v>3022368</v>
      </c>
      <c r="K486" s="2">
        <f t="shared" si="64"/>
        <v>5765</v>
      </c>
      <c r="L486" s="160">
        <f t="shared" si="62"/>
        <v>42.703703703703702</v>
      </c>
      <c r="M486" s="39"/>
      <c r="N486" s="240">
        <v>533182</v>
      </c>
      <c r="O486" s="241">
        <f t="shared" si="56"/>
        <v>1096</v>
      </c>
      <c r="P486" s="369"/>
      <c r="Q486" s="42">
        <v>576059</v>
      </c>
      <c r="R486" s="44">
        <f t="shared" si="54"/>
        <v>0</v>
      </c>
      <c r="S486" s="358"/>
      <c r="T486" s="46">
        <v>1253</v>
      </c>
      <c r="U486" s="166">
        <f t="shared" si="57"/>
        <v>0</v>
      </c>
      <c r="V486" s="39"/>
      <c r="W486" s="46">
        <v>45432</v>
      </c>
      <c r="X486" s="12">
        <f t="shared" si="61"/>
        <v>0</v>
      </c>
      <c r="Y486" s="39"/>
      <c r="Z486" s="253"/>
    </row>
    <row r="487" spans="1:26">
      <c r="A487" s="150">
        <v>45016</v>
      </c>
      <c r="B487" s="154">
        <f t="shared" si="59"/>
        <v>45016</v>
      </c>
      <c r="C487" s="46">
        <v>1845993</v>
      </c>
      <c r="D487" s="35">
        <f t="shared" si="55"/>
        <v>5590</v>
      </c>
      <c r="E487" s="39"/>
      <c r="F487" s="46">
        <v>5488096</v>
      </c>
      <c r="G487" s="2">
        <f t="shared" si="58"/>
        <v>10811</v>
      </c>
      <c r="H487" s="156">
        <f t="shared" si="63"/>
        <v>39.694369973190348</v>
      </c>
      <c r="I487" s="39"/>
      <c r="J487" s="46">
        <v>3028133</v>
      </c>
      <c r="K487" s="2">
        <f t="shared" si="64"/>
        <v>5149</v>
      </c>
      <c r="L487" s="160">
        <f t="shared" si="62"/>
        <v>38.140740740740739</v>
      </c>
      <c r="M487" s="39"/>
      <c r="N487" s="240">
        <v>534278</v>
      </c>
      <c r="O487" s="241">
        <f t="shared" si="56"/>
        <v>1130</v>
      </c>
      <c r="P487" s="369"/>
      <c r="Q487" s="42">
        <v>576059</v>
      </c>
      <c r="R487" s="44">
        <f t="shared" si="54"/>
        <v>845</v>
      </c>
      <c r="S487" s="358"/>
      <c r="T487" s="46">
        <v>1253</v>
      </c>
      <c r="U487" s="166">
        <f t="shared" si="57"/>
        <v>0</v>
      </c>
      <c r="V487" s="39"/>
      <c r="W487" s="46">
        <v>45432</v>
      </c>
      <c r="X487" s="12">
        <f t="shared" si="61"/>
        <v>0</v>
      </c>
      <c r="Y487" s="39"/>
      <c r="Z487" s="253"/>
    </row>
    <row r="488" spans="1:26">
      <c r="A488" s="150">
        <v>45017</v>
      </c>
      <c r="B488" s="154">
        <f t="shared" si="59"/>
        <v>45017</v>
      </c>
      <c r="C488" s="46">
        <v>1851583</v>
      </c>
      <c r="D488" s="35">
        <f t="shared" si="55"/>
        <v>1086</v>
      </c>
      <c r="E488" s="39"/>
      <c r="F488" s="46">
        <v>5498907</v>
      </c>
      <c r="G488" s="2">
        <f t="shared" si="58"/>
        <v>6599</v>
      </c>
      <c r="H488" s="156">
        <f t="shared" si="63"/>
        <v>16.327077747989275</v>
      </c>
      <c r="I488" s="39"/>
      <c r="J488" s="46">
        <v>3033282</v>
      </c>
      <c r="K488" s="2">
        <f t="shared" si="64"/>
        <v>4031</v>
      </c>
      <c r="L488" s="160">
        <f t="shared" si="62"/>
        <v>29.859259259259261</v>
      </c>
      <c r="M488" s="39"/>
      <c r="N488" s="240">
        <v>535408</v>
      </c>
      <c r="O488" s="241">
        <f t="shared" si="56"/>
        <v>808</v>
      </c>
      <c r="P488" s="369"/>
      <c r="Q488" s="42">
        <v>576904</v>
      </c>
      <c r="R488" s="44">
        <f t="shared" si="54"/>
        <v>0</v>
      </c>
      <c r="S488" s="358"/>
      <c r="T488" s="46">
        <v>1253</v>
      </c>
      <c r="U488" s="166">
        <f t="shared" si="57"/>
        <v>0</v>
      </c>
      <c r="V488" s="39"/>
      <c r="W488" s="46">
        <v>45432</v>
      </c>
      <c r="X488" s="12">
        <f t="shared" si="61"/>
        <v>0</v>
      </c>
      <c r="Y488" s="39"/>
      <c r="Z488" s="253"/>
    </row>
    <row r="489" spans="1:26">
      <c r="A489" s="150">
        <v>45018</v>
      </c>
      <c r="B489" s="154">
        <f t="shared" si="59"/>
        <v>45018</v>
      </c>
      <c r="C489" s="46">
        <v>1852669</v>
      </c>
      <c r="D489" s="35">
        <f>IF(C490&gt;0,C490-C489," ")</f>
        <v>0</v>
      </c>
      <c r="E489" s="39"/>
      <c r="F489" s="46">
        <v>5505506</v>
      </c>
      <c r="G489" s="2">
        <f t="shared" si="58"/>
        <v>0</v>
      </c>
      <c r="H489" s="156">
        <f t="shared" si="63"/>
        <v>-4.2761394101876675</v>
      </c>
      <c r="I489" s="39"/>
      <c r="J489" s="46">
        <v>3037313</v>
      </c>
      <c r="K489" s="2">
        <f t="shared" si="64"/>
        <v>0</v>
      </c>
      <c r="L489" s="160">
        <f t="shared" si="62"/>
        <v>0</v>
      </c>
      <c r="M489" s="39"/>
      <c r="N489" s="240">
        <v>536216</v>
      </c>
      <c r="O489" s="241">
        <f t="shared" si="56"/>
        <v>0</v>
      </c>
      <c r="P489" s="369"/>
      <c r="Q489" s="42">
        <v>576904</v>
      </c>
      <c r="R489" s="44">
        <f t="shared" si="54"/>
        <v>0</v>
      </c>
      <c r="S489" s="358"/>
      <c r="T489" s="46">
        <v>1253</v>
      </c>
      <c r="U489" s="166">
        <f t="shared" si="57"/>
        <v>0</v>
      </c>
      <c r="V489" s="39"/>
      <c r="W489" s="46">
        <v>45432</v>
      </c>
      <c r="X489" s="12">
        <f t="shared" si="61"/>
        <v>0</v>
      </c>
      <c r="Y489" s="39"/>
      <c r="Z489" s="253"/>
    </row>
    <row r="490" spans="1:26">
      <c r="A490" s="150">
        <v>45019</v>
      </c>
      <c r="B490" s="154">
        <f t="shared" si="59"/>
        <v>45019</v>
      </c>
      <c r="C490" s="46">
        <v>1852669</v>
      </c>
      <c r="D490" s="35">
        <f t="shared" si="55"/>
        <v>5937</v>
      </c>
      <c r="E490" s="39"/>
      <c r="F490" s="46">
        <v>5505506</v>
      </c>
      <c r="G490" s="2">
        <f t="shared" si="58"/>
        <v>11608</v>
      </c>
      <c r="H490" s="156">
        <f t="shared" si="63"/>
        <v>42.761394101876675</v>
      </c>
      <c r="I490" s="39"/>
      <c r="J490" s="46">
        <v>3037313</v>
      </c>
      <c r="K490" s="2">
        <f t="shared" si="64"/>
        <v>5814</v>
      </c>
      <c r="L490" s="160">
        <f t="shared" si="62"/>
        <v>43.06666666666667</v>
      </c>
      <c r="M490" s="39"/>
      <c r="N490" s="240">
        <v>536216</v>
      </c>
      <c r="O490" s="241">
        <f t="shared" si="56"/>
        <v>867</v>
      </c>
      <c r="P490" s="369"/>
      <c r="Q490" s="42">
        <v>576904</v>
      </c>
      <c r="R490" s="44">
        <f t="shared" si="54"/>
        <v>293</v>
      </c>
      <c r="S490" s="358"/>
      <c r="T490" s="46">
        <v>1253</v>
      </c>
      <c r="U490" s="166">
        <f t="shared" si="57"/>
        <v>188</v>
      </c>
      <c r="V490" s="39"/>
      <c r="W490" s="46">
        <v>45432</v>
      </c>
      <c r="X490" s="12">
        <f t="shared" si="61"/>
        <v>3</v>
      </c>
      <c r="Y490" s="39"/>
      <c r="Z490" s="253"/>
    </row>
    <row r="491" spans="1:26">
      <c r="A491" s="150">
        <v>45020</v>
      </c>
      <c r="B491" s="154">
        <f t="shared" si="59"/>
        <v>45020</v>
      </c>
      <c r="C491" s="46">
        <v>1858606</v>
      </c>
      <c r="D491" s="35">
        <f t="shared" si="55"/>
        <v>7059</v>
      </c>
      <c r="E491" s="39"/>
      <c r="F491" s="46">
        <v>5517114</v>
      </c>
      <c r="G491" s="2">
        <f t="shared" si="58"/>
        <v>13816</v>
      </c>
      <c r="H491" s="156">
        <f t="shared" si="63"/>
        <v>51.689008042895445</v>
      </c>
      <c r="I491" s="39"/>
      <c r="J491" s="46">
        <v>3043127</v>
      </c>
      <c r="K491" s="2">
        <f t="shared" si="64"/>
        <v>9254</v>
      </c>
      <c r="L491" s="160">
        <f t="shared" si="62"/>
        <v>68.548148148148144</v>
      </c>
      <c r="M491" s="39"/>
      <c r="N491" s="240">
        <v>537083</v>
      </c>
      <c r="O491" s="241">
        <f t="shared" si="56"/>
        <v>908</v>
      </c>
      <c r="P491" s="369"/>
      <c r="Q491" s="42">
        <v>577197</v>
      </c>
      <c r="R491" s="44">
        <f t="shared" si="54"/>
        <v>264</v>
      </c>
      <c r="S491" s="358"/>
      <c r="T491" s="46">
        <v>1441</v>
      </c>
      <c r="U491" s="166">
        <f t="shared" si="57"/>
        <v>2753</v>
      </c>
      <c r="V491" s="39"/>
      <c r="W491" s="46">
        <v>45435</v>
      </c>
      <c r="X491" s="12">
        <f t="shared" si="61"/>
        <v>2</v>
      </c>
      <c r="Y491" s="39"/>
      <c r="Z491" s="246" t="s">
        <v>102</v>
      </c>
    </row>
    <row r="492" spans="1:26">
      <c r="A492" s="150">
        <v>45021</v>
      </c>
      <c r="B492" s="154">
        <f t="shared" si="59"/>
        <v>45021</v>
      </c>
      <c r="C492" s="46">
        <v>1865665</v>
      </c>
      <c r="D492" s="35">
        <f t="shared" si="55"/>
        <v>5925</v>
      </c>
      <c r="E492" s="39"/>
      <c r="F492" s="46">
        <v>5530930</v>
      </c>
      <c r="G492" s="2">
        <f t="shared" si="58"/>
        <v>11888</v>
      </c>
      <c r="H492" s="156">
        <f t="shared" si="63"/>
        <v>43.479892761394105</v>
      </c>
      <c r="I492" s="39"/>
      <c r="J492" s="46">
        <v>3052381</v>
      </c>
      <c r="K492" s="2">
        <f t="shared" si="64"/>
        <v>5478</v>
      </c>
      <c r="L492" s="160">
        <f t="shared" si="62"/>
        <v>40.577777777777776</v>
      </c>
      <c r="M492" s="39"/>
      <c r="N492" s="240">
        <v>537991</v>
      </c>
      <c r="O492" s="241">
        <f t="shared" si="56"/>
        <v>767</v>
      </c>
      <c r="P492" s="365" t="s">
        <v>78</v>
      </c>
      <c r="Q492" s="42">
        <v>577461</v>
      </c>
      <c r="R492" s="44">
        <f t="shared" si="54"/>
        <v>200</v>
      </c>
      <c r="S492" s="358"/>
      <c r="T492" s="46">
        <v>4194</v>
      </c>
      <c r="U492" s="166">
        <f t="shared" si="57"/>
        <v>0</v>
      </c>
      <c r="V492" s="39"/>
      <c r="W492" s="46">
        <v>45437</v>
      </c>
      <c r="X492" s="12">
        <f t="shared" si="61"/>
        <v>0</v>
      </c>
      <c r="Y492" s="39"/>
      <c r="Z492" s="253"/>
    </row>
    <row r="493" spans="1:26">
      <c r="A493" s="150">
        <v>45022</v>
      </c>
      <c r="B493" s="154">
        <f t="shared" si="59"/>
        <v>45022</v>
      </c>
      <c r="C493" s="46">
        <v>1871590</v>
      </c>
      <c r="D493" s="35">
        <f t="shared" si="55"/>
        <v>3877</v>
      </c>
      <c r="E493" s="39"/>
      <c r="F493" s="46">
        <v>5542818</v>
      </c>
      <c r="G493" s="2">
        <f t="shared" si="58"/>
        <v>14793</v>
      </c>
      <c r="H493" s="156">
        <f t="shared" si="63"/>
        <v>45.777479892761392</v>
      </c>
      <c r="I493" s="39"/>
      <c r="J493" s="46">
        <v>3057859</v>
      </c>
      <c r="K493" s="2">
        <f t="shared" si="64"/>
        <v>5558</v>
      </c>
      <c r="L493" s="160">
        <f t="shared" si="62"/>
        <v>41.170370370370371</v>
      </c>
      <c r="M493" s="39"/>
      <c r="N493" s="45">
        <v>538758</v>
      </c>
      <c r="O493" s="8">
        <f t="shared" si="56"/>
        <v>1825</v>
      </c>
      <c r="P493" s="9"/>
      <c r="Q493" s="42">
        <v>577661</v>
      </c>
      <c r="R493" s="44">
        <f t="shared" si="54"/>
        <v>648</v>
      </c>
      <c r="S493" s="358"/>
      <c r="T493" s="46">
        <v>4194</v>
      </c>
      <c r="U493" s="166">
        <f t="shared" si="57"/>
        <v>613</v>
      </c>
      <c r="V493" s="39"/>
      <c r="W493" s="46">
        <v>45437</v>
      </c>
      <c r="X493" s="12">
        <f t="shared" si="61"/>
        <v>10</v>
      </c>
      <c r="Y493" s="39"/>
      <c r="Z493" s="253"/>
    </row>
    <row r="494" spans="1:26">
      <c r="A494" s="150">
        <v>45023</v>
      </c>
      <c r="B494" s="154">
        <f t="shared" si="59"/>
        <v>45023</v>
      </c>
      <c r="C494" s="46">
        <v>1875467</v>
      </c>
      <c r="D494" s="35">
        <f t="shared" si="55"/>
        <v>0</v>
      </c>
      <c r="E494" s="39"/>
      <c r="F494" s="46">
        <v>5557611</v>
      </c>
      <c r="G494" s="2">
        <f t="shared" si="58"/>
        <v>0</v>
      </c>
      <c r="H494" s="156">
        <f t="shared" si="63"/>
        <v>-4.2761394101876675</v>
      </c>
      <c r="I494" s="39"/>
      <c r="J494" s="46">
        <v>3063417</v>
      </c>
      <c r="K494" s="2">
        <f t="shared" si="64"/>
        <v>0</v>
      </c>
      <c r="L494" s="160">
        <f t="shared" si="62"/>
        <v>0</v>
      </c>
      <c r="M494" s="39"/>
      <c r="N494" s="45">
        <v>540583</v>
      </c>
      <c r="O494" s="8">
        <f t="shared" si="56"/>
        <v>0</v>
      </c>
      <c r="P494" s="9"/>
      <c r="Q494" s="42">
        <v>578309</v>
      </c>
      <c r="R494" s="44">
        <f t="shared" si="54"/>
        <v>0</v>
      </c>
      <c r="S494" s="358"/>
      <c r="T494" s="46">
        <v>4807</v>
      </c>
      <c r="U494" s="166">
        <f t="shared" si="57"/>
        <v>0</v>
      </c>
      <c r="V494" s="39"/>
      <c r="W494" s="46">
        <v>45447</v>
      </c>
      <c r="X494" s="12">
        <f t="shared" si="61"/>
        <v>0</v>
      </c>
      <c r="Y494" s="39"/>
      <c r="Z494" s="253"/>
    </row>
    <row r="495" spans="1:26">
      <c r="A495" s="150">
        <v>45024</v>
      </c>
      <c r="B495" s="154">
        <f t="shared" si="59"/>
        <v>45024</v>
      </c>
      <c r="C495" s="46">
        <v>1875467</v>
      </c>
      <c r="D495" s="35">
        <f t="shared" si="55"/>
        <v>0</v>
      </c>
      <c r="E495" s="39"/>
      <c r="F495" s="46">
        <v>5557611</v>
      </c>
      <c r="G495" s="2">
        <f t="shared" si="58"/>
        <v>0</v>
      </c>
      <c r="H495" s="156">
        <f t="shared" si="63"/>
        <v>-4.2761394101876675</v>
      </c>
      <c r="I495" s="39"/>
      <c r="J495" s="46">
        <v>3063417</v>
      </c>
      <c r="K495" s="2">
        <f t="shared" si="64"/>
        <v>0</v>
      </c>
      <c r="L495" s="160">
        <f t="shared" si="62"/>
        <v>0</v>
      </c>
      <c r="M495" s="39"/>
      <c r="N495" s="45">
        <v>540583</v>
      </c>
      <c r="O495" s="8">
        <f t="shared" si="56"/>
        <v>0</v>
      </c>
      <c r="P495" s="9"/>
      <c r="Q495" s="42">
        <v>578309</v>
      </c>
      <c r="R495" s="44">
        <f t="shared" si="54"/>
        <v>0</v>
      </c>
      <c r="S495" s="358"/>
      <c r="T495" s="46">
        <v>4807</v>
      </c>
      <c r="U495" s="166">
        <f t="shared" si="57"/>
        <v>0</v>
      </c>
      <c r="V495" s="39"/>
      <c r="W495" s="46">
        <v>45447</v>
      </c>
      <c r="X495" s="12">
        <f t="shared" si="61"/>
        <v>0</v>
      </c>
      <c r="Y495" s="39"/>
      <c r="Z495" s="253"/>
    </row>
    <row r="496" spans="1:26">
      <c r="A496" s="150">
        <v>45025</v>
      </c>
      <c r="B496" s="154">
        <f t="shared" si="59"/>
        <v>45025</v>
      </c>
      <c r="C496" s="46">
        <v>1875467</v>
      </c>
      <c r="D496" s="35">
        <f t="shared" si="55"/>
        <v>0</v>
      </c>
      <c r="E496" s="39"/>
      <c r="F496" s="46">
        <v>5557611</v>
      </c>
      <c r="G496" s="2">
        <f t="shared" si="58"/>
        <v>0</v>
      </c>
      <c r="H496" s="156">
        <f t="shared" si="63"/>
        <v>-4.2761394101876675</v>
      </c>
      <c r="I496" s="39"/>
      <c r="J496" s="46">
        <v>3063417</v>
      </c>
      <c r="K496" s="2">
        <f t="shared" si="64"/>
        <v>0</v>
      </c>
      <c r="L496" s="160">
        <f t="shared" si="62"/>
        <v>0</v>
      </c>
      <c r="M496" s="39"/>
      <c r="N496" s="45">
        <v>540583</v>
      </c>
      <c r="O496" s="8">
        <f t="shared" si="56"/>
        <v>0</v>
      </c>
      <c r="P496" s="9"/>
      <c r="Q496" s="42">
        <v>578309</v>
      </c>
      <c r="R496" s="44">
        <f t="shared" si="54"/>
        <v>0</v>
      </c>
      <c r="S496" s="358"/>
      <c r="T496" s="46">
        <v>4807</v>
      </c>
      <c r="U496" s="166">
        <f t="shared" si="57"/>
        <v>0</v>
      </c>
      <c r="V496" s="39"/>
      <c r="W496" s="46">
        <v>45447</v>
      </c>
      <c r="X496" s="12">
        <f t="shared" si="61"/>
        <v>0</v>
      </c>
      <c r="Y496" s="39"/>
      <c r="Z496" s="253"/>
    </row>
    <row r="497" spans="1:26">
      <c r="A497" s="150">
        <v>45026</v>
      </c>
      <c r="B497" s="154">
        <f t="shared" si="59"/>
        <v>45026</v>
      </c>
      <c r="C497" s="46">
        <v>1875467</v>
      </c>
      <c r="D497" s="35">
        <f t="shared" si="55"/>
        <v>5876</v>
      </c>
      <c r="E497" s="40" t="s">
        <v>78</v>
      </c>
      <c r="F497" s="46">
        <v>5557611</v>
      </c>
      <c r="G497" s="2">
        <f t="shared" si="58"/>
        <v>12149</v>
      </c>
      <c r="H497" s="156">
        <f t="shared" si="63"/>
        <v>44.048257372654156</v>
      </c>
      <c r="I497" s="40" t="s">
        <v>78</v>
      </c>
      <c r="J497" s="46">
        <v>3063417</v>
      </c>
      <c r="K497" s="2">
        <f t="shared" si="64"/>
        <v>5141</v>
      </c>
      <c r="L497" s="160">
        <f t="shared" si="62"/>
        <v>38.081481481481482</v>
      </c>
      <c r="M497" s="40" t="s">
        <v>78</v>
      </c>
      <c r="N497" s="45">
        <v>540583</v>
      </c>
      <c r="O497" s="8">
        <f t="shared" si="56"/>
        <v>840</v>
      </c>
      <c r="P497" s="9"/>
      <c r="Q497" s="42">
        <v>578309</v>
      </c>
      <c r="R497" s="44">
        <f t="shared" si="54"/>
        <v>180</v>
      </c>
      <c r="S497" s="358"/>
      <c r="T497" s="46">
        <v>4807</v>
      </c>
      <c r="U497" s="166">
        <f t="shared" si="57"/>
        <v>0</v>
      </c>
      <c r="V497" s="40" t="s">
        <v>78</v>
      </c>
      <c r="W497" s="46">
        <v>45447</v>
      </c>
      <c r="X497" s="12">
        <f t="shared" si="61"/>
        <v>0</v>
      </c>
      <c r="Y497" s="40" t="s">
        <v>78</v>
      </c>
      <c r="Z497" s="253"/>
    </row>
    <row r="498" spans="1:26" ht="19.5" customHeight="1">
      <c r="A498" s="150">
        <v>45027</v>
      </c>
      <c r="B498" s="154">
        <f t="shared" si="59"/>
        <v>45027</v>
      </c>
      <c r="C498" s="45">
        <v>1881343</v>
      </c>
      <c r="D498" s="34">
        <f t="shared" si="55"/>
        <v>5256</v>
      </c>
      <c r="E498" s="38"/>
      <c r="F498" s="45">
        <v>5569760</v>
      </c>
      <c r="G498" s="1">
        <f t="shared" si="58"/>
        <v>11007</v>
      </c>
      <c r="H498" s="127">
        <f t="shared" si="63"/>
        <v>39.324396782841823</v>
      </c>
      <c r="I498" s="38"/>
      <c r="J498" s="45">
        <v>3068558</v>
      </c>
      <c r="K498" s="1">
        <f t="shared" si="64"/>
        <v>9280</v>
      </c>
      <c r="L498" s="126">
        <f t="shared" si="62"/>
        <v>68.740740740740748</v>
      </c>
      <c r="M498" s="38"/>
      <c r="N498" s="45">
        <v>541423</v>
      </c>
      <c r="O498" s="8">
        <f t="shared" si="56"/>
        <v>876</v>
      </c>
      <c r="P498" s="9"/>
      <c r="Q498" s="42">
        <v>578489</v>
      </c>
      <c r="R498" s="44">
        <f t="shared" si="54"/>
        <v>0</v>
      </c>
      <c r="S498" s="358"/>
      <c r="T498" s="45">
        <v>4807</v>
      </c>
      <c r="U498" s="9">
        <f t="shared" si="57"/>
        <v>0</v>
      </c>
      <c r="V498" s="38"/>
      <c r="W498" s="45">
        <v>45447</v>
      </c>
      <c r="X498" s="8">
        <f t="shared" si="61"/>
        <v>0</v>
      </c>
      <c r="Y498" s="38"/>
      <c r="Z498" s="253"/>
    </row>
    <row r="499" spans="1:26">
      <c r="A499" s="150">
        <v>45028</v>
      </c>
      <c r="B499" s="154">
        <f t="shared" si="59"/>
        <v>45028</v>
      </c>
      <c r="C499" s="45">
        <v>1886599</v>
      </c>
      <c r="D499" s="34">
        <f t="shared" si="55"/>
        <v>5795</v>
      </c>
      <c r="E499" s="38"/>
      <c r="F499" s="45">
        <v>5580767</v>
      </c>
      <c r="G499" s="1">
        <f>IF(F500&gt;0,F500-F499," ")</f>
        <v>11765</v>
      </c>
      <c r="H499" s="127">
        <f>(G499+D499-1595)/373</f>
        <v>42.801608579088473</v>
      </c>
      <c r="I499" s="38"/>
      <c r="J499" s="45">
        <v>3077838</v>
      </c>
      <c r="K499" s="1">
        <f t="shared" si="64"/>
        <v>5504</v>
      </c>
      <c r="L499" s="126">
        <f t="shared" si="62"/>
        <v>40.770370370370372</v>
      </c>
      <c r="M499" s="38"/>
      <c r="N499" s="45">
        <v>542299</v>
      </c>
      <c r="O499" s="8">
        <f t="shared" si="56"/>
        <v>841</v>
      </c>
      <c r="P499" s="9"/>
      <c r="Q499" s="42">
        <v>578489</v>
      </c>
      <c r="R499" s="44">
        <f t="shared" si="54"/>
        <v>391</v>
      </c>
      <c r="S499" s="358"/>
      <c r="T499" s="45">
        <v>4807</v>
      </c>
      <c r="U499" s="9">
        <f t="shared" si="57"/>
        <v>0</v>
      </c>
      <c r="V499" s="38"/>
      <c r="W499" s="45">
        <v>45447</v>
      </c>
      <c r="X499" s="8">
        <f t="shared" si="61"/>
        <v>1</v>
      </c>
      <c r="Y499" s="38"/>
      <c r="Z499" s="253"/>
    </row>
    <row r="500" spans="1:26">
      <c r="A500" s="150">
        <v>45029</v>
      </c>
      <c r="B500" s="154">
        <f t="shared" si="59"/>
        <v>45029</v>
      </c>
      <c r="C500" s="45">
        <v>1892394</v>
      </c>
      <c r="D500" s="34">
        <f t="shared" si="55"/>
        <v>6027</v>
      </c>
      <c r="E500" s="38"/>
      <c r="F500" s="45">
        <v>5592532</v>
      </c>
      <c r="G500" s="1">
        <f>IF(F501&gt;0,F501-F500," ")</f>
        <v>11744</v>
      </c>
      <c r="H500" s="127">
        <f>(G500+D500-1595)/373</f>
        <v>43.367292225201069</v>
      </c>
      <c r="I500" s="38"/>
      <c r="J500" s="45">
        <v>3083342</v>
      </c>
      <c r="K500" s="1">
        <f t="shared" si="64"/>
        <v>5340</v>
      </c>
      <c r="L500" s="126">
        <f t="shared" si="62"/>
        <v>39.555555555555557</v>
      </c>
      <c r="M500" s="38"/>
      <c r="N500" s="45">
        <v>543140</v>
      </c>
      <c r="O500" s="8">
        <f t="shared" si="56"/>
        <v>1009</v>
      </c>
      <c r="P500" s="9"/>
      <c r="Q500" s="42">
        <v>578880</v>
      </c>
      <c r="R500" s="44">
        <f t="shared" si="54"/>
        <v>193</v>
      </c>
      <c r="S500" s="358"/>
      <c r="T500" s="45">
        <v>4807</v>
      </c>
      <c r="U500" s="9">
        <f t="shared" si="57"/>
        <v>0</v>
      </c>
      <c r="V500" s="38"/>
      <c r="W500" s="45">
        <v>45448</v>
      </c>
      <c r="X500" s="8">
        <f t="shared" si="61"/>
        <v>0</v>
      </c>
      <c r="Y500" s="38"/>
      <c r="Z500" s="253"/>
    </row>
    <row r="501" spans="1:26">
      <c r="A501" s="150">
        <v>45030</v>
      </c>
      <c r="B501" s="154">
        <f t="shared" si="59"/>
        <v>45030</v>
      </c>
      <c r="C501" s="45">
        <v>1898421</v>
      </c>
      <c r="D501" s="34">
        <f t="shared" si="55"/>
        <v>6045</v>
      </c>
      <c r="E501" s="38"/>
      <c r="F501" s="45">
        <v>5604276</v>
      </c>
      <c r="G501" s="1">
        <f t="shared" ref="G501:G566" si="65">IF(F502&gt;0,F502-F501," ")</f>
        <v>12223</v>
      </c>
      <c r="H501" s="127">
        <f t="shared" ref="H501:H564" si="66">(G501+D501-1595)/373</f>
        <v>44.699731903485258</v>
      </c>
      <c r="I501" s="38"/>
      <c r="J501" s="45">
        <v>3088682</v>
      </c>
      <c r="K501" s="1">
        <f t="shared" si="64"/>
        <v>10137</v>
      </c>
      <c r="L501" s="126">
        <f t="shared" si="62"/>
        <v>75.088888888888889</v>
      </c>
      <c r="M501" s="38"/>
      <c r="N501" s="45">
        <v>544149</v>
      </c>
      <c r="O501" s="8">
        <f t="shared" si="56"/>
        <v>894</v>
      </c>
      <c r="P501" s="9"/>
      <c r="Q501" s="42">
        <v>579073</v>
      </c>
      <c r="R501" s="44">
        <f t="shared" si="54"/>
        <v>696</v>
      </c>
      <c r="S501" s="358"/>
      <c r="T501" s="45">
        <v>4807</v>
      </c>
      <c r="U501" s="9">
        <f t="shared" si="57"/>
        <v>0</v>
      </c>
      <c r="V501" s="38"/>
      <c r="W501" s="45">
        <v>45448</v>
      </c>
      <c r="X501" s="8">
        <f t="shared" si="61"/>
        <v>0</v>
      </c>
      <c r="Y501" s="38"/>
      <c r="Z501" s="253"/>
    </row>
    <row r="502" spans="1:26">
      <c r="A502" s="150">
        <v>45031</v>
      </c>
      <c r="B502" s="154">
        <f t="shared" si="59"/>
        <v>45031</v>
      </c>
      <c r="C502" s="45">
        <v>1904466</v>
      </c>
      <c r="D502" s="34">
        <f t="shared" si="55"/>
        <v>174</v>
      </c>
      <c r="E502" s="38"/>
      <c r="F502" s="45">
        <v>5616499</v>
      </c>
      <c r="G502" s="1">
        <f t="shared" si="65"/>
        <v>5915</v>
      </c>
      <c r="H502" s="127">
        <f t="shared" si="66"/>
        <v>12.048257372654156</v>
      </c>
      <c r="I502" s="38"/>
      <c r="J502" s="45">
        <v>3098819</v>
      </c>
      <c r="K502" s="1">
        <f t="shared" si="64"/>
        <v>0</v>
      </c>
      <c r="L502" s="126">
        <f t="shared" si="62"/>
        <v>0</v>
      </c>
      <c r="M502" s="38"/>
      <c r="N502" s="45">
        <v>545043</v>
      </c>
      <c r="O502" s="8">
        <f t="shared" si="56"/>
        <v>988</v>
      </c>
      <c r="P502" s="9"/>
      <c r="Q502" s="42">
        <v>579769</v>
      </c>
      <c r="R502" s="44">
        <f t="shared" si="54"/>
        <v>0</v>
      </c>
      <c r="S502" s="358"/>
      <c r="T502" s="45">
        <v>4807</v>
      </c>
      <c r="U502" s="9">
        <f t="shared" si="57"/>
        <v>0</v>
      </c>
      <c r="V502" s="38"/>
      <c r="W502" s="45">
        <v>45448</v>
      </c>
      <c r="X502" s="8">
        <f t="shared" si="61"/>
        <v>0</v>
      </c>
      <c r="Y502" s="38"/>
      <c r="Z502" s="253"/>
    </row>
    <row r="503" spans="1:26">
      <c r="A503" s="150">
        <v>45032</v>
      </c>
      <c r="B503" s="154">
        <f t="shared" si="59"/>
        <v>45032</v>
      </c>
      <c r="C503" s="45">
        <v>1904640</v>
      </c>
      <c r="D503" s="34">
        <f t="shared" si="55"/>
        <v>0</v>
      </c>
      <c r="E503" s="38"/>
      <c r="F503" s="45">
        <v>5622414</v>
      </c>
      <c r="G503" s="1">
        <f t="shared" si="65"/>
        <v>0</v>
      </c>
      <c r="H503" s="127">
        <f t="shared" si="66"/>
        <v>-4.2761394101876675</v>
      </c>
      <c r="I503" s="38"/>
      <c r="J503" s="45">
        <v>3098819</v>
      </c>
      <c r="K503" s="1">
        <f t="shared" si="64"/>
        <v>0</v>
      </c>
      <c r="L503" s="126">
        <f t="shared" si="62"/>
        <v>0</v>
      </c>
      <c r="M503" s="38"/>
      <c r="N503" s="45">
        <v>546031</v>
      </c>
      <c r="O503" s="8">
        <f t="shared" si="56"/>
        <v>0</v>
      </c>
      <c r="P503" s="9"/>
      <c r="Q503" s="42">
        <v>579769</v>
      </c>
      <c r="R503" s="44">
        <f t="shared" ref="R503:R566" si="67">Q504-Q503</f>
        <v>0</v>
      </c>
      <c r="S503" s="358"/>
      <c r="T503" s="45">
        <v>4807</v>
      </c>
      <c r="U503" s="9">
        <f t="shared" si="57"/>
        <v>0</v>
      </c>
      <c r="V503" s="38"/>
      <c r="W503" s="45">
        <v>45448</v>
      </c>
      <c r="X503" s="8">
        <f t="shared" si="61"/>
        <v>0</v>
      </c>
      <c r="Y503" s="38"/>
      <c r="Z503" s="253"/>
    </row>
    <row r="504" spans="1:26">
      <c r="A504" s="150">
        <v>45033</v>
      </c>
      <c r="B504" s="154">
        <f t="shared" si="59"/>
        <v>45033</v>
      </c>
      <c r="C504" s="45">
        <v>1904640</v>
      </c>
      <c r="D504" s="34">
        <f t="shared" si="55"/>
        <v>6141</v>
      </c>
      <c r="E504" s="38"/>
      <c r="F504" s="45">
        <v>5622414</v>
      </c>
      <c r="G504" s="1">
        <f t="shared" si="65"/>
        <v>12484</v>
      </c>
      <c r="H504" s="127">
        <f t="shared" si="66"/>
        <v>45.656836461126005</v>
      </c>
      <c r="I504" s="38"/>
      <c r="J504" s="45">
        <v>3098819</v>
      </c>
      <c r="K504" s="1">
        <f t="shared" si="64"/>
        <v>5376</v>
      </c>
      <c r="L504" s="126">
        <f t="shared" si="62"/>
        <v>39.822222222222223</v>
      </c>
      <c r="M504" s="38"/>
      <c r="N504" s="45">
        <v>546031</v>
      </c>
      <c r="O504" s="8">
        <f t="shared" si="56"/>
        <v>962</v>
      </c>
      <c r="P504" s="9"/>
      <c r="Q504" s="42">
        <v>579769</v>
      </c>
      <c r="R504" s="44">
        <f t="shared" si="67"/>
        <v>282</v>
      </c>
      <c r="S504" s="358"/>
      <c r="T504" s="45">
        <v>4807</v>
      </c>
      <c r="U504" s="9">
        <f t="shared" si="57"/>
        <v>0</v>
      </c>
      <c r="V504" s="38"/>
      <c r="W504" s="45">
        <v>45448</v>
      </c>
      <c r="X504" s="8">
        <f t="shared" si="61"/>
        <v>0</v>
      </c>
      <c r="Y504" s="38"/>
      <c r="Z504" s="253"/>
    </row>
    <row r="505" spans="1:26">
      <c r="A505" s="150">
        <v>45034</v>
      </c>
      <c r="B505" s="154">
        <f t="shared" si="59"/>
        <v>45034</v>
      </c>
      <c r="C505" s="45">
        <v>1910781</v>
      </c>
      <c r="D505" s="34">
        <f t="shared" si="55"/>
        <v>6035</v>
      </c>
      <c r="E505" s="38"/>
      <c r="F505" s="45">
        <v>5634898</v>
      </c>
      <c r="G505" s="1">
        <f t="shared" si="65"/>
        <v>11982</v>
      </c>
      <c r="H505" s="127">
        <f t="shared" si="66"/>
        <v>44.02680965147453</v>
      </c>
      <c r="I505" s="38"/>
      <c r="J505" s="45">
        <v>3104195</v>
      </c>
      <c r="K505" s="1">
        <f t="shared" si="64"/>
        <v>8975</v>
      </c>
      <c r="L505" s="126">
        <f t="shared" si="62"/>
        <v>66.481481481481481</v>
      </c>
      <c r="M505" s="38"/>
      <c r="N505" s="45">
        <v>546993</v>
      </c>
      <c r="O505" s="8">
        <f t="shared" si="56"/>
        <v>1822</v>
      </c>
      <c r="P505" s="9"/>
      <c r="Q505" s="42">
        <v>580051</v>
      </c>
      <c r="R505" s="44">
        <f t="shared" si="67"/>
        <v>218</v>
      </c>
      <c r="S505" s="358"/>
      <c r="T505" s="45">
        <v>4807</v>
      </c>
      <c r="U505" s="9">
        <f t="shared" si="57"/>
        <v>0</v>
      </c>
      <c r="V505" s="38"/>
      <c r="W505" s="45">
        <v>45448</v>
      </c>
      <c r="X505" s="8">
        <f t="shared" si="61"/>
        <v>0</v>
      </c>
      <c r="Y505" s="38"/>
      <c r="Z505" s="253"/>
    </row>
    <row r="506" spans="1:26">
      <c r="A506" s="150">
        <v>45035</v>
      </c>
      <c r="B506" s="154">
        <f t="shared" si="59"/>
        <v>45035</v>
      </c>
      <c r="C506" s="45">
        <v>1916816</v>
      </c>
      <c r="D506" s="34">
        <f t="shared" si="55"/>
        <v>5139</v>
      </c>
      <c r="E506" s="38"/>
      <c r="F506" s="45">
        <v>5646880</v>
      </c>
      <c r="G506" s="1">
        <f t="shared" si="65"/>
        <v>12644</v>
      </c>
      <c r="H506" s="127">
        <f t="shared" si="66"/>
        <v>43.399463806970509</v>
      </c>
      <c r="I506" s="38"/>
      <c r="J506" s="45">
        <v>3113170</v>
      </c>
      <c r="K506" s="1">
        <f t="shared" si="64"/>
        <v>5786</v>
      </c>
      <c r="L506" s="126">
        <f t="shared" si="62"/>
        <v>42.859259259259261</v>
      </c>
      <c r="M506" s="38"/>
      <c r="N506" s="45">
        <v>548815</v>
      </c>
      <c r="O506" s="8">
        <f t="shared" si="56"/>
        <v>0</v>
      </c>
      <c r="P506" s="9"/>
      <c r="Q506" s="42">
        <v>580269</v>
      </c>
      <c r="R506" s="44">
        <f t="shared" si="67"/>
        <v>148</v>
      </c>
      <c r="S506" s="358"/>
      <c r="T506" s="45">
        <v>4807</v>
      </c>
      <c r="U506" s="9">
        <f t="shared" si="57"/>
        <v>0</v>
      </c>
      <c r="V506" s="38"/>
      <c r="W506" s="45">
        <v>45448</v>
      </c>
      <c r="X506" s="8">
        <f t="shared" si="61"/>
        <v>0</v>
      </c>
      <c r="Y506" s="38"/>
      <c r="Z506" s="253"/>
    </row>
    <row r="507" spans="1:26">
      <c r="A507" s="150">
        <v>45036</v>
      </c>
      <c r="B507" s="154">
        <f t="shared" si="59"/>
        <v>45036</v>
      </c>
      <c r="C507" s="45">
        <v>1921955</v>
      </c>
      <c r="D507" s="34">
        <f t="shared" si="55"/>
        <v>5666</v>
      </c>
      <c r="E507" s="38"/>
      <c r="F507" s="45">
        <v>5659524</v>
      </c>
      <c r="G507" s="1">
        <f t="shared" si="65"/>
        <v>29419</v>
      </c>
      <c r="H507" s="127">
        <f t="shared" si="66"/>
        <v>89.78552278820375</v>
      </c>
      <c r="I507" s="38"/>
      <c r="J507" s="45">
        <v>3118956</v>
      </c>
      <c r="K507" s="1">
        <f t="shared" si="64"/>
        <v>9302</v>
      </c>
      <c r="L507" s="126">
        <f t="shared" si="62"/>
        <v>68.903703703703698</v>
      </c>
      <c r="M507" s="38"/>
      <c r="N507" s="45">
        <v>548815</v>
      </c>
      <c r="O507" s="8">
        <f t="shared" si="56"/>
        <v>1596</v>
      </c>
      <c r="P507" s="9"/>
      <c r="Q507" s="42">
        <v>580417</v>
      </c>
      <c r="R507" s="44">
        <f t="shared" si="67"/>
        <v>835</v>
      </c>
      <c r="S507" s="358"/>
      <c r="T507" s="45">
        <v>4807</v>
      </c>
      <c r="U507" s="9">
        <f t="shared" si="57"/>
        <v>0</v>
      </c>
      <c r="V507" s="38"/>
      <c r="W507" s="45">
        <v>45448</v>
      </c>
      <c r="X507" s="8">
        <f t="shared" si="61"/>
        <v>0</v>
      </c>
      <c r="Y507" s="38"/>
      <c r="Z507" s="246" t="s">
        <v>102</v>
      </c>
    </row>
    <row r="508" spans="1:26">
      <c r="A508" s="150">
        <v>45037</v>
      </c>
      <c r="B508" s="154">
        <f t="shared" si="59"/>
        <v>45037</v>
      </c>
      <c r="C508" s="45">
        <v>1927621</v>
      </c>
      <c r="D508" s="34">
        <f t="shared" si="55"/>
        <v>0</v>
      </c>
      <c r="E508" s="38"/>
      <c r="F508" s="45">
        <v>5688943</v>
      </c>
      <c r="G508" s="1">
        <f t="shared" si="65"/>
        <v>0</v>
      </c>
      <c r="H508" s="127">
        <f t="shared" si="66"/>
        <v>-4.2761394101876675</v>
      </c>
      <c r="I508" s="38"/>
      <c r="J508" s="45">
        <v>3128258</v>
      </c>
      <c r="K508" s="1">
        <f t="shared" si="64"/>
        <v>0</v>
      </c>
      <c r="L508" s="126">
        <f t="shared" si="62"/>
        <v>0</v>
      </c>
      <c r="M508" s="38"/>
      <c r="N508" s="45">
        <v>550411</v>
      </c>
      <c r="O508" s="8">
        <f t="shared" si="56"/>
        <v>0</v>
      </c>
      <c r="P508" s="9"/>
      <c r="Q508" s="42">
        <v>581252</v>
      </c>
      <c r="R508" s="44">
        <f t="shared" si="67"/>
        <v>0</v>
      </c>
      <c r="S508" s="358"/>
      <c r="T508" s="45">
        <v>4807</v>
      </c>
      <c r="U508" s="9">
        <f t="shared" si="57"/>
        <v>0</v>
      </c>
      <c r="V508" s="38"/>
      <c r="W508" s="45">
        <v>45448</v>
      </c>
      <c r="X508" s="8">
        <f t="shared" si="61"/>
        <v>0</v>
      </c>
      <c r="Y508" s="38"/>
      <c r="Z508" s="253"/>
    </row>
    <row r="509" spans="1:26">
      <c r="A509" s="150">
        <v>45038</v>
      </c>
      <c r="B509" s="154">
        <f t="shared" si="59"/>
        <v>45038</v>
      </c>
      <c r="C509" s="45">
        <v>1927621</v>
      </c>
      <c r="D509" s="34">
        <f t="shared" si="55"/>
        <v>0</v>
      </c>
      <c r="E509" s="38"/>
      <c r="F509" s="45">
        <v>5688943</v>
      </c>
      <c r="G509" s="1">
        <f t="shared" si="65"/>
        <v>0</v>
      </c>
      <c r="H509" s="127">
        <f t="shared" si="66"/>
        <v>-4.2761394101876675</v>
      </c>
      <c r="I509" s="38"/>
      <c r="J509" s="45">
        <v>3128258</v>
      </c>
      <c r="K509" s="1">
        <f t="shared" si="64"/>
        <v>0</v>
      </c>
      <c r="L509" s="126">
        <f t="shared" si="62"/>
        <v>0</v>
      </c>
      <c r="M509" s="38"/>
      <c r="N509" s="45">
        <v>550411</v>
      </c>
      <c r="O509" s="8">
        <f t="shared" si="56"/>
        <v>948</v>
      </c>
      <c r="P509" s="9"/>
      <c r="Q509" s="42">
        <v>581252</v>
      </c>
      <c r="R509" s="44">
        <f t="shared" si="67"/>
        <v>0</v>
      </c>
      <c r="S509" s="358"/>
      <c r="T509" s="45">
        <v>4807</v>
      </c>
      <c r="U509" s="9">
        <f t="shared" si="57"/>
        <v>0</v>
      </c>
      <c r="V509" s="38"/>
      <c r="W509" s="45">
        <v>45448</v>
      </c>
      <c r="X509" s="8">
        <f t="shared" si="61"/>
        <v>0</v>
      </c>
      <c r="Y509" s="38"/>
      <c r="Z509" s="253"/>
    </row>
    <row r="510" spans="1:26">
      <c r="A510" s="150">
        <v>45039</v>
      </c>
      <c r="B510" s="154">
        <f t="shared" si="59"/>
        <v>45039</v>
      </c>
      <c r="C510" s="45">
        <v>1927621</v>
      </c>
      <c r="D510" s="34">
        <f t="shared" ref="D510:D577" si="68">IF(C511&gt;0,C511-C510," ")</f>
        <v>0</v>
      </c>
      <c r="E510" s="38"/>
      <c r="F510" s="45">
        <v>5688943</v>
      </c>
      <c r="G510" s="1">
        <f t="shared" si="65"/>
        <v>0</v>
      </c>
      <c r="H510" s="127">
        <f t="shared" si="66"/>
        <v>-4.2761394101876675</v>
      </c>
      <c r="I510" s="38"/>
      <c r="J510" s="45">
        <v>3128258</v>
      </c>
      <c r="K510" s="1">
        <f t="shared" si="64"/>
        <v>0</v>
      </c>
      <c r="L510" s="126">
        <f t="shared" si="62"/>
        <v>0</v>
      </c>
      <c r="M510" s="38"/>
      <c r="N510" s="45">
        <v>551359</v>
      </c>
      <c r="O510" s="8">
        <f t="shared" ref="O510:O578" si="69">N511-N510</f>
        <v>0</v>
      </c>
      <c r="P510" s="9"/>
      <c r="Q510" s="42">
        <v>581252</v>
      </c>
      <c r="R510" s="44">
        <f t="shared" si="67"/>
        <v>0</v>
      </c>
      <c r="S510" s="358"/>
      <c r="T510" s="45">
        <v>4807</v>
      </c>
      <c r="U510" s="9">
        <f t="shared" si="57"/>
        <v>0</v>
      </c>
      <c r="V510" s="38"/>
      <c r="W510" s="45">
        <v>45448</v>
      </c>
      <c r="X510" s="8">
        <f t="shared" si="61"/>
        <v>0</v>
      </c>
      <c r="Y510" s="38"/>
      <c r="Z510" s="253"/>
    </row>
    <row r="511" spans="1:26">
      <c r="A511" s="150">
        <v>45040</v>
      </c>
      <c r="B511" s="154">
        <f t="shared" si="59"/>
        <v>45040</v>
      </c>
      <c r="C511" s="45">
        <v>1927621</v>
      </c>
      <c r="D511" s="34">
        <f t="shared" si="68"/>
        <v>5911</v>
      </c>
      <c r="E511" s="38"/>
      <c r="F511" s="45">
        <v>5688943</v>
      </c>
      <c r="G511" s="1">
        <f t="shared" si="65"/>
        <v>0</v>
      </c>
      <c r="H511" s="127">
        <f t="shared" si="66"/>
        <v>11.571045576407506</v>
      </c>
      <c r="I511" s="38"/>
      <c r="J511" s="45">
        <v>3128258</v>
      </c>
      <c r="K511" s="1">
        <f t="shared" si="64"/>
        <v>5641</v>
      </c>
      <c r="L511" s="126">
        <f t="shared" si="62"/>
        <v>41.785185185185185</v>
      </c>
      <c r="M511" s="38"/>
      <c r="N511" s="45">
        <v>551359</v>
      </c>
      <c r="O511" s="8">
        <f t="shared" si="69"/>
        <v>732</v>
      </c>
      <c r="P511" s="9"/>
      <c r="Q511" s="42">
        <v>581252</v>
      </c>
      <c r="R511" s="44">
        <f t="shared" si="67"/>
        <v>225</v>
      </c>
      <c r="S511" s="358"/>
      <c r="T511" s="45">
        <v>4807</v>
      </c>
      <c r="U511" s="9">
        <f t="shared" si="57"/>
        <v>1635</v>
      </c>
      <c r="V511" s="38"/>
      <c r="W511" s="45">
        <v>45448</v>
      </c>
      <c r="X511" s="8">
        <f t="shared" si="61"/>
        <v>19</v>
      </c>
      <c r="Y511" s="38"/>
      <c r="Z511" s="253"/>
    </row>
    <row r="512" spans="1:26">
      <c r="A512" s="150">
        <v>45041</v>
      </c>
      <c r="B512" s="154">
        <f t="shared" si="59"/>
        <v>45041</v>
      </c>
      <c r="C512" s="45">
        <v>1933532</v>
      </c>
      <c r="D512" s="34">
        <f t="shared" si="68"/>
        <v>5032</v>
      </c>
      <c r="E512" s="38"/>
      <c r="F512" s="45">
        <v>5688943</v>
      </c>
      <c r="G512" s="1">
        <f t="shared" si="65"/>
        <v>10409</v>
      </c>
      <c r="H512" s="127">
        <f t="shared" si="66"/>
        <v>37.120643431635386</v>
      </c>
      <c r="I512" s="38"/>
      <c r="J512" s="45">
        <v>3133899</v>
      </c>
      <c r="K512" s="1">
        <f t="shared" si="64"/>
        <v>4938</v>
      </c>
      <c r="L512" s="126">
        <f t="shared" si="62"/>
        <v>36.577777777777776</v>
      </c>
      <c r="M512" s="38"/>
      <c r="N512" s="45">
        <v>552091</v>
      </c>
      <c r="O512" s="8">
        <f t="shared" si="69"/>
        <v>886</v>
      </c>
      <c r="P512" s="9"/>
      <c r="Q512" s="42">
        <v>581477</v>
      </c>
      <c r="R512" s="44">
        <f t="shared" si="67"/>
        <v>227</v>
      </c>
      <c r="S512" s="358"/>
      <c r="T512" s="45">
        <v>6442</v>
      </c>
      <c r="U512" s="9">
        <f t="shared" si="57"/>
        <v>0</v>
      </c>
      <c r="V512" s="38"/>
      <c r="W512" s="45">
        <v>45467</v>
      </c>
      <c r="X512" s="8">
        <f t="shared" si="61"/>
        <v>0</v>
      </c>
      <c r="Y512" s="38"/>
      <c r="Z512" s="253"/>
    </row>
    <row r="513" spans="1:26">
      <c r="A513" s="150">
        <v>45042</v>
      </c>
      <c r="B513" s="154">
        <f t="shared" si="59"/>
        <v>45042</v>
      </c>
      <c r="C513" s="45">
        <v>1938564</v>
      </c>
      <c r="D513" s="34">
        <f t="shared" si="68"/>
        <v>5280</v>
      </c>
      <c r="E513" s="38"/>
      <c r="F513" s="45">
        <v>5699352</v>
      </c>
      <c r="G513" s="1">
        <f t="shared" si="65"/>
        <v>11170</v>
      </c>
      <c r="H513" s="127">
        <f t="shared" si="66"/>
        <v>39.825737265415547</v>
      </c>
      <c r="I513" s="38"/>
      <c r="J513" s="45">
        <v>3138837</v>
      </c>
      <c r="K513" s="1">
        <f t="shared" si="64"/>
        <v>9775</v>
      </c>
      <c r="L513" s="126">
        <f t="shared" si="62"/>
        <v>72.407407407407405</v>
      </c>
      <c r="M513" s="38"/>
      <c r="N513" s="45">
        <v>552977</v>
      </c>
      <c r="O513" s="8">
        <f t="shared" si="69"/>
        <v>680</v>
      </c>
      <c r="P513" s="9"/>
      <c r="Q513" s="42">
        <v>581704</v>
      </c>
      <c r="R513" s="44">
        <f t="shared" si="67"/>
        <v>250</v>
      </c>
      <c r="S513" s="358"/>
      <c r="T513" s="45">
        <v>6442</v>
      </c>
      <c r="U513" s="9">
        <f t="shared" si="57"/>
        <v>0</v>
      </c>
      <c r="V513" s="38"/>
      <c r="W513" s="45">
        <v>45467</v>
      </c>
      <c r="X513" s="8">
        <f t="shared" si="61"/>
        <v>0</v>
      </c>
      <c r="Y513" s="38"/>
      <c r="Z513" s="253"/>
    </row>
    <row r="514" spans="1:26">
      <c r="A514" s="150">
        <v>45043</v>
      </c>
      <c r="B514" s="154">
        <f t="shared" si="59"/>
        <v>45043</v>
      </c>
      <c r="C514" s="45">
        <v>1943844</v>
      </c>
      <c r="D514" s="34">
        <f t="shared" si="68"/>
        <v>5292</v>
      </c>
      <c r="E514" s="38"/>
      <c r="F514" s="45">
        <v>5710522</v>
      </c>
      <c r="G514" s="1">
        <f t="shared" si="65"/>
        <v>10691</v>
      </c>
      <c r="H514" s="127">
        <f t="shared" si="66"/>
        <v>38.573726541554961</v>
      </c>
      <c r="I514" s="38"/>
      <c r="J514" s="45">
        <v>3148612</v>
      </c>
      <c r="K514" s="1">
        <f t="shared" si="64"/>
        <v>5057</v>
      </c>
      <c r="L514" s="126">
        <f t="shared" si="62"/>
        <v>37.459259259259262</v>
      </c>
      <c r="M514" s="38"/>
      <c r="N514" s="45">
        <v>553657</v>
      </c>
      <c r="O514" s="8">
        <f t="shared" si="69"/>
        <v>851</v>
      </c>
      <c r="P514" s="9"/>
      <c r="Q514" s="42">
        <v>581954</v>
      </c>
      <c r="R514" s="44">
        <f t="shared" si="67"/>
        <v>180</v>
      </c>
      <c r="S514" s="358"/>
      <c r="T514" s="45">
        <v>6442</v>
      </c>
      <c r="U514" s="9">
        <f t="shared" si="57"/>
        <v>0</v>
      </c>
      <c r="V514" s="38"/>
      <c r="W514" s="45">
        <v>45467</v>
      </c>
      <c r="X514" s="8">
        <f t="shared" si="61"/>
        <v>0</v>
      </c>
      <c r="Y514" s="38"/>
      <c r="Z514" s="253"/>
    </row>
    <row r="515" spans="1:26">
      <c r="A515" s="150">
        <v>45044</v>
      </c>
      <c r="B515" s="154">
        <f t="shared" si="59"/>
        <v>45044</v>
      </c>
      <c r="C515" s="45">
        <v>1949136</v>
      </c>
      <c r="D515" s="34">
        <f t="shared" si="68"/>
        <v>4761</v>
      </c>
      <c r="E515" s="38"/>
      <c r="F515" s="45">
        <v>5721213</v>
      </c>
      <c r="G515" s="1">
        <f t="shared" si="65"/>
        <v>10104</v>
      </c>
      <c r="H515" s="127">
        <f t="shared" si="66"/>
        <v>35.576407506702409</v>
      </c>
      <c r="I515" s="38"/>
      <c r="J515" s="45">
        <v>3153669</v>
      </c>
      <c r="K515" s="1">
        <f t="shared" si="64"/>
        <v>6767</v>
      </c>
      <c r="L515" s="126">
        <f t="shared" si="62"/>
        <v>50.125925925925927</v>
      </c>
      <c r="M515" s="38"/>
      <c r="N515" s="45">
        <v>554508</v>
      </c>
      <c r="O515" s="8">
        <f t="shared" si="69"/>
        <v>1328</v>
      </c>
      <c r="P515" s="9"/>
      <c r="Q515" s="42">
        <v>582134</v>
      </c>
      <c r="R515" s="44">
        <f t="shared" si="67"/>
        <v>565</v>
      </c>
      <c r="S515" s="358"/>
      <c r="T515" s="45">
        <v>6442</v>
      </c>
      <c r="U515" s="9">
        <f t="shared" si="57"/>
        <v>0</v>
      </c>
      <c r="V515" s="38"/>
      <c r="W515" s="45">
        <v>45467</v>
      </c>
      <c r="X515" s="8">
        <f t="shared" si="61"/>
        <v>0</v>
      </c>
      <c r="Y515" s="38"/>
      <c r="Z515" s="253"/>
    </row>
    <row r="516" spans="1:26">
      <c r="A516" s="150">
        <v>45045</v>
      </c>
      <c r="B516" s="154">
        <f t="shared" si="59"/>
        <v>45045</v>
      </c>
      <c r="C516" s="45">
        <v>1953897</v>
      </c>
      <c r="D516" s="34">
        <f t="shared" si="68"/>
        <v>0</v>
      </c>
      <c r="E516" s="38"/>
      <c r="F516" s="45">
        <v>5731317</v>
      </c>
      <c r="G516" s="1">
        <f t="shared" si="65"/>
        <v>5022</v>
      </c>
      <c r="H516" s="127">
        <f t="shared" si="66"/>
        <v>9.1876675603217155</v>
      </c>
      <c r="I516" s="38"/>
      <c r="J516" s="45">
        <v>3160436</v>
      </c>
      <c r="K516" s="1">
        <f t="shared" si="64"/>
        <v>74</v>
      </c>
      <c r="L516" s="126">
        <f t="shared" si="62"/>
        <v>0.54814814814814816</v>
      </c>
      <c r="M516" s="38"/>
      <c r="N516" s="45">
        <v>555836</v>
      </c>
      <c r="O516" s="8">
        <f t="shared" si="69"/>
        <v>45</v>
      </c>
      <c r="P516" s="9"/>
      <c r="Q516" s="42">
        <v>582699</v>
      </c>
      <c r="R516" s="44">
        <f t="shared" si="67"/>
        <v>0</v>
      </c>
      <c r="S516" s="358"/>
      <c r="T516" s="45">
        <v>6442</v>
      </c>
      <c r="U516" s="9">
        <f t="shared" ref="U516:U579" si="70">T517-T516</f>
        <v>0</v>
      </c>
      <c r="V516" s="38"/>
      <c r="W516" s="45">
        <v>45467</v>
      </c>
      <c r="X516" s="8">
        <f t="shared" si="61"/>
        <v>0</v>
      </c>
      <c r="Y516" s="38"/>
      <c r="Z516" s="246" t="s">
        <v>102</v>
      </c>
    </row>
    <row r="517" spans="1:26">
      <c r="A517" s="150">
        <v>45046</v>
      </c>
      <c r="B517" s="154">
        <f t="shared" si="59"/>
        <v>45046</v>
      </c>
      <c r="C517" s="45">
        <v>1953897</v>
      </c>
      <c r="D517" s="34">
        <f t="shared" si="68"/>
        <v>0</v>
      </c>
      <c r="E517" s="38"/>
      <c r="F517" s="45">
        <v>5736339</v>
      </c>
      <c r="G517" s="1">
        <f t="shared" si="65"/>
        <v>0</v>
      </c>
      <c r="H517" s="127">
        <f t="shared" si="66"/>
        <v>-4.2761394101876675</v>
      </c>
      <c r="I517" s="38"/>
      <c r="J517" s="45">
        <v>3160510</v>
      </c>
      <c r="K517" s="1">
        <f t="shared" si="64"/>
        <v>0</v>
      </c>
      <c r="L517" s="126">
        <f t="shared" si="62"/>
        <v>0</v>
      </c>
      <c r="M517" s="38"/>
      <c r="N517" s="45">
        <v>555881</v>
      </c>
      <c r="O517" s="8">
        <f t="shared" si="69"/>
        <v>0</v>
      </c>
      <c r="P517" s="9"/>
      <c r="Q517" s="42">
        <v>582699</v>
      </c>
      <c r="R517" s="44">
        <f t="shared" si="67"/>
        <v>0</v>
      </c>
      <c r="S517" s="358"/>
      <c r="T517" s="45">
        <v>6442</v>
      </c>
      <c r="U517" s="9">
        <f t="shared" si="70"/>
        <v>0</v>
      </c>
      <c r="V517" s="38"/>
      <c r="W517" s="45">
        <v>45467</v>
      </c>
      <c r="X517" s="8">
        <f t="shared" si="61"/>
        <v>0</v>
      </c>
      <c r="Y517" s="38"/>
      <c r="Z517" s="253"/>
    </row>
    <row r="518" spans="1:26">
      <c r="A518" s="150">
        <v>45047</v>
      </c>
      <c r="B518" s="154">
        <f t="shared" si="59"/>
        <v>45047</v>
      </c>
      <c r="C518" s="45">
        <v>1953897</v>
      </c>
      <c r="D518" s="34">
        <f t="shared" si="68"/>
        <v>0</v>
      </c>
      <c r="E518" s="38"/>
      <c r="F518" s="45">
        <v>5736339</v>
      </c>
      <c r="G518" s="1">
        <f t="shared" si="65"/>
        <v>0</v>
      </c>
      <c r="H518" s="127">
        <f t="shared" si="66"/>
        <v>-4.2761394101876675</v>
      </c>
      <c r="I518" s="38"/>
      <c r="J518" s="45">
        <v>3160510</v>
      </c>
      <c r="K518" s="1">
        <f t="shared" si="64"/>
        <v>0</v>
      </c>
      <c r="L518" s="126">
        <f t="shared" si="62"/>
        <v>0</v>
      </c>
      <c r="M518" s="38"/>
      <c r="N518" s="45">
        <v>555881</v>
      </c>
      <c r="O518" s="8">
        <f t="shared" si="69"/>
        <v>331</v>
      </c>
      <c r="P518" s="9"/>
      <c r="Q518" s="42">
        <v>582699</v>
      </c>
      <c r="R518" s="44">
        <f t="shared" si="67"/>
        <v>0</v>
      </c>
      <c r="S518" s="358"/>
      <c r="T518" s="45">
        <v>6442</v>
      </c>
      <c r="U518" s="9">
        <f t="shared" si="70"/>
        <v>0</v>
      </c>
      <c r="V518" s="38"/>
      <c r="W518" s="45">
        <v>45467</v>
      </c>
      <c r="X518" s="8">
        <f t="shared" si="61"/>
        <v>0</v>
      </c>
      <c r="Y518" s="38"/>
      <c r="Z518" s="253"/>
    </row>
    <row r="519" spans="1:26">
      <c r="A519" s="150">
        <v>45048</v>
      </c>
      <c r="B519" s="154">
        <f t="shared" si="59"/>
        <v>45048</v>
      </c>
      <c r="C519" s="45">
        <v>1953897</v>
      </c>
      <c r="D519" s="34">
        <f t="shared" si="68"/>
        <v>5661</v>
      </c>
      <c r="E519" s="38"/>
      <c r="F519" s="45">
        <v>5736339</v>
      </c>
      <c r="G519" s="1">
        <f t="shared" si="65"/>
        <v>11448</v>
      </c>
      <c r="H519" s="127">
        <f t="shared" si="66"/>
        <v>41.592493297587133</v>
      </c>
      <c r="I519" s="38"/>
      <c r="J519" s="45">
        <v>3160510</v>
      </c>
      <c r="K519" s="1">
        <f t="shared" si="64"/>
        <v>5245</v>
      </c>
      <c r="L519" s="126">
        <f t="shared" si="62"/>
        <v>38.851851851851855</v>
      </c>
      <c r="M519" s="38"/>
      <c r="N519" s="45">
        <v>556212</v>
      </c>
      <c r="O519" s="8">
        <f t="shared" si="69"/>
        <v>644</v>
      </c>
      <c r="P519" s="9"/>
      <c r="Q519" s="42">
        <v>582699</v>
      </c>
      <c r="R519" s="44">
        <f t="shared" si="67"/>
        <v>245</v>
      </c>
      <c r="S519" s="358"/>
      <c r="T519" s="45">
        <v>6442</v>
      </c>
      <c r="U519" s="9">
        <f t="shared" si="70"/>
        <v>0</v>
      </c>
      <c r="V519" s="38"/>
      <c r="W519" s="45">
        <v>45467</v>
      </c>
      <c r="X519" s="8">
        <f t="shared" si="61"/>
        <v>0</v>
      </c>
      <c r="Y519" s="38"/>
      <c r="Z519" s="253"/>
    </row>
    <row r="520" spans="1:26">
      <c r="A520" s="150">
        <v>45049</v>
      </c>
      <c r="B520" s="154">
        <f t="shared" si="59"/>
        <v>45049</v>
      </c>
      <c r="C520" s="45">
        <v>1959558</v>
      </c>
      <c r="D520" s="34">
        <f t="shared" si="68"/>
        <v>6014</v>
      </c>
      <c r="E520" s="38"/>
      <c r="F520" s="45">
        <v>5747787</v>
      </c>
      <c r="G520" s="1">
        <f t="shared" si="65"/>
        <v>12018</v>
      </c>
      <c r="H520" s="127">
        <f t="shared" si="66"/>
        <v>44.067024128686327</v>
      </c>
      <c r="I520" s="38"/>
      <c r="J520" s="45">
        <v>3165755</v>
      </c>
      <c r="K520" s="1">
        <f t="shared" si="64"/>
        <v>10503</v>
      </c>
      <c r="L520" s="126">
        <f t="shared" si="62"/>
        <v>77.8</v>
      </c>
      <c r="M520" s="38"/>
      <c r="N520" s="45">
        <v>556856</v>
      </c>
      <c r="O520" s="8">
        <f t="shared" si="69"/>
        <v>736</v>
      </c>
      <c r="P520" s="9"/>
      <c r="Q520" s="42">
        <v>582944</v>
      </c>
      <c r="R520" s="44">
        <f t="shared" si="67"/>
        <v>222</v>
      </c>
      <c r="S520" s="358"/>
      <c r="T520" s="45">
        <v>6442</v>
      </c>
      <c r="U520" s="9">
        <f t="shared" si="70"/>
        <v>0</v>
      </c>
      <c r="V520" s="38"/>
      <c r="W520" s="45">
        <v>45467</v>
      </c>
      <c r="X520" s="8">
        <f t="shared" si="61"/>
        <v>0</v>
      </c>
      <c r="Y520" s="38"/>
      <c r="Z520" s="253"/>
    </row>
    <row r="521" spans="1:26">
      <c r="A521" s="150">
        <v>45050</v>
      </c>
      <c r="B521" s="154">
        <f t="shared" si="59"/>
        <v>45050</v>
      </c>
      <c r="C521" s="45">
        <v>1965572</v>
      </c>
      <c r="D521" s="34">
        <f t="shared" si="68"/>
        <v>5510</v>
      </c>
      <c r="E521" s="38"/>
      <c r="F521" s="45">
        <v>5759805</v>
      </c>
      <c r="G521" s="1">
        <f t="shared" si="65"/>
        <v>11299</v>
      </c>
      <c r="H521" s="127">
        <f t="shared" si="66"/>
        <v>40.788203753351205</v>
      </c>
      <c r="I521" s="38"/>
      <c r="J521" s="45">
        <v>3176258</v>
      </c>
      <c r="K521" s="1">
        <f t="shared" si="64"/>
        <v>5153</v>
      </c>
      <c r="L521" s="126">
        <f t="shared" si="62"/>
        <v>38.170370370370371</v>
      </c>
      <c r="M521" s="38"/>
      <c r="N521" s="45">
        <v>557592</v>
      </c>
      <c r="O521" s="8">
        <f t="shared" si="69"/>
        <v>667</v>
      </c>
      <c r="P521" s="9"/>
      <c r="Q521" s="42">
        <v>583166</v>
      </c>
      <c r="R521" s="44">
        <f t="shared" si="67"/>
        <v>214</v>
      </c>
      <c r="S521" s="358"/>
      <c r="T521" s="45">
        <v>6442</v>
      </c>
      <c r="U521" s="9">
        <f t="shared" si="70"/>
        <v>0</v>
      </c>
      <c r="V521" s="38"/>
      <c r="W521" s="45">
        <v>45467</v>
      </c>
      <c r="X521" s="8">
        <f t="shared" si="61"/>
        <v>0</v>
      </c>
      <c r="Y521" s="38"/>
      <c r="Z521" s="253"/>
    </row>
    <row r="522" spans="1:26">
      <c r="A522" s="150">
        <v>45051</v>
      </c>
      <c r="B522" s="154">
        <f t="shared" si="59"/>
        <v>45051</v>
      </c>
      <c r="C522" s="45">
        <v>1971082</v>
      </c>
      <c r="D522" s="34">
        <f t="shared" si="68"/>
        <v>5299</v>
      </c>
      <c r="E522" s="38"/>
      <c r="F522" s="45">
        <v>5771104</v>
      </c>
      <c r="G522" s="1">
        <f t="shared" si="65"/>
        <v>11163</v>
      </c>
      <c r="H522" s="127">
        <f t="shared" si="66"/>
        <v>39.857908847184987</v>
      </c>
      <c r="I522" s="38"/>
      <c r="J522" s="45">
        <v>3181411</v>
      </c>
      <c r="K522" s="1">
        <f t="shared" si="64"/>
        <v>5360</v>
      </c>
      <c r="L522" s="126">
        <f t="shared" si="62"/>
        <v>39.703703703703702</v>
      </c>
      <c r="M522" s="38"/>
      <c r="N522" s="45">
        <v>558259</v>
      </c>
      <c r="O522" s="8">
        <f t="shared" si="69"/>
        <v>712</v>
      </c>
      <c r="P522" s="365" t="s">
        <v>78</v>
      </c>
      <c r="Q522" s="42">
        <v>583380</v>
      </c>
      <c r="R522" s="44">
        <f t="shared" si="67"/>
        <v>587</v>
      </c>
      <c r="S522" s="358"/>
      <c r="T522" s="45">
        <v>6442</v>
      </c>
      <c r="U522" s="9">
        <f t="shared" si="70"/>
        <v>0</v>
      </c>
      <c r="V522" s="38"/>
      <c r="W522" s="45">
        <v>45467</v>
      </c>
      <c r="X522" s="8">
        <f t="shared" si="61"/>
        <v>0</v>
      </c>
      <c r="Y522" s="38"/>
      <c r="Z522" s="253"/>
    </row>
    <row r="523" spans="1:26">
      <c r="A523" s="150">
        <v>45052</v>
      </c>
      <c r="B523" s="154">
        <f t="shared" si="59"/>
        <v>45052</v>
      </c>
      <c r="C523" s="45">
        <v>1976381</v>
      </c>
      <c r="D523" s="34">
        <f t="shared" si="68"/>
        <v>294</v>
      </c>
      <c r="E523" s="38"/>
      <c r="F523" s="45">
        <v>5782267</v>
      </c>
      <c r="G523" s="1">
        <f t="shared" si="65"/>
        <v>6829</v>
      </c>
      <c r="H523" s="127">
        <f t="shared" si="66"/>
        <v>14.820375335120643</v>
      </c>
      <c r="I523" s="38"/>
      <c r="J523" s="45">
        <v>3186771</v>
      </c>
      <c r="K523" s="1">
        <f t="shared" si="64"/>
        <v>0</v>
      </c>
      <c r="L523" s="126">
        <f t="shared" si="62"/>
        <v>0</v>
      </c>
      <c r="M523" s="38"/>
      <c r="N523" s="46">
        <v>558971</v>
      </c>
      <c r="O523" s="12">
        <f t="shared" si="69"/>
        <v>846</v>
      </c>
      <c r="P523" s="166"/>
      <c r="Q523" s="42">
        <v>583967</v>
      </c>
      <c r="R523" s="44">
        <f t="shared" si="67"/>
        <v>0</v>
      </c>
      <c r="S523" s="358"/>
      <c r="T523" s="45">
        <v>6442</v>
      </c>
      <c r="U523" s="9">
        <f t="shared" si="70"/>
        <v>0</v>
      </c>
      <c r="V523" s="38"/>
      <c r="W523" s="45">
        <v>45467</v>
      </c>
      <c r="X523" s="8">
        <f t="shared" si="61"/>
        <v>0</v>
      </c>
      <c r="Y523" s="38"/>
      <c r="Z523" s="253"/>
    </row>
    <row r="524" spans="1:26">
      <c r="A524" s="150">
        <v>45053</v>
      </c>
      <c r="B524" s="154">
        <f t="shared" si="59"/>
        <v>45053</v>
      </c>
      <c r="C524" s="45">
        <v>1976675</v>
      </c>
      <c r="D524" s="34">
        <f t="shared" si="68"/>
        <v>0</v>
      </c>
      <c r="E524" s="38"/>
      <c r="F524" s="45">
        <v>5789096</v>
      </c>
      <c r="G524" s="1">
        <f t="shared" si="65"/>
        <v>0</v>
      </c>
      <c r="H524" s="127">
        <f t="shared" si="66"/>
        <v>-4.2761394101876675</v>
      </c>
      <c r="I524" s="38"/>
      <c r="J524" s="45">
        <v>3186771</v>
      </c>
      <c r="K524" s="1">
        <f t="shared" si="64"/>
        <v>0</v>
      </c>
      <c r="L524" s="126">
        <f t="shared" si="62"/>
        <v>0</v>
      </c>
      <c r="M524" s="38"/>
      <c r="N524" s="46">
        <v>559817</v>
      </c>
      <c r="O524" s="12">
        <f t="shared" si="69"/>
        <v>0</v>
      </c>
      <c r="P524" s="166"/>
      <c r="Q524" s="42">
        <v>583967</v>
      </c>
      <c r="R524" s="44">
        <f t="shared" si="67"/>
        <v>0</v>
      </c>
      <c r="S524" s="358"/>
      <c r="T524" s="45">
        <v>6442</v>
      </c>
      <c r="U524" s="9">
        <f t="shared" si="70"/>
        <v>0</v>
      </c>
      <c r="V524" s="38"/>
      <c r="W524" s="45">
        <v>45467</v>
      </c>
      <c r="X524" s="8">
        <f t="shared" si="61"/>
        <v>0</v>
      </c>
      <c r="Y524" s="38"/>
      <c r="Z524" s="253"/>
    </row>
    <row r="525" spans="1:26">
      <c r="A525" s="150">
        <v>45054</v>
      </c>
      <c r="B525" s="154">
        <f t="shared" si="59"/>
        <v>45054</v>
      </c>
      <c r="C525" s="45">
        <v>1976675</v>
      </c>
      <c r="D525" s="34">
        <f t="shared" si="68"/>
        <v>5514</v>
      </c>
      <c r="E525" s="38"/>
      <c r="F525" s="45">
        <v>5789096</v>
      </c>
      <c r="G525" s="1">
        <f t="shared" si="65"/>
        <v>11259</v>
      </c>
      <c r="H525" s="127">
        <f t="shared" si="66"/>
        <v>40.691689008042893</v>
      </c>
      <c r="I525" s="38"/>
      <c r="J525" s="45">
        <v>3186771</v>
      </c>
      <c r="K525" s="1">
        <f t="shared" si="64"/>
        <v>10232</v>
      </c>
      <c r="L525" s="126">
        <f t="shared" si="62"/>
        <v>75.792592592592598</v>
      </c>
      <c r="M525" s="38"/>
      <c r="N525" s="46">
        <v>559817</v>
      </c>
      <c r="O525" s="12">
        <f t="shared" si="69"/>
        <v>711</v>
      </c>
      <c r="P525" s="166"/>
      <c r="Q525" s="42">
        <v>583967</v>
      </c>
      <c r="R525" s="44">
        <f t="shared" si="67"/>
        <v>196</v>
      </c>
      <c r="S525" s="358"/>
      <c r="T525" s="45">
        <v>6442</v>
      </c>
      <c r="U525" s="9">
        <f t="shared" si="70"/>
        <v>0</v>
      </c>
      <c r="V525" s="38"/>
      <c r="W525" s="45">
        <v>45467</v>
      </c>
      <c r="X525" s="8">
        <f t="shared" si="61"/>
        <v>0</v>
      </c>
      <c r="Y525" s="38"/>
      <c r="Z525" s="253"/>
    </row>
    <row r="526" spans="1:26">
      <c r="A526" s="150">
        <v>45055</v>
      </c>
      <c r="B526" s="154">
        <f t="shared" ref="B526:B567" si="71">+A526</f>
        <v>45055</v>
      </c>
      <c r="C526" s="45">
        <v>1982189</v>
      </c>
      <c r="D526" s="34">
        <f t="shared" si="68"/>
        <v>5454</v>
      </c>
      <c r="E526" s="38"/>
      <c r="F526" s="45">
        <v>5800355</v>
      </c>
      <c r="G526" s="1">
        <f t="shared" si="65"/>
        <v>11211</v>
      </c>
      <c r="H526" s="127">
        <f t="shared" si="66"/>
        <v>40.402144772117964</v>
      </c>
      <c r="I526" s="38"/>
      <c r="J526" s="45">
        <v>3197003</v>
      </c>
      <c r="K526" s="1">
        <f t="shared" si="64"/>
        <v>6774</v>
      </c>
      <c r="L526" s="126">
        <f t="shared" si="62"/>
        <v>50.177777777777777</v>
      </c>
      <c r="M526" s="38"/>
      <c r="N526" s="46">
        <v>560528</v>
      </c>
      <c r="O526" s="12">
        <f t="shared" si="69"/>
        <v>826</v>
      </c>
      <c r="P526" s="166"/>
      <c r="Q526" s="42">
        <v>584163</v>
      </c>
      <c r="R526" s="44">
        <f t="shared" si="67"/>
        <v>238</v>
      </c>
      <c r="S526" s="358"/>
      <c r="T526" s="45">
        <v>6442</v>
      </c>
      <c r="U526" s="9">
        <f t="shared" si="70"/>
        <v>0</v>
      </c>
      <c r="V526" s="38"/>
      <c r="W526" s="45">
        <v>45467</v>
      </c>
      <c r="X526" s="8">
        <f t="shared" si="61"/>
        <v>0</v>
      </c>
      <c r="Y526" s="38"/>
      <c r="Z526" s="253"/>
    </row>
    <row r="527" spans="1:26">
      <c r="A527" s="150">
        <v>45056</v>
      </c>
      <c r="B527" s="154">
        <f t="shared" si="71"/>
        <v>45056</v>
      </c>
      <c r="C527" s="45">
        <v>1987643</v>
      </c>
      <c r="D527" s="34">
        <f t="shared" si="68"/>
        <v>5345</v>
      </c>
      <c r="E527" s="40" t="s">
        <v>78</v>
      </c>
      <c r="F527" s="45">
        <v>5811566</v>
      </c>
      <c r="G527" s="1">
        <f t="shared" si="65"/>
        <v>11541</v>
      </c>
      <c r="H527" s="127">
        <f t="shared" si="66"/>
        <v>40.994638069705097</v>
      </c>
      <c r="I527" s="40" t="s">
        <v>78</v>
      </c>
      <c r="J527" s="45">
        <v>3203777</v>
      </c>
      <c r="K527" s="1">
        <f t="shared" si="64"/>
        <v>3720</v>
      </c>
      <c r="L527" s="126">
        <f t="shared" si="62"/>
        <v>27.555555555555557</v>
      </c>
      <c r="M527" s="40" t="s">
        <v>78</v>
      </c>
      <c r="N527" s="46">
        <v>561354</v>
      </c>
      <c r="O527" s="12">
        <f t="shared" si="69"/>
        <v>824</v>
      </c>
      <c r="P527" s="166"/>
      <c r="Q527" s="42">
        <v>584401</v>
      </c>
      <c r="R527" s="44">
        <f t="shared" si="67"/>
        <v>0</v>
      </c>
      <c r="S527" s="358"/>
      <c r="T527" s="45">
        <v>6442</v>
      </c>
      <c r="U527" s="9">
        <f t="shared" si="70"/>
        <v>0</v>
      </c>
      <c r="V527" s="40" t="s">
        <v>78</v>
      </c>
      <c r="W527" s="45">
        <v>45467</v>
      </c>
      <c r="X527" s="8">
        <f t="shared" si="61"/>
        <v>0</v>
      </c>
      <c r="Y527" s="40" t="s">
        <v>78</v>
      </c>
      <c r="Z527" s="253"/>
    </row>
    <row r="528" spans="1:26">
      <c r="A528" s="150">
        <v>45057</v>
      </c>
      <c r="B528" s="154">
        <f t="shared" si="71"/>
        <v>45057</v>
      </c>
      <c r="C528" s="46">
        <v>1992988</v>
      </c>
      <c r="D528" s="35">
        <f t="shared" si="68"/>
        <v>5156</v>
      </c>
      <c r="E528" s="39"/>
      <c r="F528" s="46">
        <v>5823107</v>
      </c>
      <c r="G528" s="2">
        <f t="shared" si="65"/>
        <v>10852</v>
      </c>
      <c r="H528" s="156">
        <f t="shared" si="66"/>
        <v>38.640750670241289</v>
      </c>
      <c r="I528" s="39"/>
      <c r="J528" s="46">
        <v>3207497</v>
      </c>
      <c r="K528" s="2">
        <f t="shared" si="64"/>
        <v>15043</v>
      </c>
      <c r="L528" s="160">
        <f t="shared" si="62"/>
        <v>111.42962962962963</v>
      </c>
      <c r="M528" s="39"/>
      <c r="N528" s="46">
        <v>562178</v>
      </c>
      <c r="O528" s="12">
        <f t="shared" si="69"/>
        <v>1693</v>
      </c>
      <c r="P528" s="166"/>
      <c r="Q528" s="42">
        <v>584401</v>
      </c>
      <c r="R528" s="44">
        <f t="shared" si="67"/>
        <v>970</v>
      </c>
      <c r="S528" s="358"/>
      <c r="T528" s="46">
        <v>6442</v>
      </c>
      <c r="U528" s="166">
        <f t="shared" si="70"/>
        <v>0</v>
      </c>
      <c r="V528" s="39"/>
      <c r="W528" s="46">
        <v>45467</v>
      </c>
      <c r="X528" s="12">
        <f t="shared" si="61"/>
        <v>0</v>
      </c>
      <c r="Y528" s="39"/>
      <c r="Z528" s="253"/>
    </row>
    <row r="529" spans="1:26">
      <c r="A529" s="150">
        <v>45058</v>
      </c>
      <c r="B529" s="154">
        <f t="shared" si="71"/>
        <v>45058</v>
      </c>
      <c r="C529" s="46">
        <v>1998144</v>
      </c>
      <c r="D529" s="35">
        <f t="shared" si="68"/>
        <v>4818</v>
      </c>
      <c r="E529" s="39"/>
      <c r="F529" s="46">
        <v>5833959</v>
      </c>
      <c r="G529" s="2">
        <f t="shared" si="65"/>
        <v>16328</v>
      </c>
      <c r="H529" s="156">
        <f t="shared" si="66"/>
        <v>52.415549597855225</v>
      </c>
      <c r="I529" s="39"/>
      <c r="J529" s="46">
        <v>3222540</v>
      </c>
      <c r="K529" s="2">
        <f t="shared" si="64"/>
        <v>0</v>
      </c>
      <c r="L529" s="160">
        <f t="shared" si="62"/>
        <v>0</v>
      </c>
      <c r="M529" s="39"/>
      <c r="N529" s="46">
        <v>563871</v>
      </c>
      <c r="O529" s="12">
        <f t="shared" si="69"/>
        <v>779</v>
      </c>
      <c r="P529" s="166"/>
      <c r="Q529" s="42">
        <v>585371</v>
      </c>
      <c r="R529" s="44">
        <f t="shared" si="67"/>
        <v>0</v>
      </c>
      <c r="S529" s="358"/>
      <c r="T529" s="46">
        <v>6442</v>
      </c>
      <c r="U529" s="166">
        <f t="shared" si="70"/>
        <v>0</v>
      </c>
      <c r="V529" s="39"/>
      <c r="W529" s="46">
        <v>45467</v>
      </c>
      <c r="X529" s="12">
        <f t="shared" si="61"/>
        <v>0</v>
      </c>
      <c r="Y529" s="39"/>
      <c r="Z529" s="253"/>
    </row>
    <row r="530" spans="1:26">
      <c r="A530" s="150">
        <v>45059</v>
      </c>
      <c r="B530" s="154">
        <f t="shared" si="71"/>
        <v>45059</v>
      </c>
      <c r="C530" s="46">
        <v>2002962</v>
      </c>
      <c r="D530" s="35">
        <f t="shared" si="68"/>
        <v>0</v>
      </c>
      <c r="E530" s="39"/>
      <c r="F530" s="46">
        <v>5850287</v>
      </c>
      <c r="G530" s="2">
        <f t="shared" si="65"/>
        <v>0</v>
      </c>
      <c r="H530" s="156">
        <f t="shared" si="66"/>
        <v>-4.2761394101876675</v>
      </c>
      <c r="I530" s="39"/>
      <c r="J530" s="46">
        <v>3222540</v>
      </c>
      <c r="K530" s="2">
        <f t="shared" si="64"/>
        <v>0</v>
      </c>
      <c r="L530" s="160">
        <f t="shared" si="62"/>
        <v>0</v>
      </c>
      <c r="M530" s="39"/>
      <c r="N530" s="46">
        <v>564650</v>
      </c>
      <c r="O530" s="12">
        <f t="shared" si="69"/>
        <v>0</v>
      </c>
      <c r="P530" s="166"/>
      <c r="Q530" s="42">
        <v>585371</v>
      </c>
      <c r="R530" s="44">
        <f t="shared" si="67"/>
        <v>0</v>
      </c>
      <c r="S530" s="358"/>
      <c r="T530" s="46">
        <v>6442</v>
      </c>
      <c r="U530" s="166">
        <f t="shared" si="70"/>
        <v>0</v>
      </c>
      <c r="V530" s="39"/>
      <c r="W530" s="46">
        <v>45467</v>
      </c>
      <c r="X530" s="12">
        <f t="shared" si="61"/>
        <v>0</v>
      </c>
      <c r="Y530" s="39"/>
      <c r="Z530" s="253"/>
    </row>
    <row r="531" spans="1:26">
      <c r="A531" s="150">
        <v>45060</v>
      </c>
      <c r="B531" s="154">
        <f t="shared" si="71"/>
        <v>45060</v>
      </c>
      <c r="C531" s="46">
        <v>2002962</v>
      </c>
      <c r="D531" s="35">
        <f t="shared" si="68"/>
        <v>0</v>
      </c>
      <c r="E531" s="39"/>
      <c r="F531" s="46">
        <v>5850287</v>
      </c>
      <c r="G531" s="2">
        <f t="shared" si="65"/>
        <v>0</v>
      </c>
      <c r="H531" s="156">
        <f t="shared" si="66"/>
        <v>-4.2761394101876675</v>
      </c>
      <c r="I531" s="39"/>
      <c r="J531" s="46">
        <v>3222540</v>
      </c>
      <c r="K531" s="2">
        <f t="shared" si="64"/>
        <v>0</v>
      </c>
      <c r="L531" s="160">
        <f t="shared" si="62"/>
        <v>0</v>
      </c>
      <c r="M531" s="39"/>
      <c r="N531" s="46">
        <v>564650</v>
      </c>
      <c r="O531" s="12">
        <f t="shared" si="69"/>
        <v>0</v>
      </c>
      <c r="P531" s="166"/>
      <c r="Q531" s="42">
        <v>585371</v>
      </c>
      <c r="R531" s="44">
        <f t="shared" si="67"/>
        <v>0</v>
      </c>
      <c r="S531" s="358"/>
      <c r="T531" s="46">
        <v>6442</v>
      </c>
      <c r="U531" s="166">
        <f t="shared" si="70"/>
        <v>0</v>
      </c>
      <c r="V531" s="39"/>
      <c r="W531" s="46">
        <v>45467</v>
      </c>
      <c r="X531" s="12">
        <f t="shared" si="61"/>
        <v>0</v>
      </c>
      <c r="Y531" s="39"/>
      <c r="Z531" s="253"/>
    </row>
    <row r="532" spans="1:26">
      <c r="A532" s="150">
        <v>45061</v>
      </c>
      <c r="B532" s="154">
        <f t="shared" si="71"/>
        <v>45061</v>
      </c>
      <c r="C532" s="46">
        <v>2002962</v>
      </c>
      <c r="D532" s="35">
        <f t="shared" si="68"/>
        <v>10129</v>
      </c>
      <c r="E532" s="39"/>
      <c r="F532" s="46">
        <v>5850287</v>
      </c>
      <c r="G532" s="2">
        <f t="shared" si="65"/>
        <v>21552</v>
      </c>
      <c r="H532" s="156">
        <f t="shared" si="66"/>
        <v>80.659517426273453</v>
      </c>
      <c r="I532" s="39"/>
      <c r="J532" s="46">
        <v>3222540</v>
      </c>
      <c r="K532" s="2">
        <f t="shared" si="64"/>
        <v>14256</v>
      </c>
      <c r="L532" s="160">
        <f t="shared" si="62"/>
        <v>105.6</v>
      </c>
      <c r="M532" s="39"/>
      <c r="N532" s="46">
        <v>564650</v>
      </c>
      <c r="O532" s="12">
        <f t="shared" si="69"/>
        <v>1473</v>
      </c>
      <c r="P532" s="166"/>
      <c r="Q532" s="42">
        <v>585371</v>
      </c>
      <c r="R532" s="44">
        <f t="shared" si="67"/>
        <v>438</v>
      </c>
      <c r="S532" s="358"/>
      <c r="T532" s="46">
        <v>6442</v>
      </c>
      <c r="U532" s="166">
        <f t="shared" si="70"/>
        <v>3375</v>
      </c>
      <c r="V532" s="39"/>
      <c r="W532" s="46">
        <v>45467</v>
      </c>
      <c r="X532" s="12">
        <f t="shared" si="61"/>
        <v>590</v>
      </c>
      <c r="Y532" s="39"/>
      <c r="Z532" s="253"/>
    </row>
    <row r="533" spans="1:26">
      <c r="A533" s="150">
        <v>45062</v>
      </c>
      <c r="B533" s="154">
        <f t="shared" si="71"/>
        <v>45062</v>
      </c>
      <c r="C533" s="46">
        <v>2013091</v>
      </c>
      <c r="D533" s="35">
        <f t="shared" si="68"/>
        <v>0</v>
      </c>
      <c r="E533" s="39"/>
      <c r="F533" s="46">
        <v>5871839</v>
      </c>
      <c r="G533" s="2">
        <f t="shared" si="65"/>
        <v>0</v>
      </c>
      <c r="H533" s="156">
        <f t="shared" si="66"/>
        <v>-4.2761394101876675</v>
      </c>
      <c r="I533" s="39"/>
      <c r="J533" s="46">
        <v>3236796</v>
      </c>
      <c r="K533" s="2">
        <f t="shared" si="64"/>
        <v>0</v>
      </c>
      <c r="L533" s="160">
        <f t="shared" si="62"/>
        <v>0</v>
      </c>
      <c r="M533" s="39"/>
      <c r="N533" s="46">
        <v>566123</v>
      </c>
      <c r="O533" s="12">
        <f t="shared" si="69"/>
        <v>0</v>
      </c>
      <c r="P533" s="166"/>
      <c r="Q533" s="42">
        <v>585809</v>
      </c>
      <c r="R533" s="44">
        <f t="shared" si="67"/>
        <v>0</v>
      </c>
      <c r="S533" s="358"/>
      <c r="T533" s="46">
        <v>9817</v>
      </c>
      <c r="U533" s="166">
        <f t="shared" si="70"/>
        <v>0</v>
      </c>
      <c r="V533" s="39"/>
      <c r="W533" s="46">
        <v>46057</v>
      </c>
      <c r="X533" s="12">
        <f t="shared" ref="X533:X596" si="72">W534-W533</f>
        <v>0</v>
      </c>
      <c r="Y533" s="39"/>
      <c r="Z533" s="253"/>
    </row>
    <row r="534" spans="1:26">
      <c r="A534" s="150">
        <v>45063</v>
      </c>
      <c r="B534" s="154">
        <f t="shared" si="71"/>
        <v>45063</v>
      </c>
      <c r="C534" s="46">
        <v>2013091</v>
      </c>
      <c r="D534" s="35">
        <f t="shared" si="68"/>
        <v>5321</v>
      </c>
      <c r="E534" s="39"/>
      <c r="F534" s="46">
        <v>5871839</v>
      </c>
      <c r="G534" s="2">
        <f t="shared" si="65"/>
        <v>11291</v>
      </c>
      <c r="H534" s="156">
        <f t="shared" si="66"/>
        <v>40.260053619302951</v>
      </c>
      <c r="I534" s="39"/>
      <c r="J534" s="46">
        <v>3236796</v>
      </c>
      <c r="K534" s="2">
        <f t="shared" si="64"/>
        <v>5614</v>
      </c>
      <c r="L534" s="160">
        <f t="shared" si="62"/>
        <v>41.585185185185182</v>
      </c>
      <c r="M534" s="39"/>
      <c r="N534" s="46">
        <v>566123</v>
      </c>
      <c r="O534" s="12">
        <f t="shared" si="69"/>
        <v>0</v>
      </c>
      <c r="P534" s="166"/>
      <c r="Q534" s="42">
        <v>585809</v>
      </c>
      <c r="R534" s="44">
        <f t="shared" si="67"/>
        <v>214</v>
      </c>
      <c r="S534" s="358"/>
      <c r="T534" s="46">
        <v>9817</v>
      </c>
      <c r="U534" s="166">
        <f t="shared" si="70"/>
        <v>0</v>
      </c>
      <c r="V534" s="39"/>
      <c r="W534" s="46">
        <v>46057</v>
      </c>
      <c r="X534" s="12">
        <f t="shared" si="72"/>
        <v>0</v>
      </c>
      <c r="Y534" s="39"/>
      <c r="Z534" s="253"/>
    </row>
    <row r="535" spans="1:26">
      <c r="A535" s="150">
        <v>45064</v>
      </c>
      <c r="B535" s="154">
        <f t="shared" si="71"/>
        <v>45064</v>
      </c>
      <c r="C535" s="46">
        <v>2018412</v>
      </c>
      <c r="D535" s="35">
        <f t="shared" si="68"/>
        <v>6404</v>
      </c>
      <c r="E535" s="39"/>
      <c r="F535" s="46">
        <v>5883130</v>
      </c>
      <c r="G535" s="2">
        <f t="shared" si="65"/>
        <v>13239</v>
      </c>
      <c r="H535" s="156">
        <f t="shared" si="66"/>
        <v>48.386058981233241</v>
      </c>
      <c r="I535" s="39"/>
      <c r="J535" s="46">
        <v>3242410</v>
      </c>
      <c r="K535" s="2">
        <f t="shared" si="64"/>
        <v>10028</v>
      </c>
      <c r="L535" s="160">
        <f t="shared" si="62"/>
        <v>74.281481481481478</v>
      </c>
      <c r="M535" s="39"/>
      <c r="N535" s="46">
        <v>566123</v>
      </c>
      <c r="O535" s="12">
        <f t="shared" si="69"/>
        <v>1444</v>
      </c>
      <c r="P535" s="166"/>
      <c r="Q535" s="42">
        <v>586023</v>
      </c>
      <c r="R535" s="44">
        <f t="shared" si="67"/>
        <v>204</v>
      </c>
      <c r="S535" s="358"/>
      <c r="T535" s="46">
        <v>9817</v>
      </c>
      <c r="U535" s="166">
        <f t="shared" si="70"/>
        <v>0</v>
      </c>
      <c r="V535" s="39"/>
      <c r="W535" s="46">
        <v>46057</v>
      </c>
      <c r="X535" s="12">
        <f t="shared" si="72"/>
        <v>0</v>
      </c>
      <c r="Y535" s="39"/>
      <c r="Z535" s="253"/>
    </row>
    <row r="536" spans="1:26">
      <c r="A536" s="150">
        <v>45065</v>
      </c>
      <c r="B536" s="154">
        <f t="shared" si="71"/>
        <v>45065</v>
      </c>
      <c r="C536" s="46">
        <v>2024816</v>
      </c>
      <c r="D536" s="35">
        <f t="shared" si="68"/>
        <v>6574</v>
      </c>
      <c r="E536" s="39"/>
      <c r="F536" s="46">
        <v>5896369</v>
      </c>
      <c r="G536" s="2">
        <f t="shared" si="65"/>
        <v>18233</v>
      </c>
      <c r="H536" s="156">
        <f t="shared" si="66"/>
        <v>62.230563002680967</v>
      </c>
      <c r="I536" s="39"/>
      <c r="J536" s="46">
        <v>3252438</v>
      </c>
      <c r="K536" s="2">
        <f t="shared" si="64"/>
        <v>7599</v>
      </c>
      <c r="L536" s="160">
        <f t="shared" si="62"/>
        <v>56.288888888888891</v>
      </c>
      <c r="M536" s="39"/>
      <c r="N536" s="46">
        <v>567567</v>
      </c>
      <c r="O536" s="12">
        <f t="shared" si="69"/>
        <v>781</v>
      </c>
      <c r="P536" s="166"/>
      <c r="Q536" s="42">
        <v>586227</v>
      </c>
      <c r="R536" s="44">
        <f t="shared" si="67"/>
        <v>630</v>
      </c>
      <c r="S536" s="358"/>
      <c r="T536" s="46">
        <v>9817</v>
      </c>
      <c r="U536" s="166">
        <f t="shared" si="70"/>
        <v>0</v>
      </c>
      <c r="V536" s="39"/>
      <c r="W536" s="46">
        <v>46057</v>
      </c>
      <c r="X536" s="12">
        <f t="shared" si="72"/>
        <v>0</v>
      </c>
      <c r="Y536" s="39"/>
      <c r="Z536" s="253"/>
    </row>
    <row r="537" spans="1:26">
      <c r="A537" s="150">
        <v>45066</v>
      </c>
      <c r="B537" s="154">
        <f t="shared" si="71"/>
        <v>45066</v>
      </c>
      <c r="C537" s="46">
        <v>2031390</v>
      </c>
      <c r="D537" s="35">
        <f t="shared" si="68"/>
        <v>0</v>
      </c>
      <c r="E537" s="39"/>
      <c r="F537" s="46">
        <v>5914602</v>
      </c>
      <c r="G537" s="2">
        <f t="shared" si="65"/>
        <v>0</v>
      </c>
      <c r="H537" s="156">
        <f t="shared" si="66"/>
        <v>-4.2761394101876675</v>
      </c>
      <c r="I537" s="39"/>
      <c r="J537" s="46">
        <v>3260037</v>
      </c>
      <c r="K537" s="2">
        <f t="shared" si="64"/>
        <v>0</v>
      </c>
      <c r="L537" s="160">
        <f t="shared" si="62"/>
        <v>0</v>
      </c>
      <c r="M537" s="39"/>
      <c r="N537" s="46">
        <v>568348</v>
      </c>
      <c r="O537" s="12">
        <f t="shared" si="69"/>
        <v>689</v>
      </c>
      <c r="P537" s="166"/>
      <c r="Q537" s="42">
        <v>586857</v>
      </c>
      <c r="R537" s="44">
        <f t="shared" si="67"/>
        <v>0</v>
      </c>
      <c r="S537" s="358"/>
      <c r="T537" s="46">
        <v>9817</v>
      </c>
      <c r="U537" s="166">
        <f t="shared" si="70"/>
        <v>0</v>
      </c>
      <c r="V537" s="39"/>
      <c r="W537" s="46">
        <v>46057</v>
      </c>
      <c r="X537" s="12">
        <f t="shared" si="72"/>
        <v>0</v>
      </c>
      <c r="Y537" s="39"/>
      <c r="Z537" s="253"/>
    </row>
    <row r="538" spans="1:26">
      <c r="A538" s="150">
        <v>45067</v>
      </c>
      <c r="B538" s="154">
        <f t="shared" si="71"/>
        <v>45067</v>
      </c>
      <c r="C538" s="46">
        <v>2031390</v>
      </c>
      <c r="D538" s="35">
        <f t="shared" si="68"/>
        <v>0</v>
      </c>
      <c r="E538" s="39"/>
      <c r="F538" s="46">
        <v>5914602</v>
      </c>
      <c r="G538" s="2">
        <f t="shared" si="65"/>
        <v>0</v>
      </c>
      <c r="H538" s="156">
        <f t="shared" si="66"/>
        <v>-4.2761394101876675</v>
      </c>
      <c r="I538" s="39"/>
      <c r="J538" s="46">
        <v>3260037</v>
      </c>
      <c r="K538" s="2">
        <f t="shared" si="64"/>
        <v>0</v>
      </c>
      <c r="L538" s="160">
        <f t="shared" ref="L538:L607" si="73">K538/135</f>
        <v>0</v>
      </c>
      <c r="M538" s="39"/>
      <c r="N538" s="46">
        <v>569037</v>
      </c>
      <c r="O538" s="12">
        <f t="shared" si="69"/>
        <v>0</v>
      </c>
      <c r="P538" s="166"/>
      <c r="Q538" s="42">
        <v>586857</v>
      </c>
      <c r="R538" s="44">
        <f t="shared" si="67"/>
        <v>0</v>
      </c>
      <c r="S538" s="358"/>
      <c r="T538" s="46">
        <v>9817</v>
      </c>
      <c r="U538" s="166">
        <f t="shared" si="70"/>
        <v>0</v>
      </c>
      <c r="V538" s="39"/>
      <c r="W538" s="46">
        <v>46057</v>
      </c>
      <c r="X538" s="12">
        <f t="shared" si="72"/>
        <v>0</v>
      </c>
      <c r="Y538" s="39"/>
      <c r="Z538" s="253"/>
    </row>
    <row r="539" spans="1:26">
      <c r="A539" s="150">
        <v>45068</v>
      </c>
      <c r="B539" s="154">
        <f t="shared" si="71"/>
        <v>45068</v>
      </c>
      <c r="C539" s="46">
        <v>2031390</v>
      </c>
      <c r="D539" s="35">
        <f t="shared" si="68"/>
        <v>2455</v>
      </c>
      <c r="E539" s="39"/>
      <c r="F539" s="46">
        <v>5914602</v>
      </c>
      <c r="G539" s="2">
        <f t="shared" si="65"/>
        <v>5775</v>
      </c>
      <c r="H539" s="156">
        <f t="shared" si="66"/>
        <v>17.788203753351205</v>
      </c>
      <c r="I539" s="39"/>
      <c r="J539" s="46">
        <v>3260037</v>
      </c>
      <c r="K539" s="2">
        <f t="shared" si="64"/>
        <v>3172</v>
      </c>
      <c r="L539" s="160">
        <f t="shared" si="73"/>
        <v>23.496296296296297</v>
      </c>
      <c r="M539" s="39"/>
      <c r="N539" s="46">
        <v>569037</v>
      </c>
      <c r="O539" s="12">
        <f t="shared" si="69"/>
        <v>748</v>
      </c>
      <c r="P539" s="166"/>
      <c r="Q539" s="42">
        <v>586857</v>
      </c>
      <c r="R539" s="44">
        <f t="shared" si="67"/>
        <v>311</v>
      </c>
      <c r="S539" s="358"/>
      <c r="T539" s="46">
        <v>9817</v>
      </c>
      <c r="U539" s="166">
        <f t="shared" si="70"/>
        <v>0</v>
      </c>
      <c r="V539" s="39"/>
      <c r="W539" s="46">
        <v>46057</v>
      </c>
      <c r="X539" s="12">
        <f t="shared" si="72"/>
        <v>0</v>
      </c>
      <c r="Y539" s="39"/>
      <c r="Z539" s="253"/>
    </row>
    <row r="540" spans="1:26">
      <c r="A540" s="150">
        <v>45069</v>
      </c>
      <c r="B540" s="154">
        <f t="shared" si="71"/>
        <v>45069</v>
      </c>
      <c r="C540" s="46">
        <v>2033845</v>
      </c>
      <c r="D540" s="35">
        <f t="shared" si="68"/>
        <v>5474</v>
      </c>
      <c r="E540" s="39"/>
      <c r="F540" s="46">
        <v>5920377</v>
      </c>
      <c r="G540" s="2">
        <f t="shared" si="65"/>
        <v>11916</v>
      </c>
      <c r="H540" s="156">
        <f t="shared" si="66"/>
        <v>42.34584450402145</v>
      </c>
      <c r="I540" s="39"/>
      <c r="J540" s="46">
        <v>3263209</v>
      </c>
      <c r="K540" s="2">
        <f t="shared" si="64"/>
        <v>9851</v>
      </c>
      <c r="L540" s="160">
        <f t="shared" si="73"/>
        <v>72.970370370370375</v>
      </c>
      <c r="M540" s="39"/>
      <c r="N540" s="46">
        <v>569785</v>
      </c>
      <c r="O540" s="12">
        <f t="shared" si="69"/>
        <v>708</v>
      </c>
      <c r="P540" s="166"/>
      <c r="Q540" s="42">
        <v>587168</v>
      </c>
      <c r="R540" s="44">
        <f t="shared" si="67"/>
        <v>245</v>
      </c>
      <c r="S540" s="358"/>
      <c r="T540" s="46">
        <v>9817</v>
      </c>
      <c r="U540" s="166">
        <f t="shared" si="70"/>
        <v>0</v>
      </c>
      <c r="V540" s="39"/>
      <c r="W540" s="46">
        <v>46057</v>
      </c>
      <c r="X540" s="12">
        <f t="shared" si="72"/>
        <v>0</v>
      </c>
      <c r="Y540" s="39"/>
      <c r="Z540" s="253"/>
    </row>
    <row r="541" spans="1:26">
      <c r="A541" s="150">
        <v>45070</v>
      </c>
      <c r="B541" s="154">
        <f t="shared" si="71"/>
        <v>45070</v>
      </c>
      <c r="C541" s="46">
        <v>2039319</v>
      </c>
      <c r="D541" s="35">
        <f t="shared" si="68"/>
        <v>4980</v>
      </c>
      <c r="E541" s="39"/>
      <c r="F541" s="46">
        <v>5932293</v>
      </c>
      <c r="G541" s="2">
        <f t="shared" si="65"/>
        <v>10803</v>
      </c>
      <c r="H541" s="156">
        <f t="shared" si="66"/>
        <v>38.037533512064343</v>
      </c>
      <c r="I541" s="39"/>
      <c r="J541" s="46">
        <v>3273060</v>
      </c>
      <c r="K541" s="2">
        <f t="shared" si="64"/>
        <v>5423</v>
      </c>
      <c r="L541" s="160">
        <f t="shared" si="73"/>
        <v>40.170370370370371</v>
      </c>
      <c r="M541" s="39"/>
      <c r="N541" s="46">
        <v>570493</v>
      </c>
      <c r="O541" s="12">
        <f t="shared" si="69"/>
        <v>611</v>
      </c>
      <c r="P541" s="166"/>
      <c r="Q541" s="42">
        <v>587413</v>
      </c>
      <c r="R541" s="44">
        <f t="shared" si="67"/>
        <v>245</v>
      </c>
      <c r="S541" s="358"/>
      <c r="T541" s="46">
        <v>9817</v>
      </c>
      <c r="U541" s="166">
        <f t="shared" si="70"/>
        <v>0</v>
      </c>
      <c r="V541" s="39"/>
      <c r="W541" s="46">
        <v>46057</v>
      </c>
      <c r="X541" s="12">
        <f t="shared" si="72"/>
        <v>0</v>
      </c>
      <c r="Y541" s="39"/>
      <c r="Z541" s="253"/>
    </row>
    <row r="542" spans="1:26">
      <c r="A542" s="150">
        <v>45071</v>
      </c>
      <c r="B542" s="154">
        <f t="shared" si="71"/>
        <v>45071</v>
      </c>
      <c r="C542" s="46">
        <v>2044299</v>
      </c>
      <c r="D542" s="35">
        <f t="shared" si="68"/>
        <v>9958</v>
      </c>
      <c r="E542" s="39"/>
      <c r="F542" s="46">
        <v>5943096</v>
      </c>
      <c r="G542" s="2">
        <f t="shared" si="65"/>
        <v>25020</v>
      </c>
      <c r="H542" s="156">
        <f t="shared" si="66"/>
        <v>89.498659517426276</v>
      </c>
      <c r="I542" s="39"/>
      <c r="J542" s="46">
        <v>3278483</v>
      </c>
      <c r="K542" s="2">
        <f t="shared" si="64"/>
        <v>14373</v>
      </c>
      <c r="L542" s="160">
        <f t="shared" si="73"/>
        <v>106.46666666666667</v>
      </c>
      <c r="M542" s="39"/>
      <c r="N542" s="46">
        <v>571104</v>
      </c>
      <c r="O542" s="12">
        <f t="shared" si="69"/>
        <v>819</v>
      </c>
      <c r="P542" s="166"/>
      <c r="Q542" s="42">
        <v>587658</v>
      </c>
      <c r="R542" s="44">
        <f t="shared" si="67"/>
        <v>0</v>
      </c>
      <c r="S542" s="358"/>
      <c r="T542" s="46">
        <v>9817</v>
      </c>
      <c r="U542" s="166">
        <f t="shared" si="70"/>
        <v>0</v>
      </c>
      <c r="V542" s="39"/>
      <c r="W542" s="46">
        <v>46057</v>
      </c>
      <c r="X542" s="12">
        <f t="shared" si="72"/>
        <v>0</v>
      </c>
      <c r="Y542" s="39"/>
      <c r="Z542" s="253"/>
    </row>
    <row r="543" spans="1:26">
      <c r="A543" s="150">
        <v>45072</v>
      </c>
      <c r="B543" s="154">
        <f t="shared" si="71"/>
        <v>45072</v>
      </c>
      <c r="C543" s="46">
        <v>2054257</v>
      </c>
      <c r="D543" s="35">
        <f t="shared" si="68"/>
        <v>0</v>
      </c>
      <c r="E543" s="39"/>
      <c r="F543" s="46">
        <v>5968116</v>
      </c>
      <c r="G543" s="2">
        <f t="shared" si="65"/>
        <v>0</v>
      </c>
      <c r="H543" s="156">
        <f t="shared" si="66"/>
        <v>-4.2761394101876675</v>
      </c>
      <c r="I543" s="39"/>
      <c r="J543" s="46">
        <v>3292856</v>
      </c>
      <c r="K543" s="2">
        <f t="shared" si="64"/>
        <v>0</v>
      </c>
      <c r="L543" s="160">
        <f t="shared" si="73"/>
        <v>0</v>
      </c>
      <c r="M543" s="39"/>
      <c r="N543" s="46">
        <v>571923</v>
      </c>
      <c r="O543" s="12">
        <f t="shared" si="69"/>
        <v>740</v>
      </c>
      <c r="P543" s="166"/>
      <c r="Q543" s="42">
        <v>587658</v>
      </c>
      <c r="R543" s="44">
        <f t="shared" si="67"/>
        <v>226</v>
      </c>
      <c r="S543" s="358"/>
      <c r="T543" s="46">
        <v>9817</v>
      </c>
      <c r="U543" s="166">
        <f t="shared" si="70"/>
        <v>0</v>
      </c>
      <c r="V543" s="39"/>
      <c r="W543" s="46">
        <v>46057</v>
      </c>
      <c r="X543" s="12">
        <f t="shared" si="72"/>
        <v>0</v>
      </c>
      <c r="Y543" s="39"/>
      <c r="Z543" s="246" t="s">
        <v>102</v>
      </c>
    </row>
    <row r="544" spans="1:26">
      <c r="A544" s="150">
        <v>45073</v>
      </c>
      <c r="B544" s="154">
        <f t="shared" si="71"/>
        <v>45073</v>
      </c>
      <c r="C544" s="46">
        <v>2054257</v>
      </c>
      <c r="D544" s="35">
        <f t="shared" si="68"/>
        <v>0</v>
      </c>
      <c r="E544" s="39"/>
      <c r="F544" s="46">
        <v>5968116</v>
      </c>
      <c r="G544" s="2">
        <f t="shared" si="65"/>
        <v>0</v>
      </c>
      <c r="H544" s="156">
        <f t="shared" si="66"/>
        <v>-4.2761394101876675</v>
      </c>
      <c r="I544" s="39"/>
      <c r="J544" s="46">
        <v>3292856</v>
      </c>
      <c r="K544" s="2">
        <f t="shared" si="64"/>
        <v>0</v>
      </c>
      <c r="L544" s="160">
        <f t="shared" si="73"/>
        <v>0</v>
      </c>
      <c r="M544" s="39"/>
      <c r="N544" s="46">
        <v>572663</v>
      </c>
      <c r="O544" s="12">
        <f t="shared" si="69"/>
        <v>0</v>
      </c>
      <c r="P544" s="166"/>
      <c r="Q544" s="42">
        <v>587884</v>
      </c>
      <c r="R544" s="44">
        <f t="shared" si="67"/>
        <v>0</v>
      </c>
      <c r="S544" s="358"/>
      <c r="T544" s="46">
        <v>9817</v>
      </c>
      <c r="U544" s="166">
        <f t="shared" si="70"/>
        <v>0</v>
      </c>
      <c r="V544" s="39"/>
      <c r="W544" s="46">
        <v>46057</v>
      </c>
      <c r="X544" s="12">
        <f t="shared" si="72"/>
        <v>0</v>
      </c>
      <c r="Y544" s="39"/>
      <c r="Z544" s="253"/>
    </row>
    <row r="545" spans="1:26">
      <c r="A545" s="150">
        <v>45074</v>
      </c>
      <c r="B545" s="154">
        <f t="shared" si="71"/>
        <v>45074</v>
      </c>
      <c r="C545" s="46">
        <v>2054257</v>
      </c>
      <c r="D545" s="35">
        <f t="shared" si="68"/>
        <v>0</v>
      </c>
      <c r="E545" s="39"/>
      <c r="F545" s="46">
        <v>5968116</v>
      </c>
      <c r="G545" s="2">
        <f t="shared" si="65"/>
        <v>0</v>
      </c>
      <c r="H545" s="156">
        <f t="shared" si="66"/>
        <v>-4.2761394101876675</v>
      </c>
      <c r="I545" s="39"/>
      <c r="J545" s="46">
        <v>3292856</v>
      </c>
      <c r="K545" s="2">
        <f t="shared" si="64"/>
        <v>0</v>
      </c>
      <c r="L545" s="160">
        <f t="shared" si="73"/>
        <v>0</v>
      </c>
      <c r="M545" s="39"/>
      <c r="N545" s="46">
        <v>572663</v>
      </c>
      <c r="O545" s="12">
        <f t="shared" si="69"/>
        <v>808</v>
      </c>
      <c r="P545" s="166"/>
      <c r="Q545" s="42">
        <v>587884</v>
      </c>
      <c r="R545" s="44">
        <f t="shared" si="67"/>
        <v>0</v>
      </c>
      <c r="S545" s="358"/>
      <c r="T545" s="46">
        <v>9817</v>
      </c>
      <c r="U545" s="166">
        <f t="shared" si="70"/>
        <v>0</v>
      </c>
      <c r="V545" s="39"/>
      <c r="W545" s="46">
        <v>46057</v>
      </c>
      <c r="X545" s="12">
        <f t="shared" si="72"/>
        <v>0</v>
      </c>
      <c r="Y545" s="39"/>
      <c r="Z545" s="253"/>
    </row>
    <row r="546" spans="1:26">
      <c r="A546" s="150">
        <v>45075</v>
      </c>
      <c r="B546" s="154">
        <f t="shared" si="71"/>
        <v>45075</v>
      </c>
      <c r="C546" s="46">
        <v>2054257</v>
      </c>
      <c r="D546" s="35">
        <f t="shared" si="68"/>
        <v>3531</v>
      </c>
      <c r="E546" s="39"/>
      <c r="F546" s="46">
        <v>5968116</v>
      </c>
      <c r="G546" s="2">
        <f t="shared" si="65"/>
        <v>8718</v>
      </c>
      <c r="H546" s="156">
        <f t="shared" si="66"/>
        <v>28.563002680965148</v>
      </c>
      <c r="I546" s="39"/>
      <c r="J546" s="46">
        <v>3292856</v>
      </c>
      <c r="K546" s="2">
        <f t="shared" si="64"/>
        <v>5189</v>
      </c>
      <c r="L546" s="160">
        <f t="shared" si="73"/>
        <v>38.437037037037037</v>
      </c>
      <c r="M546" s="39"/>
      <c r="N546" s="46">
        <v>573471</v>
      </c>
      <c r="O546" s="12">
        <f t="shared" si="69"/>
        <v>640</v>
      </c>
      <c r="P546" s="166"/>
      <c r="Q546" s="141">
        <v>587884</v>
      </c>
      <c r="R546" s="173">
        <f t="shared" si="67"/>
        <v>995</v>
      </c>
      <c r="S546" s="173"/>
      <c r="T546" s="46">
        <v>9817</v>
      </c>
      <c r="U546" s="166">
        <f t="shared" si="70"/>
        <v>0</v>
      </c>
      <c r="V546" s="39"/>
      <c r="W546" s="46">
        <v>46057</v>
      </c>
      <c r="X546" s="12">
        <f t="shared" si="72"/>
        <v>0</v>
      </c>
      <c r="Y546" s="39"/>
      <c r="Z546" s="253"/>
    </row>
    <row r="547" spans="1:26">
      <c r="A547" s="150">
        <v>45076</v>
      </c>
      <c r="B547" s="154">
        <f t="shared" si="71"/>
        <v>45076</v>
      </c>
      <c r="C547" s="46">
        <v>2057788</v>
      </c>
      <c r="D547" s="35">
        <f t="shared" si="68"/>
        <v>5115</v>
      </c>
      <c r="E547" s="39"/>
      <c r="F547" s="46">
        <v>5976834</v>
      </c>
      <c r="G547" s="2">
        <f t="shared" si="65"/>
        <v>11175</v>
      </c>
      <c r="H547" s="156">
        <f t="shared" si="66"/>
        <v>39.396782841823054</v>
      </c>
      <c r="I547" s="39"/>
      <c r="J547" s="46">
        <v>3298045</v>
      </c>
      <c r="K547" s="2">
        <f t="shared" si="64"/>
        <v>4577</v>
      </c>
      <c r="L547" s="160">
        <f t="shared" si="73"/>
        <v>33.903703703703705</v>
      </c>
      <c r="M547" s="39"/>
      <c r="N547" s="46">
        <v>574111</v>
      </c>
      <c r="O547" s="12">
        <f t="shared" si="69"/>
        <v>2639</v>
      </c>
      <c r="P547" s="166"/>
      <c r="Q547" s="141">
        <v>588879</v>
      </c>
      <c r="R547" s="173">
        <f t="shared" si="67"/>
        <v>229</v>
      </c>
      <c r="S547" s="173"/>
      <c r="T547" s="46">
        <v>9817</v>
      </c>
      <c r="U547" s="166">
        <f t="shared" si="70"/>
        <v>0</v>
      </c>
      <c r="V547" s="39"/>
      <c r="W547" s="46">
        <v>46057</v>
      </c>
      <c r="X547" s="12">
        <f t="shared" si="72"/>
        <v>0</v>
      </c>
      <c r="Y547" s="39"/>
      <c r="Z547" s="253"/>
    </row>
    <row r="548" spans="1:26">
      <c r="A548" s="150">
        <v>45077</v>
      </c>
      <c r="B548" s="154">
        <f t="shared" si="71"/>
        <v>45077</v>
      </c>
      <c r="C548" s="46">
        <v>2062903</v>
      </c>
      <c r="D548" s="35">
        <f t="shared" si="68"/>
        <v>3695</v>
      </c>
      <c r="E548" s="39"/>
      <c r="F548" s="46">
        <v>5988009</v>
      </c>
      <c r="G548" s="2">
        <f t="shared" si="65"/>
        <v>7799</v>
      </c>
      <c r="H548" s="156">
        <f t="shared" si="66"/>
        <v>26.53887399463807</v>
      </c>
      <c r="I548" s="39"/>
      <c r="J548" s="46">
        <v>3302622</v>
      </c>
      <c r="K548" s="2">
        <f t="shared" si="64"/>
        <v>4605</v>
      </c>
      <c r="L548" s="160">
        <f t="shared" si="73"/>
        <v>34.111111111111114</v>
      </c>
      <c r="M548" s="39"/>
      <c r="N548" s="46">
        <v>576750</v>
      </c>
      <c r="O548" s="12">
        <f t="shared" si="69"/>
        <v>0</v>
      </c>
      <c r="P548" s="166"/>
      <c r="Q548" s="141">
        <v>589108</v>
      </c>
      <c r="R548" s="173">
        <f t="shared" si="67"/>
        <v>248</v>
      </c>
      <c r="S548" s="173"/>
      <c r="T548" s="46">
        <v>9817</v>
      </c>
      <c r="U548" s="166">
        <f t="shared" si="70"/>
        <v>0</v>
      </c>
      <c r="V548" s="39"/>
      <c r="W548" s="46">
        <v>46057</v>
      </c>
      <c r="X548" s="12">
        <f t="shared" si="72"/>
        <v>0</v>
      </c>
      <c r="Y548" s="39"/>
      <c r="Z548" s="253"/>
    </row>
    <row r="549" spans="1:26">
      <c r="A549" s="150">
        <v>45078</v>
      </c>
      <c r="B549" s="154">
        <f t="shared" si="71"/>
        <v>45078</v>
      </c>
      <c r="C549" s="46">
        <v>2066598</v>
      </c>
      <c r="D549" s="35">
        <f t="shared" si="68"/>
        <v>5040</v>
      </c>
      <c r="E549" s="39"/>
      <c r="F549" s="46">
        <v>5995808</v>
      </c>
      <c r="G549" s="2">
        <f t="shared" si="65"/>
        <v>10558</v>
      </c>
      <c r="H549" s="156">
        <f t="shared" si="66"/>
        <v>37.541554959785522</v>
      </c>
      <c r="I549" s="39"/>
      <c r="J549" s="46">
        <v>3307227</v>
      </c>
      <c r="K549" s="2">
        <f t="shared" si="64"/>
        <v>5137</v>
      </c>
      <c r="L549" s="160">
        <f t="shared" si="73"/>
        <v>38.05185185185185</v>
      </c>
      <c r="M549" s="39"/>
      <c r="N549" s="46">
        <v>576750</v>
      </c>
      <c r="O549" s="12">
        <f t="shared" si="69"/>
        <v>0</v>
      </c>
      <c r="P549" s="166"/>
      <c r="Q549" s="141">
        <v>589356</v>
      </c>
      <c r="R549" s="173">
        <f t="shared" si="67"/>
        <v>225</v>
      </c>
      <c r="S549" s="173"/>
      <c r="T549" s="46">
        <v>9817</v>
      </c>
      <c r="U549" s="166">
        <f t="shared" si="70"/>
        <v>0</v>
      </c>
      <c r="V549" s="39"/>
      <c r="W549" s="46">
        <v>46057</v>
      </c>
      <c r="X549" s="12">
        <f t="shared" si="72"/>
        <v>0</v>
      </c>
      <c r="Y549" s="39"/>
      <c r="Z549" s="253"/>
    </row>
    <row r="550" spans="1:26">
      <c r="A550" s="150">
        <v>45079</v>
      </c>
      <c r="B550" s="154">
        <f t="shared" si="71"/>
        <v>45079</v>
      </c>
      <c r="C550" s="46">
        <v>2071638</v>
      </c>
      <c r="D550" s="35">
        <f t="shared" si="68"/>
        <v>4855</v>
      </c>
      <c r="E550" s="39"/>
      <c r="F550" s="46">
        <v>6006366</v>
      </c>
      <c r="G550" s="2">
        <f t="shared" si="65"/>
        <v>14759</v>
      </c>
      <c r="H550" s="156">
        <f t="shared" si="66"/>
        <v>48.308310991957107</v>
      </c>
      <c r="I550" s="39"/>
      <c r="J550" s="46">
        <v>3312364</v>
      </c>
      <c r="K550" s="2">
        <f t="shared" ref="K550:K613" si="74">IF(J551&gt;0,J551-J550," ")</f>
        <v>4826</v>
      </c>
      <c r="L550" s="160">
        <f t="shared" si="73"/>
        <v>35.748148148148147</v>
      </c>
      <c r="M550" s="39"/>
      <c r="N550" s="46">
        <v>576750</v>
      </c>
      <c r="O550" s="12">
        <f t="shared" si="69"/>
        <v>903</v>
      </c>
      <c r="P550" s="166"/>
      <c r="Q550" s="141">
        <v>589581</v>
      </c>
      <c r="R550" s="173">
        <f t="shared" si="67"/>
        <v>673</v>
      </c>
      <c r="S550" s="173"/>
      <c r="T550" s="46">
        <v>9817</v>
      </c>
      <c r="U550" s="166">
        <f t="shared" si="70"/>
        <v>0</v>
      </c>
      <c r="V550" s="39"/>
      <c r="W550" s="46">
        <v>46057</v>
      </c>
      <c r="X550" s="12">
        <f t="shared" si="72"/>
        <v>0</v>
      </c>
      <c r="Y550" s="39"/>
      <c r="Z550" s="253"/>
    </row>
    <row r="551" spans="1:26">
      <c r="A551" s="150">
        <v>45080</v>
      </c>
      <c r="B551" s="154">
        <f t="shared" si="71"/>
        <v>45080</v>
      </c>
      <c r="C551" s="46">
        <v>2076493</v>
      </c>
      <c r="D551" s="35">
        <f t="shared" si="68"/>
        <v>0</v>
      </c>
      <c r="E551" s="39"/>
      <c r="F551" s="46">
        <v>6021125</v>
      </c>
      <c r="G551" s="2">
        <f t="shared" si="65"/>
        <v>0</v>
      </c>
      <c r="H551" s="156">
        <f t="shared" si="66"/>
        <v>-4.2761394101876675</v>
      </c>
      <c r="I551" s="39"/>
      <c r="J551" s="46">
        <v>3317190</v>
      </c>
      <c r="K551" s="2">
        <f t="shared" si="74"/>
        <v>0</v>
      </c>
      <c r="L551" s="160">
        <f t="shared" si="73"/>
        <v>0</v>
      </c>
      <c r="M551" s="39"/>
      <c r="N551" s="46">
        <v>577653</v>
      </c>
      <c r="O551" s="12">
        <f t="shared" si="69"/>
        <v>763</v>
      </c>
      <c r="P551" s="166"/>
      <c r="Q551" s="141">
        <v>590254</v>
      </c>
      <c r="R551" s="173">
        <f t="shared" si="67"/>
        <v>0</v>
      </c>
      <c r="S551" s="173"/>
      <c r="T551" s="46">
        <v>9817</v>
      </c>
      <c r="U551" s="166">
        <f t="shared" si="70"/>
        <v>0</v>
      </c>
      <c r="V551" s="39"/>
      <c r="W551" s="46">
        <v>46057</v>
      </c>
      <c r="X551" s="12">
        <f t="shared" si="72"/>
        <v>0</v>
      </c>
      <c r="Y551" s="39"/>
      <c r="Z551" s="246" t="s">
        <v>102</v>
      </c>
    </row>
    <row r="552" spans="1:26">
      <c r="A552" s="150">
        <v>45081</v>
      </c>
      <c r="B552" s="154">
        <f t="shared" si="71"/>
        <v>45081</v>
      </c>
      <c r="C552" s="46">
        <v>2076493</v>
      </c>
      <c r="D552" s="35">
        <f t="shared" si="68"/>
        <v>0</v>
      </c>
      <c r="E552" s="39"/>
      <c r="F552" s="46">
        <v>6021125</v>
      </c>
      <c r="G552" s="2">
        <f t="shared" si="65"/>
        <v>0</v>
      </c>
      <c r="H552" s="156">
        <f t="shared" si="66"/>
        <v>-4.2761394101876675</v>
      </c>
      <c r="I552" s="39"/>
      <c r="J552" s="46">
        <v>3317190</v>
      </c>
      <c r="K552" s="2">
        <f t="shared" si="74"/>
        <v>0</v>
      </c>
      <c r="L552" s="160">
        <f t="shared" si="73"/>
        <v>0</v>
      </c>
      <c r="M552" s="39"/>
      <c r="N552" s="46">
        <v>578416</v>
      </c>
      <c r="O552" s="12">
        <f t="shared" si="69"/>
        <v>0</v>
      </c>
      <c r="P552" s="166"/>
      <c r="Q552" s="141">
        <v>590254</v>
      </c>
      <c r="R552" s="173">
        <f t="shared" si="67"/>
        <v>0</v>
      </c>
      <c r="S552" s="173"/>
      <c r="T552" s="46">
        <v>9817</v>
      </c>
      <c r="U552" s="166">
        <f t="shared" si="70"/>
        <v>0</v>
      </c>
      <c r="V552" s="39"/>
      <c r="W552" s="46">
        <v>46057</v>
      </c>
      <c r="X552" s="12">
        <f t="shared" si="72"/>
        <v>0</v>
      </c>
      <c r="Y552" s="39"/>
      <c r="Z552" s="253"/>
    </row>
    <row r="553" spans="1:26">
      <c r="A553" s="150">
        <v>45082</v>
      </c>
      <c r="B553" s="154">
        <f t="shared" si="71"/>
        <v>45082</v>
      </c>
      <c r="C553" s="46">
        <v>2076493</v>
      </c>
      <c r="D553" s="35">
        <f t="shared" si="68"/>
        <v>4019</v>
      </c>
      <c r="E553" s="39"/>
      <c r="F553" s="46">
        <v>6021125</v>
      </c>
      <c r="G553" s="2">
        <f t="shared" si="65"/>
        <v>8930</v>
      </c>
      <c r="H553" s="156">
        <f t="shared" si="66"/>
        <v>30.439678284182307</v>
      </c>
      <c r="I553" s="39"/>
      <c r="J553" s="46">
        <v>3317190</v>
      </c>
      <c r="K553" s="2">
        <f t="shared" si="74"/>
        <v>6580</v>
      </c>
      <c r="L553" s="160">
        <f t="shared" si="73"/>
        <v>48.74074074074074</v>
      </c>
      <c r="M553" s="39"/>
      <c r="N553" s="46">
        <v>578416</v>
      </c>
      <c r="O553" s="12">
        <f t="shared" si="69"/>
        <v>927</v>
      </c>
      <c r="P553" s="365" t="s">
        <v>78</v>
      </c>
      <c r="Q553" s="141">
        <v>590254</v>
      </c>
      <c r="R553" s="173">
        <f t="shared" si="67"/>
        <v>259</v>
      </c>
      <c r="S553" s="173"/>
      <c r="T553" s="46">
        <v>9817</v>
      </c>
      <c r="U553" s="166">
        <f t="shared" si="70"/>
        <v>0</v>
      </c>
      <c r="V553" s="39"/>
      <c r="W553" s="46">
        <v>46057</v>
      </c>
      <c r="X553" s="12">
        <f t="shared" si="72"/>
        <v>0</v>
      </c>
      <c r="Y553" s="39"/>
      <c r="Z553" s="253"/>
    </row>
    <row r="554" spans="1:26">
      <c r="A554" s="150">
        <v>45083</v>
      </c>
      <c r="B554" s="154">
        <f t="shared" si="71"/>
        <v>45083</v>
      </c>
      <c r="C554" s="46">
        <v>2080512</v>
      </c>
      <c r="D554" s="35">
        <f t="shared" si="68"/>
        <v>1688</v>
      </c>
      <c r="E554" s="39"/>
      <c r="F554" s="46">
        <v>6030055</v>
      </c>
      <c r="G554" s="2">
        <f t="shared" si="65"/>
        <v>10130</v>
      </c>
      <c r="H554" s="156">
        <f t="shared" si="66"/>
        <v>27.407506702412867</v>
      </c>
      <c r="I554" s="39"/>
      <c r="J554" s="46">
        <v>3323770</v>
      </c>
      <c r="K554" s="2">
        <f t="shared" si="74"/>
        <v>4774</v>
      </c>
      <c r="L554" s="160">
        <f t="shared" si="73"/>
        <v>35.36296296296296</v>
      </c>
      <c r="M554" s="39"/>
      <c r="N554" s="256">
        <v>579343</v>
      </c>
      <c r="O554" s="257">
        <f t="shared" si="69"/>
        <v>1063</v>
      </c>
      <c r="P554" s="370"/>
      <c r="Q554" s="141">
        <v>590513</v>
      </c>
      <c r="R554" s="173">
        <f t="shared" si="67"/>
        <v>263</v>
      </c>
      <c r="S554" s="173"/>
      <c r="T554" s="46">
        <v>9817</v>
      </c>
      <c r="U554" s="166">
        <f t="shared" si="70"/>
        <v>0</v>
      </c>
      <c r="V554" s="39"/>
      <c r="W554" s="46">
        <v>46057</v>
      </c>
      <c r="X554" s="12">
        <f t="shared" si="72"/>
        <v>0</v>
      </c>
      <c r="Y554" s="39"/>
      <c r="Z554" s="253"/>
    </row>
    <row r="555" spans="1:26">
      <c r="A555" s="150">
        <v>45084</v>
      </c>
      <c r="B555" s="154">
        <f t="shared" si="71"/>
        <v>45084</v>
      </c>
      <c r="C555" s="46">
        <v>2082200</v>
      </c>
      <c r="D555" s="35">
        <f t="shared" si="68"/>
        <v>27367</v>
      </c>
      <c r="E555" s="39"/>
      <c r="F555" s="46">
        <v>6040185</v>
      </c>
      <c r="G555" s="2">
        <f t="shared" si="65"/>
        <v>22035</v>
      </c>
      <c r="H555" s="156">
        <f t="shared" si="66"/>
        <v>128.16890080428954</v>
      </c>
      <c r="I555" s="39"/>
      <c r="J555" s="46">
        <v>3328544</v>
      </c>
      <c r="K555" s="2">
        <f t="shared" si="74"/>
        <v>15430</v>
      </c>
      <c r="L555" s="160">
        <f t="shared" si="73"/>
        <v>114.29629629629629</v>
      </c>
      <c r="M555" s="39"/>
      <c r="N555" s="256">
        <v>580406</v>
      </c>
      <c r="O555" s="257">
        <f t="shared" si="69"/>
        <v>1139</v>
      </c>
      <c r="P555" s="370"/>
      <c r="Q555" s="141">
        <v>590776</v>
      </c>
      <c r="R555" s="173">
        <f t="shared" si="67"/>
        <v>423</v>
      </c>
      <c r="S555" s="173"/>
      <c r="T555" s="46">
        <v>9817</v>
      </c>
      <c r="U555" s="166">
        <f t="shared" si="70"/>
        <v>0</v>
      </c>
      <c r="V555" s="39"/>
      <c r="W555" s="46">
        <v>46057</v>
      </c>
      <c r="X555" s="12">
        <f t="shared" si="72"/>
        <v>0</v>
      </c>
      <c r="Y555" s="39"/>
      <c r="Z555" s="253"/>
    </row>
    <row r="556" spans="1:26">
      <c r="A556" s="150">
        <v>45085</v>
      </c>
      <c r="B556" s="154">
        <f t="shared" si="71"/>
        <v>45085</v>
      </c>
      <c r="C556" s="46">
        <v>2109567</v>
      </c>
      <c r="D556" s="35">
        <f t="shared" si="68"/>
        <v>0</v>
      </c>
      <c r="E556" s="39"/>
      <c r="F556" s="46">
        <v>6062220</v>
      </c>
      <c r="G556" s="2">
        <f t="shared" si="65"/>
        <v>0</v>
      </c>
      <c r="H556" s="156">
        <f t="shared" si="66"/>
        <v>-4.2761394101876675</v>
      </c>
      <c r="I556" s="39"/>
      <c r="J556" s="46">
        <v>3343974</v>
      </c>
      <c r="K556" s="2">
        <f t="shared" si="74"/>
        <v>0</v>
      </c>
      <c r="L556" s="160">
        <f t="shared" si="73"/>
        <v>0</v>
      </c>
      <c r="M556" s="39"/>
      <c r="N556" s="256">
        <v>581545</v>
      </c>
      <c r="O556" s="257">
        <f t="shared" si="69"/>
        <v>0</v>
      </c>
      <c r="P556" s="370"/>
      <c r="Q556" s="141">
        <v>591199</v>
      </c>
      <c r="R556" s="173">
        <f t="shared" si="67"/>
        <v>0</v>
      </c>
      <c r="S556" s="173"/>
      <c r="T556" s="46">
        <v>9817</v>
      </c>
      <c r="U556" s="166">
        <f t="shared" si="70"/>
        <v>0</v>
      </c>
      <c r="V556" s="39"/>
      <c r="W556" s="46">
        <v>46057</v>
      </c>
      <c r="X556" s="12">
        <f t="shared" si="72"/>
        <v>0</v>
      </c>
      <c r="Y556" s="39"/>
      <c r="Z556" s="246" t="s">
        <v>102</v>
      </c>
    </row>
    <row r="557" spans="1:26">
      <c r="A557" s="150">
        <v>45086</v>
      </c>
      <c r="B557" s="154">
        <f t="shared" si="71"/>
        <v>45086</v>
      </c>
      <c r="C557" s="46">
        <v>2109567</v>
      </c>
      <c r="D557" s="35">
        <f t="shared" si="68"/>
        <v>0</v>
      </c>
      <c r="E557" s="39"/>
      <c r="F557" s="46">
        <v>6062220</v>
      </c>
      <c r="G557" s="2">
        <f t="shared" si="65"/>
        <v>0</v>
      </c>
      <c r="H557" s="156">
        <f t="shared" si="66"/>
        <v>-4.2761394101876675</v>
      </c>
      <c r="I557" s="39">
        <v>245</v>
      </c>
      <c r="J557" s="46">
        <v>3343974</v>
      </c>
      <c r="K557" s="2">
        <f t="shared" si="74"/>
        <v>0</v>
      </c>
      <c r="L557" s="160">
        <f t="shared" si="73"/>
        <v>0</v>
      </c>
      <c r="M557" s="39"/>
      <c r="N557" s="256">
        <v>581545</v>
      </c>
      <c r="O557" s="257">
        <f t="shared" si="69"/>
        <v>958</v>
      </c>
      <c r="P557" s="370"/>
      <c r="Q557" s="141">
        <v>591199</v>
      </c>
      <c r="R557" s="173">
        <f t="shared" si="67"/>
        <v>649</v>
      </c>
      <c r="S557" s="173"/>
      <c r="T557" s="46">
        <v>9817</v>
      </c>
      <c r="U557" s="166">
        <f t="shared" si="70"/>
        <v>0</v>
      </c>
      <c r="V557" s="39"/>
      <c r="W557" s="46">
        <v>46057</v>
      </c>
      <c r="X557" s="12">
        <f t="shared" si="72"/>
        <v>0</v>
      </c>
      <c r="Y557" s="39"/>
      <c r="Z557" s="246" t="s">
        <v>102</v>
      </c>
    </row>
    <row r="558" spans="1:26">
      <c r="A558" s="150">
        <v>45087</v>
      </c>
      <c r="B558" s="154">
        <f t="shared" si="71"/>
        <v>45087</v>
      </c>
      <c r="C558" s="46">
        <v>2109567</v>
      </c>
      <c r="D558" s="35">
        <f t="shared" si="68"/>
        <v>0</v>
      </c>
      <c r="E558" s="40" t="s">
        <v>78</v>
      </c>
      <c r="F558" s="46">
        <v>6062220</v>
      </c>
      <c r="G558" s="2">
        <f t="shared" si="65"/>
        <v>0</v>
      </c>
      <c r="H558" s="156">
        <f t="shared" si="66"/>
        <v>-4.2761394101876675</v>
      </c>
      <c r="I558" s="40" t="s">
        <v>78</v>
      </c>
      <c r="J558" s="46">
        <v>3343974</v>
      </c>
      <c r="K558" s="2">
        <f t="shared" si="74"/>
        <v>0</v>
      </c>
      <c r="L558" s="160">
        <f t="shared" si="73"/>
        <v>0</v>
      </c>
      <c r="M558" s="40" t="s">
        <v>78</v>
      </c>
      <c r="N558" s="256">
        <v>582503</v>
      </c>
      <c r="O558" s="257">
        <f t="shared" si="69"/>
        <v>816</v>
      </c>
      <c r="P558" s="370"/>
      <c r="Q558" s="141">
        <v>591848</v>
      </c>
      <c r="R558" s="173">
        <f t="shared" si="67"/>
        <v>0</v>
      </c>
      <c r="S558" s="173"/>
      <c r="T558" s="46">
        <v>9817</v>
      </c>
      <c r="U558" s="166">
        <f t="shared" si="70"/>
        <v>0</v>
      </c>
      <c r="V558" s="40" t="s">
        <v>78</v>
      </c>
      <c r="W558" s="46">
        <v>46057</v>
      </c>
      <c r="X558" s="12">
        <f t="shared" si="72"/>
        <v>0</v>
      </c>
      <c r="Y558" s="40" t="s">
        <v>78</v>
      </c>
      <c r="Z558" s="246" t="s">
        <v>102</v>
      </c>
    </row>
    <row r="559" spans="1:26">
      <c r="A559" s="150">
        <v>45088</v>
      </c>
      <c r="B559" s="154">
        <f t="shared" si="71"/>
        <v>45088</v>
      </c>
      <c r="C559" s="256">
        <v>2109567</v>
      </c>
      <c r="D559" s="320">
        <f t="shared" si="68"/>
        <v>0</v>
      </c>
      <c r="E559" s="258"/>
      <c r="F559" s="256">
        <v>6062220</v>
      </c>
      <c r="G559" s="261">
        <f t="shared" si="65"/>
        <v>0</v>
      </c>
      <c r="H559" s="265">
        <f t="shared" si="66"/>
        <v>-4.2761394101876675</v>
      </c>
      <c r="I559" s="258"/>
      <c r="J559" s="256">
        <v>3343974</v>
      </c>
      <c r="K559" s="261">
        <f t="shared" si="74"/>
        <v>0</v>
      </c>
      <c r="L559" s="262">
        <f t="shared" si="73"/>
        <v>0</v>
      </c>
      <c r="M559" s="258"/>
      <c r="N559" s="256">
        <v>583319</v>
      </c>
      <c r="O559" s="257">
        <f t="shared" si="69"/>
        <v>0</v>
      </c>
      <c r="P559" s="370"/>
      <c r="Q559" s="141">
        <v>591848</v>
      </c>
      <c r="R559" s="173">
        <f t="shared" si="67"/>
        <v>0</v>
      </c>
      <c r="S559" s="173"/>
      <c r="T559" s="272">
        <v>9817</v>
      </c>
      <c r="U559" s="44">
        <f t="shared" si="70"/>
        <v>0</v>
      </c>
      <c r="V559" s="41"/>
      <c r="W559" s="272">
        <v>46057</v>
      </c>
      <c r="X559" s="74">
        <f t="shared" si="72"/>
        <v>0</v>
      </c>
      <c r="Y559" s="41"/>
      <c r="Z559" s="246" t="s">
        <v>102</v>
      </c>
    </row>
    <row r="560" spans="1:26">
      <c r="A560" s="150">
        <v>45089</v>
      </c>
      <c r="B560" s="154">
        <f t="shared" si="71"/>
        <v>45089</v>
      </c>
      <c r="C560" s="256">
        <v>2109567</v>
      </c>
      <c r="D560" s="320">
        <f t="shared" si="68"/>
        <v>0</v>
      </c>
      <c r="E560" s="258"/>
      <c r="F560" s="256">
        <v>6062220</v>
      </c>
      <c r="G560" s="261">
        <f t="shared" si="65"/>
        <v>0</v>
      </c>
      <c r="H560" s="265">
        <f t="shared" si="66"/>
        <v>-4.2761394101876675</v>
      </c>
      <c r="I560" s="258"/>
      <c r="J560" s="256">
        <v>3343974</v>
      </c>
      <c r="K560" s="261">
        <f t="shared" si="74"/>
        <v>0</v>
      </c>
      <c r="L560" s="262">
        <f t="shared" si="73"/>
        <v>0</v>
      </c>
      <c r="M560" s="258"/>
      <c r="N560" s="256">
        <v>583319</v>
      </c>
      <c r="O560" s="257">
        <f t="shared" si="69"/>
        <v>852</v>
      </c>
      <c r="P560" s="370"/>
      <c r="Q560" s="141">
        <v>591848</v>
      </c>
      <c r="R560" s="173">
        <f t="shared" si="67"/>
        <v>327</v>
      </c>
      <c r="S560" s="173"/>
      <c r="T560" s="272">
        <v>9817</v>
      </c>
      <c r="U560" s="44">
        <f t="shared" si="70"/>
        <v>0</v>
      </c>
      <c r="V560" s="41"/>
      <c r="W560" s="272">
        <v>46057</v>
      </c>
      <c r="X560" s="74">
        <f t="shared" si="72"/>
        <v>0</v>
      </c>
      <c r="Y560" s="41"/>
      <c r="Z560" s="246" t="s">
        <v>102</v>
      </c>
    </row>
    <row r="561" spans="1:26">
      <c r="A561" s="150">
        <v>45090</v>
      </c>
      <c r="B561" s="154">
        <f t="shared" si="71"/>
        <v>45090</v>
      </c>
      <c r="C561" s="256">
        <v>2109567</v>
      </c>
      <c r="D561" s="320">
        <f t="shared" si="68"/>
        <v>13340</v>
      </c>
      <c r="E561" s="258"/>
      <c r="F561" s="256">
        <v>6062220</v>
      </c>
      <c r="G561" s="261">
        <f t="shared" si="65"/>
        <v>0</v>
      </c>
      <c r="H561" s="265">
        <f t="shared" si="66"/>
        <v>31.487935656836463</v>
      </c>
      <c r="I561" s="258"/>
      <c r="J561" s="256">
        <v>3343974</v>
      </c>
      <c r="K561" s="261">
        <f t="shared" si="74"/>
        <v>4628</v>
      </c>
      <c r="L561" s="262">
        <f t="shared" si="73"/>
        <v>34.281481481481478</v>
      </c>
      <c r="M561" s="258"/>
      <c r="N561" s="256">
        <v>584171</v>
      </c>
      <c r="O561" s="257">
        <f t="shared" si="69"/>
        <v>965</v>
      </c>
      <c r="P561" s="370"/>
      <c r="Q561" s="141">
        <v>592175</v>
      </c>
      <c r="R561" s="173">
        <f t="shared" si="67"/>
        <v>283</v>
      </c>
      <c r="S561" s="173"/>
      <c r="T561" s="272">
        <v>9817</v>
      </c>
      <c r="U561" s="44">
        <f t="shared" si="70"/>
        <v>0</v>
      </c>
      <c r="V561" s="41"/>
      <c r="W561" s="272">
        <v>46057</v>
      </c>
      <c r="X561" s="74">
        <f t="shared" si="72"/>
        <v>0</v>
      </c>
      <c r="Y561" s="41"/>
      <c r="Z561" s="253"/>
    </row>
    <row r="562" spans="1:26">
      <c r="A562" s="150">
        <v>45091</v>
      </c>
      <c r="B562" s="154">
        <f t="shared" si="71"/>
        <v>45091</v>
      </c>
      <c r="C562" s="256">
        <v>2122907</v>
      </c>
      <c r="D562" s="320">
        <f t="shared" si="68"/>
        <v>7492</v>
      </c>
      <c r="E562" s="258"/>
      <c r="F562" s="256">
        <v>6062220</v>
      </c>
      <c r="G562" s="261">
        <f t="shared" si="65"/>
        <v>6501</v>
      </c>
      <c r="H562" s="265">
        <f t="shared" si="66"/>
        <v>33.238605898123325</v>
      </c>
      <c r="I562" s="258"/>
      <c r="J562" s="256">
        <v>3348602</v>
      </c>
      <c r="K562" s="261">
        <f t="shared" si="74"/>
        <v>5358</v>
      </c>
      <c r="L562" s="262">
        <f t="shared" si="73"/>
        <v>39.68888888888889</v>
      </c>
      <c r="M562" s="258"/>
      <c r="N562" s="256">
        <v>585136</v>
      </c>
      <c r="O562" s="257">
        <f t="shared" si="69"/>
        <v>1073</v>
      </c>
      <c r="P562" s="370"/>
      <c r="Q562" s="141">
        <v>592458</v>
      </c>
      <c r="R562" s="173">
        <f t="shared" si="67"/>
        <v>260</v>
      </c>
      <c r="S562" s="173"/>
      <c r="T562" s="272">
        <v>9817</v>
      </c>
      <c r="U562" s="44">
        <f t="shared" si="70"/>
        <v>0</v>
      </c>
      <c r="V562" s="41"/>
      <c r="W562" s="272">
        <v>46057</v>
      </c>
      <c r="X562" s="74">
        <f t="shared" si="72"/>
        <v>0</v>
      </c>
      <c r="Y562" s="41"/>
      <c r="Z562" s="253"/>
    </row>
    <row r="563" spans="1:26">
      <c r="A563" s="150">
        <v>45092</v>
      </c>
      <c r="B563" s="154">
        <f t="shared" si="71"/>
        <v>45092</v>
      </c>
      <c r="C563" s="256">
        <v>2130399</v>
      </c>
      <c r="D563" s="320">
        <f t="shared" si="68"/>
        <v>6101</v>
      </c>
      <c r="E563" s="258"/>
      <c r="F563" s="256">
        <v>6068721</v>
      </c>
      <c r="G563" s="261">
        <f t="shared" si="65"/>
        <v>14109</v>
      </c>
      <c r="H563" s="265">
        <f t="shared" si="66"/>
        <v>49.906166219839143</v>
      </c>
      <c r="I563" s="258"/>
      <c r="J563" s="256">
        <v>3353960</v>
      </c>
      <c r="K563" s="261">
        <f t="shared" si="74"/>
        <v>9312</v>
      </c>
      <c r="L563" s="262">
        <f t="shared" si="73"/>
        <v>68.977777777777774</v>
      </c>
      <c r="M563" s="258"/>
      <c r="N563" s="256">
        <v>586209</v>
      </c>
      <c r="O563" s="257">
        <f t="shared" si="69"/>
        <v>1306</v>
      </c>
      <c r="P563" s="370"/>
      <c r="Q563" s="141">
        <v>592718</v>
      </c>
      <c r="R563" s="173">
        <f t="shared" si="67"/>
        <v>286</v>
      </c>
      <c r="S563" s="173"/>
      <c r="T563" s="272">
        <v>9817</v>
      </c>
      <c r="U563" s="44">
        <f t="shared" si="70"/>
        <v>0</v>
      </c>
      <c r="V563" s="41"/>
      <c r="W563" s="272">
        <v>46057</v>
      </c>
      <c r="X563" s="74">
        <f t="shared" si="72"/>
        <v>0</v>
      </c>
      <c r="Y563" s="41"/>
      <c r="Z563" s="253"/>
    </row>
    <row r="564" spans="1:26">
      <c r="A564" s="150">
        <v>45093</v>
      </c>
      <c r="B564" s="154">
        <f t="shared" si="71"/>
        <v>45093</v>
      </c>
      <c r="C564" s="256">
        <v>2136500</v>
      </c>
      <c r="D564" s="320">
        <f t="shared" si="68"/>
        <v>5504</v>
      </c>
      <c r="E564" s="258"/>
      <c r="F564" s="259">
        <v>6082830</v>
      </c>
      <c r="G564" s="266">
        <f>IF(F565&gt;0,F565-F564," ")</f>
        <v>17758</v>
      </c>
      <c r="H564" s="265">
        <f t="shared" si="66"/>
        <v>58.088471849865954</v>
      </c>
      <c r="I564" s="260"/>
      <c r="J564" s="259">
        <v>3363272</v>
      </c>
      <c r="K564" s="261">
        <f t="shared" si="74"/>
        <v>4899</v>
      </c>
      <c r="L564" s="262">
        <f t="shared" si="73"/>
        <v>36.288888888888891</v>
      </c>
      <c r="M564" s="260"/>
      <c r="N564" s="259">
        <v>587515</v>
      </c>
      <c r="O564" s="257">
        <f t="shared" si="69"/>
        <v>1020</v>
      </c>
      <c r="P564" s="371"/>
      <c r="Q564" s="269">
        <v>593004</v>
      </c>
      <c r="R564" s="173">
        <f t="shared" si="67"/>
        <v>717</v>
      </c>
      <c r="S564" s="373"/>
      <c r="T564" s="272">
        <v>9817</v>
      </c>
      <c r="U564" s="44">
        <f t="shared" si="70"/>
        <v>0</v>
      </c>
      <c r="V564" s="133"/>
      <c r="W564" s="272">
        <v>46057</v>
      </c>
      <c r="X564" s="74">
        <f t="shared" si="72"/>
        <v>0</v>
      </c>
      <c r="Y564" s="133"/>
      <c r="Z564" s="254"/>
    </row>
    <row r="565" spans="1:26">
      <c r="A565" s="150">
        <v>45094</v>
      </c>
      <c r="B565" s="154">
        <f t="shared" si="71"/>
        <v>45094</v>
      </c>
      <c r="C565" s="256">
        <v>2142004</v>
      </c>
      <c r="D565" s="320">
        <f t="shared" si="68"/>
        <v>0</v>
      </c>
      <c r="E565" s="258"/>
      <c r="F565" s="256">
        <v>6100588</v>
      </c>
      <c r="G565" s="261">
        <f t="shared" si="65"/>
        <v>0</v>
      </c>
      <c r="H565" s="265">
        <f t="shared" ref="H565:H589" si="75">(G565+D565-1595)/373</f>
        <v>-4.2761394101876675</v>
      </c>
      <c r="I565" s="258"/>
      <c r="J565" s="256">
        <v>3368171</v>
      </c>
      <c r="K565" s="261">
        <f t="shared" si="74"/>
        <v>0</v>
      </c>
      <c r="L565" s="262">
        <f t="shared" si="73"/>
        <v>0</v>
      </c>
      <c r="M565" s="258"/>
      <c r="N565" s="256">
        <v>588535</v>
      </c>
      <c r="O565" s="257">
        <f t="shared" si="69"/>
        <v>1015</v>
      </c>
      <c r="P565" s="370"/>
      <c r="Q565" s="141">
        <v>593721</v>
      </c>
      <c r="R565" s="173">
        <f t="shared" si="67"/>
        <v>0</v>
      </c>
      <c r="S565" s="173"/>
      <c r="T565" s="272">
        <v>9817</v>
      </c>
      <c r="U565" s="44">
        <f t="shared" si="70"/>
        <v>0</v>
      </c>
      <c r="V565" s="41"/>
      <c r="W565" s="272">
        <v>46057</v>
      </c>
      <c r="X565" s="74">
        <f t="shared" si="72"/>
        <v>0</v>
      </c>
      <c r="Y565" s="41"/>
      <c r="Z565" s="243"/>
    </row>
    <row r="566" spans="1:26">
      <c r="A566" s="150">
        <v>45095</v>
      </c>
      <c r="B566" s="154">
        <f t="shared" si="71"/>
        <v>45095</v>
      </c>
      <c r="C566" s="256">
        <v>2142004</v>
      </c>
      <c r="D566" s="320">
        <f t="shared" si="68"/>
        <v>0</v>
      </c>
      <c r="E566" s="258"/>
      <c r="F566" s="256">
        <v>6100588</v>
      </c>
      <c r="G566" s="261">
        <f t="shared" si="65"/>
        <v>0</v>
      </c>
      <c r="H566" s="265">
        <f t="shared" si="75"/>
        <v>-4.2761394101876675</v>
      </c>
      <c r="I566" s="258"/>
      <c r="J566" s="256">
        <v>3368171</v>
      </c>
      <c r="K566" s="261">
        <f t="shared" si="74"/>
        <v>0</v>
      </c>
      <c r="L566" s="262">
        <f t="shared" si="73"/>
        <v>0</v>
      </c>
      <c r="M566" s="258"/>
      <c r="N566" s="256">
        <v>589550</v>
      </c>
      <c r="O566" s="257">
        <f t="shared" si="69"/>
        <v>0</v>
      </c>
      <c r="P566" s="370"/>
      <c r="Q566" s="141">
        <v>593721</v>
      </c>
      <c r="R566" s="173">
        <f t="shared" si="67"/>
        <v>0</v>
      </c>
      <c r="S566" s="173"/>
      <c r="T566" s="272">
        <v>9817</v>
      </c>
      <c r="U566" s="44">
        <f t="shared" si="70"/>
        <v>0</v>
      </c>
      <c r="V566" s="41"/>
      <c r="W566" s="272">
        <v>46057</v>
      </c>
      <c r="X566" s="74">
        <f t="shared" si="72"/>
        <v>0</v>
      </c>
      <c r="Y566" s="41"/>
      <c r="Z566" s="243"/>
    </row>
    <row r="567" spans="1:26">
      <c r="A567" s="150">
        <v>45096</v>
      </c>
      <c r="B567" s="154">
        <f t="shared" si="71"/>
        <v>45096</v>
      </c>
      <c r="C567" s="256">
        <v>2142004</v>
      </c>
      <c r="D567" s="320">
        <f t="shared" si="68"/>
        <v>4418</v>
      </c>
      <c r="E567" s="258"/>
      <c r="F567" s="256">
        <v>6100588</v>
      </c>
      <c r="G567" s="261">
        <f t="shared" ref="G567:G634" si="76">IF(F568&gt;0,F568-F567," ")</f>
        <v>9927</v>
      </c>
      <c r="H567" s="265">
        <f t="shared" si="75"/>
        <v>34.182305630026811</v>
      </c>
      <c r="I567" s="258"/>
      <c r="J567" s="256">
        <v>3368171</v>
      </c>
      <c r="K567" s="261">
        <f t="shared" si="74"/>
        <v>4829</v>
      </c>
      <c r="L567" s="262">
        <f t="shared" si="73"/>
        <v>35.770370370370372</v>
      </c>
      <c r="M567" s="258"/>
      <c r="N567" s="256">
        <v>589550</v>
      </c>
      <c r="O567" s="257">
        <f t="shared" si="69"/>
        <v>883</v>
      </c>
      <c r="P567" s="370"/>
      <c r="Q567" s="141">
        <v>593721</v>
      </c>
      <c r="R567" s="173">
        <f t="shared" ref="R567:R632" si="77">Q568-Q567</f>
        <v>0</v>
      </c>
      <c r="S567" s="173"/>
      <c r="T567" s="272">
        <v>9817</v>
      </c>
      <c r="U567" s="44">
        <f t="shared" si="70"/>
        <v>0</v>
      </c>
      <c r="V567" s="41"/>
      <c r="W567" s="272">
        <v>46057</v>
      </c>
      <c r="X567" s="74">
        <f t="shared" si="72"/>
        <v>0</v>
      </c>
      <c r="Y567" s="41"/>
      <c r="Z567" s="243"/>
    </row>
    <row r="568" spans="1:26">
      <c r="A568" s="150">
        <v>45097</v>
      </c>
      <c r="B568" s="154">
        <f t="shared" ref="B568:B569" si="78">SUM(A568)</f>
        <v>45097</v>
      </c>
      <c r="C568" s="256">
        <v>2146422</v>
      </c>
      <c r="D568" s="320">
        <f t="shared" si="68"/>
        <v>5762</v>
      </c>
      <c r="E568" s="258"/>
      <c r="F568" s="256">
        <v>6110515</v>
      </c>
      <c r="G568" s="261">
        <f t="shared" si="76"/>
        <v>11992</v>
      </c>
      <c r="H568" s="265">
        <f t="shared" si="75"/>
        <v>43.321715817694368</v>
      </c>
      <c r="I568" s="258"/>
      <c r="J568" s="256">
        <v>3373000</v>
      </c>
      <c r="K568" s="261">
        <f t="shared" si="74"/>
        <v>4734</v>
      </c>
      <c r="L568" s="262">
        <f t="shared" si="73"/>
        <v>35.06666666666667</v>
      </c>
      <c r="M568" s="258"/>
      <c r="N568" s="256">
        <v>590433</v>
      </c>
      <c r="O568" s="257">
        <f t="shared" si="69"/>
        <v>951</v>
      </c>
      <c r="P568" s="370"/>
      <c r="Q568" s="141">
        <v>593721</v>
      </c>
      <c r="R568" s="173">
        <f t="shared" si="77"/>
        <v>277</v>
      </c>
      <c r="S568" s="173"/>
      <c r="T568" s="272">
        <v>9817</v>
      </c>
      <c r="U568" s="44">
        <f t="shared" si="70"/>
        <v>0</v>
      </c>
      <c r="V568" s="41"/>
      <c r="W568" s="272">
        <v>46057</v>
      </c>
      <c r="X568" s="74">
        <f t="shared" si="72"/>
        <v>0</v>
      </c>
      <c r="Y568" s="41"/>
      <c r="Z568" s="243"/>
    </row>
    <row r="569" spans="1:26">
      <c r="A569" s="150">
        <v>45098</v>
      </c>
      <c r="B569" s="154">
        <f t="shared" si="78"/>
        <v>45098</v>
      </c>
      <c r="C569" s="256">
        <v>2152184</v>
      </c>
      <c r="D569" s="320">
        <f t="shared" si="68"/>
        <v>3909</v>
      </c>
      <c r="E569" s="258"/>
      <c r="F569" s="256">
        <v>6122507</v>
      </c>
      <c r="G569" s="261">
        <f t="shared" si="76"/>
        <v>8192</v>
      </c>
      <c r="H569" s="265">
        <f t="shared" si="75"/>
        <v>28.166219839142091</v>
      </c>
      <c r="I569" s="258"/>
      <c r="J569" s="256">
        <v>3377734</v>
      </c>
      <c r="K569" s="261">
        <f t="shared" si="74"/>
        <v>4944</v>
      </c>
      <c r="L569" s="262">
        <f t="shared" si="73"/>
        <v>36.62222222222222</v>
      </c>
      <c r="M569" s="258"/>
      <c r="N569" s="256">
        <v>591384</v>
      </c>
      <c r="O569" s="257">
        <f t="shared" si="69"/>
        <v>1001</v>
      </c>
      <c r="P569" s="370"/>
      <c r="Q569" s="141">
        <v>593998</v>
      </c>
      <c r="R569" s="173">
        <f t="shared" si="77"/>
        <v>282</v>
      </c>
      <c r="S569" s="173"/>
      <c r="T569" s="272">
        <v>9817</v>
      </c>
      <c r="U569" s="44">
        <f t="shared" si="70"/>
        <v>0</v>
      </c>
      <c r="V569" s="41"/>
      <c r="W569" s="272">
        <v>46057</v>
      </c>
      <c r="X569" s="74">
        <f t="shared" si="72"/>
        <v>0</v>
      </c>
      <c r="Y569" s="41"/>
      <c r="Z569" s="243"/>
    </row>
    <row r="570" spans="1:26">
      <c r="A570" s="150">
        <v>45099</v>
      </c>
      <c r="B570" s="154">
        <f>SUM(A570)</f>
        <v>45099</v>
      </c>
      <c r="C570" s="256">
        <v>2156093</v>
      </c>
      <c r="D570" s="320">
        <f t="shared" si="68"/>
        <v>5218</v>
      </c>
      <c r="E570" s="258"/>
      <c r="F570" s="256">
        <v>6130699</v>
      </c>
      <c r="G570" s="261">
        <f t="shared" si="76"/>
        <v>11162</v>
      </c>
      <c r="H570" s="265">
        <f t="shared" si="75"/>
        <v>39.638069705093834</v>
      </c>
      <c r="I570" s="258"/>
      <c r="J570" s="256">
        <v>3382678</v>
      </c>
      <c r="K570" s="261">
        <f t="shared" si="74"/>
        <v>9377</v>
      </c>
      <c r="L570" s="262">
        <f t="shared" si="73"/>
        <v>69.459259259259255</v>
      </c>
      <c r="M570" s="258"/>
      <c r="N570" s="256">
        <v>592385</v>
      </c>
      <c r="O570" s="257">
        <f t="shared" si="69"/>
        <v>979</v>
      </c>
      <c r="P570" s="370"/>
      <c r="Q570" s="141">
        <v>594280</v>
      </c>
      <c r="R570" s="173">
        <f t="shared" si="77"/>
        <v>1237</v>
      </c>
      <c r="S570" s="173"/>
      <c r="T570" s="272">
        <v>9817</v>
      </c>
      <c r="U570" s="44">
        <f t="shared" si="70"/>
        <v>0</v>
      </c>
      <c r="V570" s="41"/>
      <c r="W570" s="272">
        <v>46057</v>
      </c>
      <c r="X570" s="74">
        <f t="shared" si="72"/>
        <v>0</v>
      </c>
      <c r="Y570" s="41"/>
      <c r="Z570" s="243"/>
    </row>
    <row r="571" spans="1:26">
      <c r="A571" s="150">
        <v>45100</v>
      </c>
      <c r="B571" s="154" t="s">
        <v>106</v>
      </c>
      <c r="C571" s="256">
        <v>2161311</v>
      </c>
      <c r="D571" s="320">
        <f t="shared" si="68"/>
        <v>4967</v>
      </c>
      <c r="E571" s="258"/>
      <c r="F571" s="256">
        <v>6141861</v>
      </c>
      <c r="G571" s="261">
        <f t="shared" si="76"/>
        <v>14116</v>
      </c>
      <c r="H571" s="265">
        <f t="shared" si="75"/>
        <v>46.884718498659517</v>
      </c>
      <c r="I571" s="258"/>
      <c r="J571" s="256">
        <v>3392055</v>
      </c>
      <c r="K571" s="261">
        <f t="shared" si="74"/>
        <v>4916</v>
      </c>
      <c r="L571" s="262">
        <f t="shared" si="73"/>
        <v>36.414814814814818</v>
      </c>
      <c r="M571" s="258"/>
      <c r="N571" s="256">
        <v>593364</v>
      </c>
      <c r="O571" s="257">
        <f t="shared" si="69"/>
        <v>890</v>
      </c>
      <c r="P571" s="370"/>
      <c r="Q571" s="141">
        <v>595517</v>
      </c>
      <c r="R571" s="173">
        <f t="shared" si="77"/>
        <v>0</v>
      </c>
      <c r="S571" s="173"/>
      <c r="T571" s="272">
        <v>9817</v>
      </c>
      <c r="U571" s="44">
        <f t="shared" si="70"/>
        <v>0</v>
      </c>
      <c r="V571" s="41"/>
      <c r="W571" s="272">
        <v>46057</v>
      </c>
      <c r="X571" s="74">
        <f t="shared" si="72"/>
        <v>0</v>
      </c>
      <c r="Y571" s="41"/>
      <c r="Z571" s="243"/>
    </row>
    <row r="572" spans="1:26">
      <c r="A572" s="150">
        <v>45101</v>
      </c>
      <c r="B572" s="154" t="s">
        <v>107</v>
      </c>
      <c r="C572" s="256">
        <v>2166278</v>
      </c>
      <c r="D572" s="321">
        <f t="shared" si="68"/>
        <v>0</v>
      </c>
      <c r="E572" s="258"/>
      <c r="F572" s="256">
        <v>6155977</v>
      </c>
      <c r="G572" s="267">
        <f t="shared" si="76"/>
        <v>0</v>
      </c>
      <c r="H572" s="265">
        <f t="shared" si="75"/>
        <v>-4.2761394101876675</v>
      </c>
      <c r="I572" s="258"/>
      <c r="J572" s="256">
        <v>3396971</v>
      </c>
      <c r="K572" s="261">
        <f t="shared" si="74"/>
        <v>0</v>
      </c>
      <c r="L572" s="262">
        <f t="shared" si="73"/>
        <v>0</v>
      </c>
      <c r="M572" s="258"/>
      <c r="N572" s="256">
        <v>594254</v>
      </c>
      <c r="O572" s="257">
        <f t="shared" si="69"/>
        <v>772</v>
      </c>
      <c r="P572" s="370"/>
      <c r="Q572" s="141">
        <v>595517</v>
      </c>
      <c r="R572" s="173">
        <f t="shared" si="77"/>
        <v>0</v>
      </c>
      <c r="S572" s="173"/>
      <c r="T572" s="272">
        <v>9817</v>
      </c>
      <c r="U572" s="44">
        <f t="shared" si="70"/>
        <v>0</v>
      </c>
      <c r="V572" s="41"/>
      <c r="W572" s="272">
        <v>46057</v>
      </c>
      <c r="X572" s="74">
        <f t="shared" si="72"/>
        <v>0</v>
      </c>
      <c r="Y572" s="41"/>
      <c r="Z572" s="243"/>
    </row>
    <row r="573" spans="1:26">
      <c r="A573" s="150">
        <v>45102</v>
      </c>
      <c r="B573" s="154" t="s">
        <v>36</v>
      </c>
      <c r="C573" s="256">
        <v>2166278</v>
      </c>
      <c r="D573" s="321">
        <f t="shared" si="68"/>
        <v>0</v>
      </c>
      <c r="E573" s="258"/>
      <c r="F573" s="256">
        <v>6155977</v>
      </c>
      <c r="G573" s="267">
        <f t="shared" si="76"/>
        <v>0</v>
      </c>
      <c r="H573" s="265">
        <f t="shared" si="75"/>
        <v>-4.2761394101876675</v>
      </c>
      <c r="I573" s="258"/>
      <c r="J573" s="256">
        <v>3396971</v>
      </c>
      <c r="K573" s="261">
        <f t="shared" si="74"/>
        <v>0</v>
      </c>
      <c r="L573" s="262">
        <f t="shared" si="73"/>
        <v>0</v>
      </c>
      <c r="M573" s="258"/>
      <c r="N573" s="256">
        <v>595026</v>
      </c>
      <c r="O573" s="257">
        <f t="shared" si="69"/>
        <v>0</v>
      </c>
      <c r="P573" s="370"/>
      <c r="Q573" s="141">
        <v>595517</v>
      </c>
      <c r="R573" s="173">
        <f t="shared" si="77"/>
        <v>0</v>
      </c>
      <c r="S573" s="173"/>
      <c r="T573" s="272">
        <v>9817</v>
      </c>
      <c r="U573" s="44">
        <f t="shared" si="70"/>
        <v>0</v>
      </c>
      <c r="V573" s="41"/>
      <c r="W573" s="272">
        <v>46057</v>
      </c>
      <c r="X573" s="74">
        <f t="shared" si="72"/>
        <v>0</v>
      </c>
      <c r="Y573" s="41"/>
      <c r="Z573" s="243"/>
    </row>
    <row r="574" spans="1:26">
      <c r="A574" s="150">
        <v>45103</v>
      </c>
      <c r="B574" s="154" t="s">
        <v>108</v>
      </c>
      <c r="C574" s="256">
        <v>2166278</v>
      </c>
      <c r="D574" s="321">
        <f t="shared" si="68"/>
        <v>3985</v>
      </c>
      <c r="E574" s="258"/>
      <c r="F574" s="256">
        <v>6155977</v>
      </c>
      <c r="G574" s="267">
        <f t="shared" si="76"/>
        <v>8411</v>
      </c>
      <c r="H574" s="265">
        <f t="shared" si="75"/>
        <v>28.957104557640751</v>
      </c>
      <c r="I574" s="258"/>
      <c r="J574" s="256">
        <v>3396971</v>
      </c>
      <c r="K574" s="261">
        <f t="shared" si="74"/>
        <v>4744</v>
      </c>
      <c r="L574" s="262">
        <f t="shared" si="73"/>
        <v>35.140740740740739</v>
      </c>
      <c r="M574" s="258"/>
      <c r="N574" s="256">
        <v>595026</v>
      </c>
      <c r="O574" s="257">
        <f t="shared" si="69"/>
        <v>703</v>
      </c>
      <c r="P574" s="370"/>
      <c r="Q574" s="141">
        <v>595517</v>
      </c>
      <c r="R574" s="173">
        <f t="shared" si="77"/>
        <v>348</v>
      </c>
      <c r="S574" s="173"/>
      <c r="T574" s="272">
        <v>9817</v>
      </c>
      <c r="U574" s="44">
        <f t="shared" si="70"/>
        <v>0</v>
      </c>
      <c r="V574" s="41"/>
      <c r="W574" s="272">
        <v>46057</v>
      </c>
      <c r="X574" s="74">
        <f t="shared" si="72"/>
        <v>0</v>
      </c>
      <c r="Y574" s="41"/>
      <c r="Z574" s="243"/>
    </row>
    <row r="575" spans="1:26">
      <c r="A575" s="150">
        <v>45104</v>
      </c>
      <c r="B575" s="154" t="s">
        <v>109</v>
      </c>
      <c r="C575" s="263">
        <v>2170263</v>
      </c>
      <c r="D575" s="321">
        <f t="shared" si="68"/>
        <v>5045</v>
      </c>
      <c r="E575" s="258"/>
      <c r="F575" s="256">
        <v>6164388</v>
      </c>
      <c r="G575" s="267">
        <f t="shared" si="76"/>
        <v>10218</v>
      </c>
      <c r="H575" s="265">
        <f t="shared" si="75"/>
        <v>36.643431635388737</v>
      </c>
      <c r="I575" s="258"/>
      <c r="J575" s="256">
        <v>3401715</v>
      </c>
      <c r="K575" s="261">
        <f t="shared" si="74"/>
        <v>5142</v>
      </c>
      <c r="L575" s="262">
        <f t="shared" si="73"/>
        <v>38.088888888888889</v>
      </c>
      <c r="M575" s="258"/>
      <c r="N575" s="256">
        <v>595729</v>
      </c>
      <c r="O575" s="257">
        <f t="shared" si="69"/>
        <v>703</v>
      </c>
      <c r="P575" s="370"/>
      <c r="Q575" s="141">
        <v>595865</v>
      </c>
      <c r="R575" s="173">
        <f t="shared" si="77"/>
        <v>330</v>
      </c>
      <c r="S575" s="173"/>
      <c r="T575" s="272">
        <v>9817</v>
      </c>
      <c r="U575" s="44">
        <f t="shared" si="70"/>
        <v>0</v>
      </c>
      <c r="V575" s="41"/>
      <c r="W575" s="272">
        <v>46057</v>
      </c>
      <c r="X575" s="74">
        <f t="shared" si="72"/>
        <v>0</v>
      </c>
      <c r="Y575" s="41"/>
      <c r="Z575" s="243"/>
    </row>
    <row r="576" spans="1:26">
      <c r="A576" s="150">
        <v>45105</v>
      </c>
      <c r="B576" s="154" t="s">
        <v>110</v>
      </c>
      <c r="C576" s="256">
        <v>2175308</v>
      </c>
      <c r="D576" s="321">
        <f t="shared" si="68"/>
        <v>5086</v>
      </c>
      <c r="E576" s="258"/>
      <c r="F576" s="256">
        <v>6174606</v>
      </c>
      <c r="G576" s="267">
        <f t="shared" si="76"/>
        <v>10364</v>
      </c>
      <c r="H576" s="265">
        <f t="shared" si="75"/>
        <v>37.144772117962468</v>
      </c>
      <c r="I576" s="258"/>
      <c r="J576" s="256">
        <v>3406857</v>
      </c>
      <c r="K576" s="261">
        <f t="shared" si="74"/>
        <v>5148</v>
      </c>
      <c r="L576" s="262">
        <f t="shared" si="73"/>
        <v>38.133333333333333</v>
      </c>
      <c r="M576" s="258"/>
      <c r="N576" s="256">
        <v>596432</v>
      </c>
      <c r="O576" s="257">
        <f t="shared" si="69"/>
        <v>732</v>
      </c>
      <c r="P576" s="370"/>
      <c r="Q576" s="141">
        <v>596195</v>
      </c>
      <c r="R576" s="173">
        <f t="shared" si="77"/>
        <v>348</v>
      </c>
      <c r="S576" s="173"/>
      <c r="T576" s="272">
        <v>9817</v>
      </c>
      <c r="U576" s="44">
        <f t="shared" si="70"/>
        <v>0</v>
      </c>
      <c r="V576" s="41"/>
      <c r="W576" s="272">
        <v>46057</v>
      </c>
      <c r="X576" s="74">
        <f t="shared" si="72"/>
        <v>0</v>
      </c>
      <c r="Y576" s="41"/>
      <c r="Z576" s="243"/>
    </row>
    <row r="577" spans="1:26">
      <c r="A577" s="150">
        <v>45106</v>
      </c>
      <c r="B577" s="154" t="s">
        <v>111</v>
      </c>
      <c r="C577" s="256">
        <v>2180394</v>
      </c>
      <c r="D577" s="321">
        <f t="shared" si="68"/>
        <v>5703</v>
      </c>
      <c r="E577" s="258"/>
      <c r="F577" s="256">
        <v>6184970</v>
      </c>
      <c r="G577" s="267">
        <f t="shared" si="76"/>
        <v>11899</v>
      </c>
      <c r="H577" s="265">
        <f t="shared" si="75"/>
        <v>42.914209115281501</v>
      </c>
      <c r="I577" s="258"/>
      <c r="J577" s="256">
        <v>3412005</v>
      </c>
      <c r="K577" s="261">
        <f t="shared" si="74"/>
        <v>5904</v>
      </c>
      <c r="L577" s="262">
        <f t="shared" si="73"/>
        <v>43.733333333333334</v>
      </c>
      <c r="M577" s="258"/>
      <c r="N577" s="256">
        <v>597164</v>
      </c>
      <c r="O577" s="257">
        <f t="shared" si="69"/>
        <v>1523</v>
      </c>
      <c r="P577" s="370"/>
      <c r="Q577" s="141">
        <v>596543</v>
      </c>
      <c r="R577" s="173">
        <f t="shared" si="77"/>
        <v>322</v>
      </c>
      <c r="S577" s="173"/>
      <c r="T577" s="272">
        <v>9817</v>
      </c>
      <c r="U577" s="44">
        <f t="shared" si="70"/>
        <v>0</v>
      </c>
      <c r="V577" s="41"/>
      <c r="W577" s="272">
        <v>46057</v>
      </c>
      <c r="X577" s="74">
        <f t="shared" si="72"/>
        <v>0</v>
      </c>
      <c r="Y577" s="41"/>
      <c r="Z577" s="243"/>
    </row>
    <row r="578" spans="1:26">
      <c r="A578" s="150">
        <v>45107</v>
      </c>
      <c r="B578" s="154" t="s">
        <v>106</v>
      </c>
      <c r="C578" s="256">
        <v>2186097</v>
      </c>
      <c r="D578" s="321">
        <f t="shared" ref="D578:D608" si="79">IF(C579&gt;0,C579-C578," ")</f>
        <v>4756</v>
      </c>
      <c r="E578" s="258"/>
      <c r="F578" s="256">
        <v>6196869</v>
      </c>
      <c r="G578" s="267">
        <f t="shared" si="76"/>
        <v>14064</v>
      </c>
      <c r="H578" s="265">
        <f t="shared" si="75"/>
        <v>46.179624664879356</v>
      </c>
      <c r="I578" s="271">
        <f>G562+G563+G564+G567+G568+G569+G570+G571+G574+G575+G576+G577+G578+G581+G582+G583+G584+G585+G588+G589</f>
        <v>222466</v>
      </c>
      <c r="J578" s="256">
        <v>3417909</v>
      </c>
      <c r="K578" s="261">
        <f t="shared" si="74"/>
        <v>8963</v>
      </c>
      <c r="L578" s="262">
        <f t="shared" si="73"/>
        <v>66.392592592592592</v>
      </c>
      <c r="M578" s="258"/>
      <c r="N578" s="256">
        <v>598687</v>
      </c>
      <c r="O578" s="257">
        <f t="shared" si="69"/>
        <v>721</v>
      </c>
      <c r="P578" s="370"/>
      <c r="Q578" s="141">
        <v>596865</v>
      </c>
      <c r="R578" s="173">
        <f t="shared" si="77"/>
        <v>858</v>
      </c>
      <c r="S578" s="365" t="s">
        <v>78</v>
      </c>
      <c r="T578" s="272">
        <v>9817</v>
      </c>
      <c r="U578" s="44">
        <f t="shared" si="70"/>
        <v>0</v>
      </c>
      <c r="V578" s="41"/>
      <c r="W578" s="272">
        <v>46057</v>
      </c>
      <c r="X578" s="74">
        <f t="shared" si="72"/>
        <v>0</v>
      </c>
      <c r="Y578" s="41"/>
      <c r="Z578" s="243"/>
    </row>
    <row r="579" spans="1:26">
      <c r="A579" s="150">
        <v>45108</v>
      </c>
      <c r="B579" s="154" t="s">
        <v>107</v>
      </c>
      <c r="C579" s="256">
        <v>2190853</v>
      </c>
      <c r="D579" s="321">
        <f t="shared" si="79"/>
        <v>0</v>
      </c>
      <c r="E579" s="258"/>
      <c r="F579" s="256">
        <v>6210933</v>
      </c>
      <c r="G579" s="267">
        <f t="shared" si="76"/>
        <v>0</v>
      </c>
      <c r="H579" s="265">
        <f t="shared" si="75"/>
        <v>-4.2761394101876675</v>
      </c>
      <c r="I579" s="264"/>
      <c r="J579" s="263">
        <v>3426872</v>
      </c>
      <c r="K579" s="261">
        <f t="shared" si="74"/>
        <v>0</v>
      </c>
      <c r="L579" s="262">
        <f t="shared" si="73"/>
        <v>0</v>
      </c>
      <c r="M579" s="264"/>
      <c r="N579" s="256">
        <v>599408</v>
      </c>
      <c r="O579" s="257">
        <f t="shared" ref="O579:O642" si="80">N580-N579</f>
        <v>0</v>
      </c>
      <c r="P579" s="370"/>
      <c r="Q579" s="42">
        <v>597723</v>
      </c>
      <c r="R579" s="44">
        <f t="shared" si="77"/>
        <v>0</v>
      </c>
      <c r="S579" s="358"/>
      <c r="T579" s="272">
        <v>9817</v>
      </c>
      <c r="U579" s="44">
        <f t="shared" si="70"/>
        <v>0</v>
      </c>
      <c r="V579" s="41"/>
      <c r="W579" s="272">
        <v>46057</v>
      </c>
      <c r="X579" s="74">
        <f t="shared" si="72"/>
        <v>0</v>
      </c>
      <c r="Y579" s="41"/>
      <c r="Z579" s="243"/>
    </row>
    <row r="580" spans="1:26">
      <c r="A580" s="150">
        <v>45109</v>
      </c>
      <c r="B580" s="154" t="s">
        <v>36</v>
      </c>
      <c r="C580" s="256">
        <v>2190853</v>
      </c>
      <c r="D580" s="321">
        <f t="shared" si="79"/>
        <v>0</v>
      </c>
      <c r="E580" s="258"/>
      <c r="F580" s="256">
        <v>6210933</v>
      </c>
      <c r="G580" s="267">
        <f t="shared" si="76"/>
        <v>0</v>
      </c>
      <c r="H580" s="265">
        <f t="shared" si="75"/>
        <v>-4.2761394101876675</v>
      </c>
      <c r="I580" s="258"/>
      <c r="J580" s="263">
        <v>3426872</v>
      </c>
      <c r="K580" s="261">
        <f t="shared" si="74"/>
        <v>0</v>
      </c>
      <c r="L580" s="262">
        <f t="shared" si="73"/>
        <v>0</v>
      </c>
      <c r="M580" s="258"/>
      <c r="N580" s="256">
        <v>599408</v>
      </c>
      <c r="O580" s="257">
        <f t="shared" si="80"/>
        <v>0</v>
      </c>
      <c r="P580" s="370"/>
      <c r="Q580" s="42">
        <v>597723</v>
      </c>
      <c r="R580" s="44">
        <f t="shared" si="77"/>
        <v>0</v>
      </c>
      <c r="S580" s="358"/>
      <c r="T580" s="272">
        <v>9817</v>
      </c>
      <c r="U580" s="44">
        <f t="shared" ref="U580:U643" si="81">T581-T580</f>
        <v>0</v>
      </c>
      <c r="V580" s="41"/>
      <c r="W580" s="272">
        <v>46057</v>
      </c>
      <c r="X580" s="74">
        <f t="shared" si="72"/>
        <v>0</v>
      </c>
      <c r="Y580" s="41"/>
      <c r="Z580" s="243"/>
    </row>
    <row r="581" spans="1:26">
      <c r="A581" s="150">
        <v>45110</v>
      </c>
      <c r="B581" s="154" t="s">
        <v>108</v>
      </c>
      <c r="C581" s="256">
        <v>2190853</v>
      </c>
      <c r="D581" s="321">
        <f t="shared" si="79"/>
        <v>4231</v>
      </c>
      <c r="E581" s="258"/>
      <c r="F581" s="256">
        <v>6210933</v>
      </c>
      <c r="G581" s="267">
        <f t="shared" si="76"/>
        <v>9059</v>
      </c>
      <c r="H581" s="265">
        <f t="shared" si="75"/>
        <v>31.353887399463808</v>
      </c>
      <c r="I581" s="258"/>
      <c r="J581" s="263">
        <v>3426872</v>
      </c>
      <c r="K581" s="261">
        <f t="shared" si="74"/>
        <v>4512</v>
      </c>
      <c r="L581" s="262">
        <f t="shared" si="73"/>
        <v>33.422222222222224</v>
      </c>
      <c r="M581" s="258"/>
      <c r="N581" s="256">
        <v>599408</v>
      </c>
      <c r="O581" s="257">
        <f t="shared" si="80"/>
        <v>791</v>
      </c>
      <c r="P581" s="370"/>
      <c r="Q581" s="42">
        <v>597723</v>
      </c>
      <c r="R581" s="44">
        <f t="shared" si="77"/>
        <v>348</v>
      </c>
      <c r="S581" s="358"/>
      <c r="T581" s="272">
        <v>9817</v>
      </c>
      <c r="U581" s="44">
        <f t="shared" si="81"/>
        <v>0</v>
      </c>
      <c r="V581" s="41"/>
      <c r="W581" s="272">
        <v>46057</v>
      </c>
      <c r="X581" s="74">
        <f t="shared" si="72"/>
        <v>0</v>
      </c>
      <c r="Y581" s="41"/>
      <c r="Z581" s="243"/>
    </row>
    <row r="582" spans="1:26">
      <c r="A582" s="150">
        <v>45111</v>
      </c>
      <c r="B582" s="154" t="s">
        <v>109</v>
      </c>
      <c r="C582" s="256">
        <v>2195084</v>
      </c>
      <c r="D582" s="321">
        <f t="shared" si="79"/>
        <v>5592</v>
      </c>
      <c r="E582" s="258"/>
      <c r="F582" s="256">
        <v>6219992</v>
      </c>
      <c r="G582" s="267">
        <f t="shared" si="76"/>
        <v>11944</v>
      </c>
      <c r="H582" s="265">
        <f t="shared" si="75"/>
        <v>42.737265415549601</v>
      </c>
      <c r="I582" s="258"/>
      <c r="J582" s="256">
        <v>3431384</v>
      </c>
      <c r="K582" s="261">
        <f t="shared" si="74"/>
        <v>4336</v>
      </c>
      <c r="L582" s="262">
        <f t="shared" si="73"/>
        <v>32.11851851851852</v>
      </c>
      <c r="M582" s="258"/>
      <c r="N582" s="256">
        <v>600199</v>
      </c>
      <c r="O582" s="257">
        <f t="shared" si="80"/>
        <v>803</v>
      </c>
      <c r="P582" s="370"/>
      <c r="Q582" s="42">
        <v>598071</v>
      </c>
      <c r="R582" s="44">
        <f t="shared" si="77"/>
        <v>423</v>
      </c>
      <c r="S582" s="358"/>
      <c r="T582" s="272">
        <v>9817</v>
      </c>
      <c r="U582" s="44">
        <f t="shared" si="81"/>
        <v>0</v>
      </c>
      <c r="V582" s="41"/>
      <c r="W582" s="272">
        <v>46057</v>
      </c>
      <c r="X582" s="74">
        <f t="shared" si="72"/>
        <v>0</v>
      </c>
      <c r="Y582" s="41"/>
      <c r="Z582" s="243"/>
    </row>
    <row r="583" spans="1:26">
      <c r="A583" s="150">
        <v>45112</v>
      </c>
      <c r="B583" s="154" t="s">
        <v>110</v>
      </c>
      <c r="C583" s="256">
        <v>2200676</v>
      </c>
      <c r="D583" s="321">
        <f t="shared" si="79"/>
        <v>3972</v>
      </c>
      <c r="E583" s="258"/>
      <c r="F583" s="256">
        <v>6231936</v>
      </c>
      <c r="G583" s="267">
        <f t="shared" si="76"/>
        <v>8382</v>
      </c>
      <c r="H583" s="265">
        <f t="shared" si="75"/>
        <v>28.844504021447722</v>
      </c>
      <c r="I583" s="270"/>
      <c r="J583" s="256">
        <v>3435720</v>
      </c>
      <c r="K583" s="261">
        <f t="shared" si="74"/>
        <v>4950</v>
      </c>
      <c r="L583" s="262">
        <f t="shared" si="73"/>
        <v>36.666666666666664</v>
      </c>
      <c r="M583" s="258"/>
      <c r="N583" s="256">
        <v>601002</v>
      </c>
      <c r="O583" s="257">
        <f t="shared" si="80"/>
        <v>767</v>
      </c>
      <c r="P583" s="365" t="s">
        <v>78</v>
      </c>
      <c r="Q583" s="42">
        <v>598494</v>
      </c>
      <c r="R583" s="44">
        <f t="shared" si="77"/>
        <v>314</v>
      </c>
      <c r="S583" s="358"/>
      <c r="T583" s="272">
        <v>9817</v>
      </c>
      <c r="U583" s="44">
        <f t="shared" si="81"/>
        <v>0</v>
      </c>
      <c r="V583" s="41"/>
      <c r="W583" s="272">
        <v>46057</v>
      </c>
      <c r="X583" s="74">
        <f t="shared" si="72"/>
        <v>0</v>
      </c>
      <c r="Y583" s="41"/>
      <c r="Z583" s="243"/>
    </row>
    <row r="584" spans="1:26">
      <c r="A584" s="150">
        <v>45113</v>
      </c>
      <c r="B584" s="154" t="s">
        <v>111</v>
      </c>
      <c r="C584" s="256">
        <v>2204648</v>
      </c>
      <c r="D584" s="321">
        <f t="shared" si="79"/>
        <v>5186</v>
      </c>
      <c r="E584" s="258"/>
      <c r="F584" s="256">
        <v>6240318</v>
      </c>
      <c r="G584" s="267">
        <f t="shared" si="76"/>
        <v>10330</v>
      </c>
      <c r="H584" s="265">
        <f t="shared" si="75"/>
        <v>37.321715817694368</v>
      </c>
      <c r="I584" s="258"/>
      <c r="J584" s="256">
        <v>3440670</v>
      </c>
      <c r="K584" s="261">
        <f t="shared" si="74"/>
        <v>5196</v>
      </c>
      <c r="L584" s="262">
        <f t="shared" si="73"/>
        <v>38.488888888888887</v>
      </c>
      <c r="M584" s="258"/>
      <c r="N584" s="46">
        <v>601769</v>
      </c>
      <c r="O584" s="12">
        <f t="shared" si="80"/>
        <v>738</v>
      </c>
      <c r="P584" s="166"/>
      <c r="Q584" s="42">
        <v>598808</v>
      </c>
      <c r="R584" s="44">
        <f t="shared" si="77"/>
        <v>257</v>
      </c>
      <c r="S584" s="358"/>
      <c r="T584" s="272">
        <v>9817</v>
      </c>
      <c r="U584" s="44">
        <f t="shared" si="81"/>
        <v>0</v>
      </c>
      <c r="V584" s="41"/>
      <c r="W584" s="272">
        <v>46057</v>
      </c>
      <c r="X584" s="74">
        <f t="shared" si="72"/>
        <v>0</v>
      </c>
      <c r="Y584" s="41"/>
      <c r="Z584" s="243"/>
    </row>
    <row r="585" spans="1:26">
      <c r="A585" s="150">
        <v>45114</v>
      </c>
      <c r="B585" s="154" t="s">
        <v>106</v>
      </c>
      <c r="C585" s="256">
        <v>2209834</v>
      </c>
      <c r="D585" s="321">
        <f t="shared" si="79"/>
        <v>4732</v>
      </c>
      <c r="E585" s="258"/>
      <c r="F585" s="256">
        <v>6250648</v>
      </c>
      <c r="G585" s="267">
        <f t="shared" si="76"/>
        <v>13421</v>
      </c>
      <c r="H585" s="265">
        <f t="shared" si="75"/>
        <v>44.391420911528151</v>
      </c>
      <c r="I585" s="258"/>
      <c r="J585" s="256">
        <v>3445866</v>
      </c>
      <c r="K585" s="261">
        <f t="shared" si="74"/>
        <v>5553</v>
      </c>
      <c r="L585" s="262">
        <f t="shared" si="73"/>
        <v>41.133333333333333</v>
      </c>
      <c r="M585" s="258"/>
      <c r="N585" s="46">
        <v>602507</v>
      </c>
      <c r="O585" s="12">
        <f t="shared" si="80"/>
        <v>718</v>
      </c>
      <c r="P585" s="166"/>
      <c r="Q585" s="42">
        <v>599065</v>
      </c>
      <c r="R585" s="44">
        <f t="shared" si="77"/>
        <v>812</v>
      </c>
      <c r="S585" s="358"/>
      <c r="T585" s="272">
        <v>9817</v>
      </c>
      <c r="U585" s="44">
        <f t="shared" si="81"/>
        <v>0</v>
      </c>
      <c r="V585" s="41"/>
      <c r="W585" s="272">
        <v>46057</v>
      </c>
      <c r="X585" s="74">
        <f t="shared" si="72"/>
        <v>0</v>
      </c>
      <c r="Y585" s="41"/>
      <c r="Z585" s="243"/>
    </row>
    <row r="586" spans="1:26">
      <c r="A586" s="150">
        <v>45115</v>
      </c>
      <c r="B586" s="154" t="s">
        <v>107</v>
      </c>
      <c r="C586" s="256">
        <v>2214566</v>
      </c>
      <c r="D586" s="321">
        <f t="shared" si="79"/>
        <v>0</v>
      </c>
      <c r="E586" s="258"/>
      <c r="F586" s="256">
        <v>6264069</v>
      </c>
      <c r="G586" s="267">
        <f t="shared" si="76"/>
        <v>0</v>
      </c>
      <c r="H586" s="265">
        <f t="shared" si="75"/>
        <v>-4.2761394101876675</v>
      </c>
      <c r="I586" s="258"/>
      <c r="J586" s="256">
        <v>3451419</v>
      </c>
      <c r="K586" s="261">
        <f t="shared" si="74"/>
        <v>0</v>
      </c>
      <c r="L586" s="262">
        <f t="shared" si="73"/>
        <v>0</v>
      </c>
      <c r="M586" s="258"/>
      <c r="N586" s="46">
        <v>603225</v>
      </c>
      <c r="O586" s="12">
        <f t="shared" si="80"/>
        <v>723</v>
      </c>
      <c r="P586" s="166"/>
      <c r="Q586" s="42">
        <v>599877</v>
      </c>
      <c r="R586" s="44">
        <f t="shared" si="77"/>
        <v>0</v>
      </c>
      <c r="S586" s="358"/>
      <c r="T586" s="272">
        <v>9817</v>
      </c>
      <c r="U586" s="44">
        <f t="shared" si="81"/>
        <v>0</v>
      </c>
      <c r="V586" s="41"/>
      <c r="W586" s="272">
        <v>46057</v>
      </c>
      <c r="X586" s="74">
        <f t="shared" si="72"/>
        <v>0</v>
      </c>
      <c r="Y586" s="41"/>
      <c r="Z586" s="243"/>
    </row>
    <row r="587" spans="1:26">
      <c r="A587" s="150">
        <v>45116</v>
      </c>
      <c r="B587" s="154" t="s">
        <v>36</v>
      </c>
      <c r="C587" s="256">
        <v>2214566</v>
      </c>
      <c r="D587" s="321">
        <f t="shared" si="79"/>
        <v>0</v>
      </c>
      <c r="E587" s="258"/>
      <c r="F587" s="256">
        <v>6264069</v>
      </c>
      <c r="G587" s="267">
        <f t="shared" si="76"/>
        <v>0</v>
      </c>
      <c r="H587" s="265">
        <f t="shared" si="75"/>
        <v>-4.2761394101876675</v>
      </c>
      <c r="I587" s="258"/>
      <c r="J587" s="256">
        <v>3451419</v>
      </c>
      <c r="K587" s="261">
        <f t="shared" si="74"/>
        <v>0</v>
      </c>
      <c r="L587" s="262">
        <f t="shared" si="73"/>
        <v>0</v>
      </c>
      <c r="M587" s="258"/>
      <c r="N587" s="46">
        <v>603948</v>
      </c>
      <c r="O587" s="12">
        <f t="shared" si="80"/>
        <v>0</v>
      </c>
      <c r="P587" s="166"/>
      <c r="Q587" s="42">
        <v>599877</v>
      </c>
      <c r="R587" s="44">
        <f t="shared" si="77"/>
        <v>0</v>
      </c>
      <c r="S587" s="358"/>
      <c r="T587" s="272">
        <v>9817</v>
      </c>
      <c r="U587" s="44">
        <f t="shared" si="81"/>
        <v>0</v>
      </c>
      <c r="V587" s="41"/>
      <c r="W587" s="272">
        <v>46057</v>
      </c>
      <c r="X587" s="74">
        <f t="shared" si="72"/>
        <v>0</v>
      </c>
      <c r="Y587" s="41"/>
      <c r="Z587" s="243"/>
    </row>
    <row r="588" spans="1:26">
      <c r="A588" s="150">
        <v>45117</v>
      </c>
      <c r="B588" s="154" t="s">
        <v>108</v>
      </c>
      <c r="C588" s="256">
        <v>2214566</v>
      </c>
      <c r="D588" s="321">
        <f t="shared" si="79"/>
        <v>4624</v>
      </c>
      <c r="E588" s="258"/>
      <c r="F588" s="256">
        <v>6264069</v>
      </c>
      <c r="G588" s="267">
        <f t="shared" si="76"/>
        <v>9934</v>
      </c>
      <c r="H588" s="265">
        <f t="shared" si="75"/>
        <v>34.753351206434317</v>
      </c>
      <c r="I588" s="258"/>
      <c r="J588" s="256">
        <v>3451419</v>
      </c>
      <c r="K588" s="261">
        <f t="shared" si="74"/>
        <v>4775</v>
      </c>
      <c r="L588" s="262">
        <f t="shared" si="73"/>
        <v>35.370370370370374</v>
      </c>
      <c r="M588" s="258"/>
      <c r="N588" s="46">
        <v>603948</v>
      </c>
      <c r="O588" s="12">
        <f t="shared" si="80"/>
        <v>642</v>
      </c>
      <c r="P588" s="166"/>
      <c r="Q588" s="42">
        <v>599877</v>
      </c>
      <c r="R588" s="44">
        <f t="shared" si="77"/>
        <v>306</v>
      </c>
      <c r="S588" s="358"/>
      <c r="T588" s="46">
        <v>9817</v>
      </c>
      <c r="U588" s="166">
        <f t="shared" si="81"/>
        <v>0</v>
      </c>
      <c r="V588" s="39"/>
      <c r="W588" s="46">
        <v>46057</v>
      </c>
      <c r="X588" s="12">
        <f t="shared" si="72"/>
        <v>0</v>
      </c>
      <c r="Y588" s="39"/>
      <c r="Z588" s="243"/>
    </row>
    <row r="589" spans="1:26">
      <c r="A589" s="150">
        <v>45118</v>
      </c>
      <c r="B589" s="154" t="s">
        <v>109</v>
      </c>
      <c r="C589" s="256">
        <v>2219190</v>
      </c>
      <c r="D589" s="321">
        <f t="shared" si="79"/>
        <v>4960</v>
      </c>
      <c r="E589" s="268" t="s">
        <v>78</v>
      </c>
      <c r="F589" s="256">
        <v>6274003</v>
      </c>
      <c r="G589" s="267">
        <f t="shared" si="76"/>
        <v>10683</v>
      </c>
      <c r="H589" s="265">
        <f t="shared" si="75"/>
        <v>37.662198391420908</v>
      </c>
      <c r="I589" s="40" t="s">
        <v>78</v>
      </c>
      <c r="J589" s="256">
        <v>3456194</v>
      </c>
      <c r="K589" s="261">
        <f t="shared" si="74"/>
        <v>5314</v>
      </c>
      <c r="L589" s="262">
        <f t="shared" si="73"/>
        <v>39.36296296296296</v>
      </c>
      <c r="M589" s="40" t="s">
        <v>78</v>
      </c>
      <c r="N589" s="46">
        <v>604590</v>
      </c>
      <c r="O589" s="12">
        <f t="shared" si="80"/>
        <v>803</v>
      </c>
      <c r="P589" s="166"/>
      <c r="Q589" s="42">
        <v>600183</v>
      </c>
      <c r="R589" s="44">
        <f t="shared" si="77"/>
        <v>312</v>
      </c>
      <c r="S589" s="358"/>
      <c r="T589" s="46">
        <v>9817</v>
      </c>
      <c r="U589" s="166">
        <f t="shared" si="81"/>
        <v>0</v>
      </c>
      <c r="V589" s="39"/>
      <c r="W589" s="46">
        <v>46057</v>
      </c>
      <c r="X589" s="12">
        <f t="shared" si="72"/>
        <v>0</v>
      </c>
      <c r="Y589" s="39"/>
      <c r="Z589" s="243"/>
    </row>
    <row r="590" spans="1:26">
      <c r="A590" s="150">
        <v>45119</v>
      </c>
      <c r="B590" s="154" t="s">
        <v>110</v>
      </c>
      <c r="C590" s="46">
        <v>2224150</v>
      </c>
      <c r="D590" s="322">
        <f t="shared" si="79"/>
        <v>5048</v>
      </c>
      <c r="E590" s="39"/>
      <c r="F590" s="46">
        <v>6284686</v>
      </c>
      <c r="G590" s="273">
        <f t="shared" si="76"/>
        <v>7434</v>
      </c>
      <c r="H590" s="156">
        <f>(G590+D590-1595)/362</f>
        <v>30.074585635359117</v>
      </c>
      <c r="I590" s="39"/>
      <c r="J590" s="46">
        <v>3461508</v>
      </c>
      <c r="K590" s="2">
        <f t="shared" si="74"/>
        <v>4663</v>
      </c>
      <c r="L590" s="160">
        <f t="shared" si="73"/>
        <v>34.540740740740738</v>
      </c>
      <c r="M590" s="39"/>
      <c r="N590" s="46">
        <v>605393</v>
      </c>
      <c r="O590" s="12">
        <f t="shared" si="80"/>
        <v>779</v>
      </c>
      <c r="P590" s="166"/>
      <c r="Q590" s="42">
        <v>600495</v>
      </c>
      <c r="R590" s="44">
        <f t="shared" si="77"/>
        <v>242</v>
      </c>
      <c r="S590" s="358"/>
      <c r="T590" s="46">
        <v>9817</v>
      </c>
      <c r="U590" s="166">
        <f t="shared" si="81"/>
        <v>0</v>
      </c>
      <c r="V590" s="39"/>
      <c r="W590" s="46">
        <v>46057</v>
      </c>
      <c r="X590" s="12">
        <f t="shared" si="72"/>
        <v>0</v>
      </c>
      <c r="Y590" s="39"/>
      <c r="Z590" s="243"/>
    </row>
    <row r="591" spans="1:26">
      <c r="A591" s="150">
        <v>45120</v>
      </c>
      <c r="B591" s="154" t="s">
        <v>111</v>
      </c>
      <c r="C591" s="46">
        <v>2229198</v>
      </c>
      <c r="D591" s="322">
        <f t="shared" si="79"/>
        <v>5205</v>
      </c>
      <c r="E591" s="39"/>
      <c r="F591" s="46">
        <v>6292120</v>
      </c>
      <c r="G591" s="273">
        <f t="shared" si="76"/>
        <v>13982</v>
      </c>
      <c r="H591" s="156">
        <f t="shared" ref="H591:H655" si="82">(G591+D591-1595)/362</f>
        <v>48.596685082872931</v>
      </c>
      <c r="I591" s="39"/>
      <c r="J591" s="46">
        <v>3466171</v>
      </c>
      <c r="K591" s="2">
        <f t="shared" si="74"/>
        <v>9697</v>
      </c>
      <c r="L591" s="160">
        <f t="shared" si="73"/>
        <v>71.829629629629636</v>
      </c>
      <c r="M591" s="39"/>
      <c r="N591" s="46">
        <v>606172</v>
      </c>
      <c r="O591" s="12">
        <f t="shared" si="80"/>
        <v>1358</v>
      </c>
      <c r="P591" s="166"/>
      <c r="Q591" s="42">
        <v>600737</v>
      </c>
      <c r="R591" s="44">
        <f t="shared" si="77"/>
        <v>282</v>
      </c>
      <c r="S591" s="358"/>
      <c r="T591" s="46">
        <v>9817</v>
      </c>
      <c r="U591" s="166">
        <f t="shared" si="81"/>
        <v>0</v>
      </c>
      <c r="V591" s="39"/>
      <c r="W591" s="46">
        <v>46057</v>
      </c>
      <c r="X591" s="12">
        <f t="shared" si="72"/>
        <v>0</v>
      </c>
      <c r="Y591" s="39"/>
      <c r="Z591" s="243"/>
    </row>
    <row r="592" spans="1:26">
      <c r="A592" s="150">
        <v>45121</v>
      </c>
      <c r="B592" s="154" t="s">
        <v>106</v>
      </c>
      <c r="C592" s="46">
        <v>2234403</v>
      </c>
      <c r="D592" s="322">
        <f t="shared" si="79"/>
        <v>5354</v>
      </c>
      <c r="E592" s="39"/>
      <c r="F592" s="46">
        <v>6306102</v>
      </c>
      <c r="G592" s="273">
        <f t="shared" si="76"/>
        <v>15076</v>
      </c>
      <c r="H592" s="156">
        <f t="shared" si="82"/>
        <v>52.030386740331494</v>
      </c>
      <c r="I592" s="39"/>
      <c r="J592" s="46">
        <v>3475868</v>
      </c>
      <c r="K592" s="2">
        <f t="shared" si="74"/>
        <v>5435</v>
      </c>
      <c r="L592" s="160">
        <f t="shared" si="73"/>
        <v>40.25925925925926</v>
      </c>
      <c r="M592" s="39"/>
      <c r="N592" s="46">
        <v>607530</v>
      </c>
      <c r="O592" s="12">
        <f t="shared" si="80"/>
        <v>764</v>
      </c>
      <c r="P592" s="166"/>
      <c r="Q592" s="42">
        <v>601019</v>
      </c>
      <c r="R592" s="44">
        <f t="shared" si="77"/>
        <v>980</v>
      </c>
      <c r="S592" s="358"/>
      <c r="T592" s="46">
        <v>9817</v>
      </c>
      <c r="U592" s="166">
        <f t="shared" si="81"/>
        <v>0</v>
      </c>
      <c r="V592" s="39"/>
      <c r="W592" s="46">
        <v>46057</v>
      </c>
      <c r="X592" s="12">
        <f t="shared" si="72"/>
        <v>0</v>
      </c>
      <c r="Y592" s="39"/>
      <c r="Z592" s="243"/>
    </row>
    <row r="593" spans="1:26">
      <c r="A593" s="150">
        <v>45122</v>
      </c>
      <c r="B593" s="154" t="s">
        <v>107</v>
      </c>
      <c r="C593" s="46">
        <v>2239757</v>
      </c>
      <c r="D593" s="322">
        <f t="shared" si="79"/>
        <v>0</v>
      </c>
      <c r="E593" s="39"/>
      <c r="F593" s="46">
        <v>6321178</v>
      </c>
      <c r="G593" s="273">
        <f t="shared" si="76"/>
        <v>0</v>
      </c>
      <c r="H593" s="156">
        <f t="shared" si="82"/>
        <v>-4.4060773480662982</v>
      </c>
      <c r="I593" s="39"/>
      <c r="J593" s="46">
        <v>3481303</v>
      </c>
      <c r="K593" s="2">
        <f t="shared" si="74"/>
        <v>0</v>
      </c>
      <c r="L593" s="160">
        <f t="shared" si="73"/>
        <v>0</v>
      </c>
      <c r="M593" s="39"/>
      <c r="N593" s="46">
        <v>608294</v>
      </c>
      <c r="O593" s="12">
        <f t="shared" si="80"/>
        <v>718</v>
      </c>
      <c r="P593" s="166"/>
      <c r="Q593" s="42">
        <v>601999</v>
      </c>
      <c r="R593" s="44">
        <f t="shared" si="77"/>
        <v>0</v>
      </c>
      <c r="S593" s="358"/>
      <c r="T593" s="46">
        <v>9817</v>
      </c>
      <c r="U593" s="166">
        <f t="shared" si="81"/>
        <v>0</v>
      </c>
      <c r="V593" s="39"/>
      <c r="W593" s="46">
        <v>46057</v>
      </c>
      <c r="X593" s="12">
        <f t="shared" si="72"/>
        <v>0</v>
      </c>
      <c r="Y593" s="39"/>
      <c r="Z593" s="243"/>
    </row>
    <row r="594" spans="1:26">
      <c r="A594" s="150">
        <v>45123</v>
      </c>
      <c r="B594" s="154" t="s">
        <v>36</v>
      </c>
      <c r="C594" s="46">
        <v>2239757</v>
      </c>
      <c r="D594" s="322">
        <f t="shared" si="79"/>
        <v>0</v>
      </c>
      <c r="E594" s="39"/>
      <c r="F594" s="46">
        <v>6321178</v>
      </c>
      <c r="G594" s="273">
        <f t="shared" si="76"/>
        <v>0</v>
      </c>
      <c r="H594" s="156">
        <f t="shared" si="82"/>
        <v>-4.4060773480662982</v>
      </c>
      <c r="I594" s="39"/>
      <c r="J594" s="46">
        <v>3481303</v>
      </c>
      <c r="K594" s="2">
        <f t="shared" si="74"/>
        <v>0</v>
      </c>
      <c r="L594" s="160">
        <f t="shared" si="73"/>
        <v>0</v>
      </c>
      <c r="M594" s="39"/>
      <c r="N594" s="46">
        <v>609012</v>
      </c>
      <c r="O594" s="12">
        <f t="shared" si="80"/>
        <v>0</v>
      </c>
      <c r="P594" s="166"/>
      <c r="Q594" s="42">
        <v>601999</v>
      </c>
      <c r="R594" s="44">
        <f t="shared" si="77"/>
        <v>0</v>
      </c>
      <c r="S594" s="358"/>
      <c r="T594" s="46">
        <v>9817</v>
      </c>
      <c r="U594" s="166">
        <f t="shared" si="81"/>
        <v>0</v>
      </c>
      <c r="V594" s="39"/>
      <c r="W594" s="46">
        <v>46057</v>
      </c>
      <c r="X594" s="12">
        <f t="shared" si="72"/>
        <v>0</v>
      </c>
      <c r="Y594" s="39"/>
      <c r="Z594" s="243"/>
    </row>
    <row r="595" spans="1:26">
      <c r="A595" s="150">
        <v>45124</v>
      </c>
      <c r="B595" s="154" t="s">
        <v>108</v>
      </c>
      <c r="C595" s="46">
        <v>2239757</v>
      </c>
      <c r="D595" s="322">
        <f t="shared" si="79"/>
        <v>3925</v>
      </c>
      <c r="E595" s="39"/>
      <c r="F595" s="46">
        <v>6321178</v>
      </c>
      <c r="G595" s="273">
        <f t="shared" si="76"/>
        <v>9177</v>
      </c>
      <c r="H595" s="156">
        <f t="shared" si="82"/>
        <v>31.787292817679557</v>
      </c>
      <c r="I595" s="39"/>
      <c r="J595" s="46">
        <v>3481303</v>
      </c>
      <c r="K595" s="2">
        <f t="shared" si="74"/>
        <v>4597</v>
      </c>
      <c r="L595" s="160">
        <f t="shared" si="73"/>
        <v>34.05185185185185</v>
      </c>
      <c r="M595" s="39"/>
      <c r="N595" s="46">
        <v>609012</v>
      </c>
      <c r="O595" s="12">
        <f t="shared" si="80"/>
        <v>123</v>
      </c>
      <c r="P595" s="166"/>
      <c r="Q595" s="42">
        <v>601999</v>
      </c>
      <c r="R595" s="44">
        <f t="shared" si="77"/>
        <v>0</v>
      </c>
      <c r="S595" s="358"/>
      <c r="T595" s="46">
        <v>9817</v>
      </c>
      <c r="U595" s="166">
        <f t="shared" si="81"/>
        <v>0</v>
      </c>
      <c r="V595" s="39"/>
      <c r="W595" s="46">
        <v>46057</v>
      </c>
      <c r="X595" s="12">
        <f t="shared" si="72"/>
        <v>0</v>
      </c>
      <c r="Y595" s="39"/>
      <c r="Z595" s="243"/>
    </row>
    <row r="596" spans="1:26">
      <c r="A596" s="150">
        <v>45125</v>
      </c>
      <c r="B596" s="154" t="s">
        <v>109</v>
      </c>
      <c r="C596" s="46">
        <v>2243682</v>
      </c>
      <c r="D596" s="322">
        <f t="shared" si="79"/>
        <v>8632</v>
      </c>
      <c r="E596" s="39"/>
      <c r="F596" s="46">
        <v>6330355</v>
      </c>
      <c r="G596" s="273">
        <f t="shared" si="76"/>
        <v>17718</v>
      </c>
      <c r="H596" s="156">
        <f t="shared" si="82"/>
        <v>68.38397790055248</v>
      </c>
      <c r="I596" s="39"/>
      <c r="J596" s="46">
        <v>3485900</v>
      </c>
      <c r="K596" s="2">
        <f t="shared" si="74"/>
        <v>6831</v>
      </c>
      <c r="L596" s="160">
        <f t="shared" si="73"/>
        <v>50.6</v>
      </c>
      <c r="M596" s="39"/>
      <c r="N596" s="46">
        <v>609135</v>
      </c>
      <c r="O596" s="12">
        <f t="shared" si="80"/>
        <v>1394</v>
      </c>
      <c r="P596" s="166"/>
      <c r="Q596" s="42">
        <v>601999</v>
      </c>
      <c r="R596" s="44">
        <f t="shared" si="77"/>
        <v>259</v>
      </c>
      <c r="S596" s="358"/>
      <c r="T596" s="46">
        <v>9817</v>
      </c>
      <c r="U596" s="166">
        <f t="shared" si="81"/>
        <v>0</v>
      </c>
      <c r="V596" s="39"/>
      <c r="W596" s="46">
        <v>46057</v>
      </c>
      <c r="X596" s="12">
        <f t="shared" si="72"/>
        <v>0</v>
      </c>
      <c r="Y596" s="39"/>
      <c r="Z596" s="243"/>
    </row>
    <row r="597" spans="1:26">
      <c r="A597" s="150">
        <v>45126</v>
      </c>
      <c r="B597" s="154" t="s">
        <v>110</v>
      </c>
      <c r="C597" s="46">
        <v>2252314</v>
      </c>
      <c r="D597" s="322">
        <f t="shared" si="79"/>
        <v>884</v>
      </c>
      <c r="E597" s="39"/>
      <c r="F597" s="46">
        <v>6348073</v>
      </c>
      <c r="G597" s="273">
        <f t="shared" si="76"/>
        <v>2668</v>
      </c>
      <c r="H597" s="156">
        <f t="shared" si="82"/>
        <v>5.4060773480662982</v>
      </c>
      <c r="I597" s="39"/>
      <c r="J597" s="46">
        <v>3492731</v>
      </c>
      <c r="K597" s="2">
        <f t="shared" si="74"/>
        <v>2798</v>
      </c>
      <c r="L597" s="160">
        <f t="shared" si="73"/>
        <v>20.725925925925925</v>
      </c>
      <c r="M597" s="39"/>
      <c r="N597" s="46">
        <v>610529</v>
      </c>
      <c r="O597" s="12">
        <f t="shared" si="80"/>
        <v>789</v>
      </c>
      <c r="P597" s="166"/>
      <c r="Q597" s="42">
        <v>602258</v>
      </c>
      <c r="R597" s="44">
        <f t="shared" si="77"/>
        <v>577</v>
      </c>
      <c r="S597" s="358"/>
      <c r="T597" s="46">
        <v>9817</v>
      </c>
      <c r="U597" s="166">
        <f t="shared" si="81"/>
        <v>0</v>
      </c>
      <c r="V597" s="39"/>
      <c r="W597" s="46">
        <v>46057</v>
      </c>
      <c r="X597" s="12">
        <f t="shared" ref="X597:X660" si="83">W598-W597</f>
        <v>0</v>
      </c>
      <c r="Y597" s="39"/>
      <c r="Z597" s="243"/>
    </row>
    <row r="598" spans="1:26">
      <c r="A598" s="150">
        <v>45127</v>
      </c>
      <c r="B598" s="154" t="s">
        <v>111</v>
      </c>
      <c r="C598" s="46">
        <v>2253198</v>
      </c>
      <c r="D598" s="322">
        <f>IF(C599&gt;0,C599-C598," ")</f>
        <v>11343</v>
      </c>
      <c r="E598" s="39"/>
      <c r="F598" s="46">
        <v>6350741</v>
      </c>
      <c r="G598" s="273">
        <f t="shared" si="76"/>
        <v>28129</v>
      </c>
      <c r="H598" s="156">
        <f t="shared" si="82"/>
        <v>104.63259668508287</v>
      </c>
      <c r="I598" s="39"/>
      <c r="J598" s="46">
        <v>3495529</v>
      </c>
      <c r="K598" s="2">
        <f t="shared" si="74"/>
        <v>12887</v>
      </c>
      <c r="L598" s="160">
        <f t="shared" si="73"/>
        <v>95.459259259259255</v>
      </c>
      <c r="M598" s="39"/>
      <c r="N598" s="46">
        <v>611318</v>
      </c>
      <c r="O598" s="12">
        <f t="shared" si="80"/>
        <v>2095</v>
      </c>
      <c r="P598" s="166"/>
      <c r="Q598" s="42">
        <v>602835</v>
      </c>
      <c r="R598" s="44">
        <f t="shared" si="77"/>
        <v>0</v>
      </c>
      <c r="S598" s="358"/>
      <c r="T598" s="46">
        <v>9817</v>
      </c>
      <c r="U598" s="166">
        <f t="shared" si="81"/>
        <v>0</v>
      </c>
      <c r="V598" s="39"/>
      <c r="W598" s="46">
        <v>46057</v>
      </c>
      <c r="X598" s="12">
        <f t="shared" si="83"/>
        <v>0</v>
      </c>
      <c r="Y598" s="39"/>
      <c r="Z598" s="243"/>
    </row>
    <row r="599" spans="1:26">
      <c r="A599" s="150">
        <v>45128</v>
      </c>
      <c r="B599" s="154" t="s">
        <v>106</v>
      </c>
      <c r="C599" s="46">
        <v>2264541</v>
      </c>
      <c r="D599" s="322">
        <f t="shared" si="79"/>
        <v>0</v>
      </c>
      <c r="E599" s="39"/>
      <c r="F599" s="46">
        <v>6378870</v>
      </c>
      <c r="G599" s="273">
        <f t="shared" si="76"/>
        <v>0</v>
      </c>
      <c r="H599" s="156">
        <f t="shared" si="82"/>
        <v>-4.4060773480662982</v>
      </c>
      <c r="I599" s="39"/>
      <c r="J599" s="46">
        <v>3508416</v>
      </c>
      <c r="K599" s="2">
        <f t="shared" si="74"/>
        <v>0</v>
      </c>
      <c r="L599" s="160">
        <f t="shared" si="73"/>
        <v>0</v>
      </c>
      <c r="M599" s="39"/>
      <c r="N599" s="46">
        <v>613413</v>
      </c>
      <c r="O599" s="12">
        <f t="shared" si="80"/>
        <v>0</v>
      </c>
      <c r="P599" s="166"/>
      <c r="Q599" s="42">
        <v>602835</v>
      </c>
      <c r="R599" s="44">
        <f t="shared" si="77"/>
        <v>0</v>
      </c>
      <c r="S599" s="358"/>
      <c r="T599" s="46">
        <v>9817</v>
      </c>
      <c r="U599" s="166">
        <f t="shared" si="81"/>
        <v>0</v>
      </c>
      <c r="V599" s="39"/>
      <c r="W599" s="46">
        <v>46057</v>
      </c>
      <c r="X599" s="12">
        <f t="shared" si="83"/>
        <v>0</v>
      </c>
      <c r="Y599" s="39"/>
      <c r="Z599" s="243"/>
    </row>
    <row r="600" spans="1:26">
      <c r="A600" s="150">
        <v>45129</v>
      </c>
      <c r="B600" s="154" t="s">
        <v>107</v>
      </c>
      <c r="C600" s="46">
        <v>2264541</v>
      </c>
      <c r="D600" s="322">
        <f t="shared" si="79"/>
        <v>0</v>
      </c>
      <c r="E600" s="39"/>
      <c r="F600" s="46">
        <v>6378870</v>
      </c>
      <c r="G600" s="273">
        <f t="shared" si="76"/>
        <v>0</v>
      </c>
      <c r="H600" s="156">
        <f t="shared" si="82"/>
        <v>-4.4060773480662982</v>
      </c>
      <c r="I600" s="39"/>
      <c r="J600" s="46">
        <v>3508416</v>
      </c>
      <c r="K600" s="2">
        <f t="shared" si="74"/>
        <v>0</v>
      </c>
      <c r="L600" s="160">
        <f t="shared" si="73"/>
        <v>0</v>
      </c>
      <c r="M600" s="39"/>
      <c r="N600" s="46">
        <v>613413</v>
      </c>
      <c r="O600" s="12">
        <f t="shared" si="80"/>
        <v>0</v>
      </c>
      <c r="P600" s="166"/>
      <c r="Q600" s="42">
        <v>602835</v>
      </c>
      <c r="R600" s="44">
        <f t="shared" si="77"/>
        <v>0</v>
      </c>
      <c r="S600" s="358"/>
      <c r="T600" s="46">
        <v>9817</v>
      </c>
      <c r="U600" s="166">
        <f t="shared" si="81"/>
        <v>0</v>
      </c>
      <c r="V600" s="39"/>
      <c r="W600" s="46">
        <v>46057</v>
      </c>
      <c r="X600" s="12">
        <f t="shared" si="83"/>
        <v>0</v>
      </c>
      <c r="Y600" s="39"/>
      <c r="Z600" s="243"/>
    </row>
    <row r="601" spans="1:26">
      <c r="A601" s="150">
        <v>45130</v>
      </c>
      <c r="B601" s="154" t="s">
        <v>36</v>
      </c>
      <c r="C601" s="46">
        <v>2264541</v>
      </c>
      <c r="D601" s="322">
        <f t="shared" si="79"/>
        <v>0</v>
      </c>
      <c r="E601" s="39"/>
      <c r="F601" s="46">
        <v>6378870</v>
      </c>
      <c r="G601" s="273">
        <f t="shared" si="76"/>
        <v>0</v>
      </c>
      <c r="H601" s="156">
        <f t="shared" si="82"/>
        <v>-4.4060773480662982</v>
      </c>
      <c r="I601" s="39"/>
      <c r="J601" s="46">
        <v>3508416</v>
      </c>
      <c r="K601" s="2">
        <f t="shared" si="74"/>
        <v>0</v>
      </c>
      <c r="L601" s="160">
        <f t="shared" si="73"/>
        <v>0</v>
      </c>
      <c r="M601" s="39"/>
      <c r="N601" s="46">
        <v>613413</v>
      </c>
      <c r="O601" s="12">
        <f t="shared" si="80"/>
        <v>0</v>
      </c>
      <c r="P601" s="166"/>
      <c r="Q601" s="42">
        <v>602835</v>
      </c>
      <c r="R601" s="44">
        <f t="shared" si="77"/>
        <v>0</v>
      </c>
      <c r="S601" s="358"/>
      <c r="T601" s="46">
        <v>9817</v>
      </c>
      <c r="U601" s="166">
        <f t="shared" si="81"/>
        <v>0</v>
      </c>
      <c r="V601" s="39"/>
      <c r="W601" s="46">
        <v>46057</v>
      </c>
      <c r="X601" s="12">
        <f t="shared" si="83"/>
        <v>0</v>
      </c>
      <c r="Y601" s="39"/>
      <c r="Z601" s="243"/>
    </row>
    <row r="602" spans="1:26">
      <c r="A602" s="150">
        <v>45131</v>
      </c>
      <c r="B602" s="154" t="s">
        <v>108</v>
      </c>
      <c r="C602" s="46">
        <v>2264541</v>
      </c>
      <c r="D602" s="322">
        <f t="shared" si="79"/>
        <v>2943</v>
      </c>
      <c r="E602" s="39"/>
      <c r="F602" s="46">
        <v>6378870</v>
      </c>
      <c r="G602" s="273">
        <f t="shared" si="76"/>
        <v>6573</v>
      </c>
      <c r="H602" s="156">
        <f t="shared" si="82"/>
        <v>21.881215469613259</v>
      </c>
      <c r="I602" s="39"/>
      <c r="J602" s="46">
        <v>3508416</v>
      </c>
      <c r="K602" s="2">
        <f t="shared" si="74"/>
        <v>2360</v>
      </c>
      <c r="L602" s="160">
        <f>K602/135</f>
        <v>17.481481481481481</v>
      </c>
      <c r="M602" s="39"/>
      <c r="N602" s="46">
        <v>613413</v>
      </c>
      <c r="O602" s="12">
        <f t="shared" si="80"/>
        <v>0</v>
      </c>
      <c r="P602" s="166"/>
      <c r="Q602" s="42">
        <v>602835</v>
      </c>
      <c r="R602" s="44">
        <f t="shared" si="77"/>
        <v>1167</v>
      </c>
      <c r="S602" s="358"/>
      <c r="T602" s="46">
        <v>9817</v>
      </c>
      <c r="U602" s="166">
        <f t="shared" si="81"/>
        <v>0</v>
      </c>
      <c r="V602" s="39"/>
      <c r="W602" s="46">
        <v>46057</v>
      </c>
      <c r="X602" s="12">
        <f t="shared" si="83"/>
        <v>0</v>
      </c>
      <c r="Y602" s="39"/>
      <c r="Z602" s="243"/>
    </row>
    <row r="603" spans="1:26">
      <c r="A603" s="150">
        <v>45132</v>
      </c>
      <c r="B603" s="154" t="s">
        <v>109</v>
      </c>
      <c r="C603" s="46">
        <v>2267484</v>
      </c>
      <c r="D603" s="322">
        <f t="shared" si="79"/>
        <v>5292</v>
      </c>
      <c r="E603" s="39"/>
      <c r="F603" s="46">
        <v>6385443</v>
      </c>
      <c r="G603" s="273">
        <f t="shared" si="76"/>
        <v>11246</v>
      </c>
      <c r="H603" s="156">
        <f t="shared" si="82"/>
        <v>41.27900552486188</v>
      </c>
      <c r="I603" s="39"/>
      <c r="J603" s="46">
        <v>3510776</v>
      </c>
      <c r="K603" s="2">
        <f t="shared" si="74"/>
        <v>5293</v>
      </c>
      <c r="L603" s="160">
        <f t="shared" si="73"/>
        <v>39.207407407407409</v>
      </c>
      <c r="M603" s="39"/>
      <c r="N603" s="46">
        <v>613413</v>
      </c>
      <c r="O603" s="12">
        <f t="shared" si="80"/>
        <v>1622</v>
      </c>
      <c r="P603" s="166"/>
      <c r="Q603" s="42">
        <v>604002</v>
      </c>
      <c r="R603" s="44">
        <f t="shared" si="77"/>
        <v>0</v>
      </c>
      <c r="S603" s="358"/>
      <c r="T603" s="46">
        <v>9817</v>
      </c>
      <c r="U603" s="166">
        <f t="shared" si="81"/>
        <v>0</v>
      </c>
      <c r="V603" s="39"/>
      <c r="W603" s="46">
        <v>46057</v>
      </c>
      <c r="X603" s="12">
        <f t="shared" si="83"/>
        <v>0</v>
      </c>
      <c r="Y603" s="39"/>
      <c r="Z603" s="243"/>
    </row>
    <row r="604" spans="1:26">
      <c r="A604" s="150">
        <v>45133</v>
      </c>
      <c r="B604" s="154" t="s">
        <v>110</v>
      </c>
      <c r="C604" s="46">
        <v>2272776</v>
      </c>
      <c r="D604" s="322">
        <f t="shared" si="79"/>
        <v>5417</v>
      </c>
      <c r="E604" s="39"/>
      <c r="F604" s="46">
        <v>6396689</v>
      </c>
      <c r="G604" s="273">
        <f t="shared" si="76"/>
        <v>11655</v>
      </c>
      <c r="H604" s="156">
        <f t="shared" si="82"/>
        <v>42.754143646408842</v>
      </c>
      <c r="I604" s="39"/>
      <c r="J604" s="46">
        <v>3516069</v>
      </c>
      <c r="K604" s="2">
        <f t="shared" si="74"/>
        <v>8967</v>
      </c>
      <c r="L604" s="160">
        <f t="shared" si="73"/>
        <v>66.422222222222217</v>
      </c>
      <c r="M604" s="39"/>
      <c r="N604" s="46">
        <v>615035</v>
      </c>
      <c r="O604" s="12">
        <f t="shared" si="80"/>
        <v>801</v>
      </c>
      <c r="P604" s="166"/>
      <c r="Q604" s="42">
        <v>604002</v>
      </c>
      <c r="R604" s="44">
        <f t="shared" si="77"/>
        <v>630</v>
      </c>
      <c r="S604" s="358"/>
      <c r="T604" s="46">
        <v>9817</v>
      </c>
      <c r="U604" s="166">
        <f t="shared" si="81"/>
        <v>0</v>
      </c>
      <c r="V604" s="39"/>
      <c r="W604" s="46">
        <v>46057</v>
      </c>
      <c r="X604" s="12">
        <f t="shared" si="83"/>
        <v>0</v>
      </c>
      <c r="Y604" s="39"/>
      <c r="Z604" s="243"/>
    </row>
    <row r="605" spans="1:26">
      <c r="A605" s="150">
        <v>45134</v>
      </c>
      <c r="B605" s="154" t="s">
        <v>111</v>
      </c>
      <c r="C605" s="46">
        <v>2278193</v>
      </c>
      <c r="D605" s="322">
        <f t="shared" si="79"/>
        <v>7346</v>
      </c>
      <c r="E605" s="39"/>
      <c r="F605" s="46">
        <v>6408344</v>
      </c>
      <c r="G605" s="273">
        <f t="shared" si="76"/>
        <v>16206</v>
      </c>
      <c r="H605" s="156">
        <f>(G605+D605-1595)/362</f>
        <v>60.654696132596683</v>
      </c>
      <c r="I605" s="39"/>
      <c r="J605" s="46">
        <v>3525036</v>
      </c>
      <c r="K605" s="2">
        <f t="shared" si="74"/>
        <v>9934</v>
      </c>
      <c r="L605" s="160">
        <f t="shared" si="73"/>
        <v>73.585185185185182</v>
      </c>
      <c r="M605" s="39"/>
      <c r="N605" s="46">
        <v>615836</v>
      </c>
      <c r="O605" s="12">
        <f t="shared" si="80"/>
        <v>817</v>
      </c>
      <c r="P605" s="166"/>
      <c r="Q605" s="42">
        <v>604632</v>
      </c>
      <c r="R605" s="44">
        <f t="shared" si="77"/>
        <v>0</v>
      </c>
      <c r="S605" s="358"/>
      <c r="T605" s="46">
        <v>9817</v>
      </c>
      <c r="U605" s="166">
        <f t="shared" si="81"/>
        <v>0</v>
      </c>
      <c r="V605" s="39"/>
      <c r="W605" s="46">
        <v>46057</v>
      </c>
      <c r="X605" s="12">
        <f t="shared" si="83"/>
        <v>0</v>
      </c>
      <c r="Y605" s="39"/>
      <c r="Z605" s="243"/>
    </row>
    <row r="606" spans="1:26">
      <c r="A606" s="150">
        <v>45135</v>
      </c>
      <c r="B606" s="154" t="s">
        <v>106</v>
      </c>
      <c r="C606" s="46">
        <v>2285539</v>
      </c>
      <c r="D606" s="322">
        <f t="shared" si="79"/>
        <v>1571</v>
      </c>
      <c r="E606" s="39"/>
      <c r="F606" s="46">
        <v>6424550</v>
      </c>
      <c r="G606" s="273">
        <f t="shared" si="76"/>
        <v>8563</v>
      </c>
      <c r="H606" s="156">
        <f t="shared" si="82"/>
        <v>23.58839779005525</v>
      </c>
      <c r="I606" s="39"/>
      <c r="J606" s="46">
        <v>3534970</v>
      </c>
      <c r="K606" s="2">
        <f t="shared" si="74"/>
        <v>2257</v>
      </c>
      <c r="L606" s="160">
        <f t="shared" si="73"/>
        <v>16.718518518518518</v>
      </c>
      <c r="M606" s="39"/>
      <c r="N606" s="46">
        <v>616653</v>
      </c>
      <c r="O606" s="12">
        <f t="shared" si="80"/>
        <v>826</v>
      </c>
      <c r="P606" s="166"/>
      <c r="Q606" s="42">
        <v>604632</v>
      </c>
      <c r="R606" s="44">
        <f t="shared" si="77"/>
        <v>0</v>
      </c>
      <c r="S606" s="358"/>
      <c r="T606" s="46">
        <v>9817</v>
      </c>
      <c r="U606" s="166">
        <f t="shared" si="81"/>
        <v>0</v>
      </c>
      <c r="V606" s="39"/>
      <c r="W606" s="46">
        <v>46057</v>
      </c>
      <c r="X606" s="12">
        <f t="shared" si="83"/>
        <v>0</v>
      </c>
      <c r="Y606" s="39"/>
      <c r="Z606" s="243"/>
    </row>
    <row r="607" spans="1:26">
      <c r="A607" s="150">
        <v>45136</v>
      </c>
      <c r="B607" s="154" t="s">
        <v>107</v>
      </c>
      <c r="C607" s="46">
        <v>2287110</v>
      </c>
      <c r="D607" s="322">
        <f t="shared" si="79"/>
        <v>0</v>
      </c>
      <c r="E607" s="39"/>
      <c r="F607" s="46">
        <v>6433113</v>
      </c>
      <c r="G607" s="273">
        <f t="shared" si="76"/>
        <v>0</v>
      </c>
      <c r="H607" s="156">
        <f t="shared" si="82"/>
        <v>-4.4060773480662982</v>
      </c>
      <c r="I607" s="39"/>
      <c r="J607" s="46">
        <v>3537227</v>
      </c>
      <c r="K607" s="2">
        <f t="shared" si="74"/>
        <v>0</v>
      </c>
      <c r="L607" s="160">
        <f t="shared" si="73"/>
        <v>0</v>
      </c>
      <c r="M607" s="39"/>
      <c r="N607" s="46">
        <v>617479</v>
      </c>
      <c r="O607" s="12">
        <f t="shared" si="80"/>
        <v>535</v>
      </c>
      <c r="P607" s="166"/>
      <c r="Q607" s="42">
        <v>604632</v>
      </c>
      <c r="R607" s="44">
        <f t="shared" si="77"/>
        <v>1619</v>
      </c>
      <c r="S607" s="358"/>
      <c r="T607" s="46">
        <v>9817</v>
      </c>
      <c r="U607" s="166">
        <f t="shared" si="81"/>
        <v>0</v>
      </c>
      <c r="V607" s="39"/>
      <c r="W607" s="46">
        <v>46057</v>
      </c>
      <c r="X607" s="12">
        <f t="shared" si="83"/>
        <v>0</v>
      </c>
      <c r="Y607" s="39"/>
      <c r="Z607" s="243"/>
    </row>
    <row r="608" spans="1:26">
      <c r="A608" s="150">
        <v>45137</v>
      </c>
      <c r="B608" s="154" t="s">
        <v>36</v>
      </c>
      <c r="C608" s="46">
        <v>2287110</v>
      </c>
      <c r="D608" s="322">
        <f t="shared" si="79"/>
        <v>0</v>
      </c>
      <c r="E608" s="39"/>
      <c r="F608" s="46">
        <v>6433113</v>
      </c>
      <c r="G608" s="273">
        <f t="shared" si="76"/>
        <v>0</v>
      </c>
      <c r="H608" s="156">
        <f t="shared" si="82"/>
        <v>-4.4060773480662982</v>
      </c>
      <c r="I608" s="39"/>
      <c r="J608" s="46">
        <v>3537227</v>
      </c>
      <c r="K608" s="2">
        <f t="shared" si="74"/>
        <v>0</v>
      </c>
      <c r="L608" s="160">
        <f t="shared" ref="L608:L672" si="84">K608/135</f>
        <v>0</v>
      </c>
      <c r="M608" s="39"/>
      <c r="N608" s="46">
        <v>618014</v>
      </c>
      <c r="O608" s="12">
        <f t="shared" si="80"/>
        <v>0</v>
      </c>
      <c r="P608" s="166"/>
      <c r="Q608" s="42">
        <v>606251</v>
      </c>
      <c r="R608" s="44">
        <f t="shared" si="77"/>
        <v>0</v>
      </c>
      <c r="S608" s="358"/>
      <c r="T608" s="46">
        <v>9817</v>
      </c>
      <c r="U608" s="166">
        <f t="shared" si="81"/>
        <v>0</v>
      </c>
      <c r="V608" s="39"/>
      <c r="W608" s="46">
        <v>46057</v>
      </c>
      <c r="X608" s="12">
        <f t="shared" si="83"/>
        <v>0</v>
      </c>
      <c r="Y608" s="39"/>
      <c r="Z608" s="243"/>
    </row>
    <row r="609" spans="1:26">
      <c r="A609" s="150">
        <v>45138</v>
      </c>
      <c r="B609" s="154" t="s">
        <v>108</v>
      </c>
      <c r="C609" s="46">
        <v>2287110</v>
      </c>
      <c r="D609" s="322">
        <f>IF(C610&gt;0,C610-C609," ")</f>
        <v>5971</v>
      </c>
      <c r="E609" s="39"/>
      <c r="F609" s="46">
        <v>6433113</v>
      </c>
      <c r="G609" s="273">
        <f t="shared" si="76"/>
        <v>13592</v>
      </c>
      <c r="H609" s="156">
        <f t="shared" si="82"/>
        <v>49.635359116022101</v>
      </c>
      <c r="I609" s="39"/>
      <c r="J609" s="46">
        <v>3537227</v>
      </c>
      <c r="K609" s="2">
        <f t="shared" si="74"/>
        <v>14812</v>
      </c>
      <c r="L609" s="160">
        <f t="shared" si="84"/>
        <v>109.71851851851852</v>
      </c>
      <c r="M609" s="39"/>
      <c r="N609" s="46">
        <v>618014</v>
      </c>
      <c r="O609" s="12">
        <f t="shared" si="80"/>
        <v>1030</v>
      </c>
      <c r="P609" s="166"/>
      <c r="Q609" s="42">
        <v>606251</v>
      </c>
      <c r="R609" s="44">
        <f t="shared" si="77"/>
        <v>283</v>
      </c>
      <c r="S609" s="358"/>
      <c r="T609" s="46">
        <v>9817</v>
      </c>
      <c r="U609" s="166">
        <f t="shared" si="81"/>
        <v>0</v>
      </c>
      <c r="V609" s="39"/>
      <c r="W609" s="46">
        <v>46057</v>
      </c>
      <c r="X609" s="12">
        <f t="shared" si="83"/>
        <v>0</v>
      </c>
      <c r="Y609" s="39"/>
      <c r="Z609" s="243"/>
    </row>
    <row r="610" spans="1:26">
      <c r="A610" s="150">
        <v>45139</v>
      </c>
      <c r="B610" s="154" t="s">
        <v>109</v>
      </c>
      <c r="C610" s="46">
        <v>2293081</v>
      </c>
      <c r="D610" s="322">
        <f>IF(C611&gt;0,C611-C610," ")</f>
        <v>6090</v>
      </c>
      <c r="E610" s="39"/>
      <c r="F610" s="46">
        <v>6446705</v>
      </c>
      <c r="G610" s="273">
        <f t="shared" si="76"/>
        <v>14581</v>
      </c>
      <c r="H610" s="156">
        <f t="shared" si="82"/>
        <v>52.696132596685082</v>
      </c>
      <c r="I610" s="39"/>
      <c r="J610" s="46">
        <v>3552039</v>
      </c>
      <c r="K610" s="2">
        <f t="shared" si="74"/>
        <v>0</v>
      </c>
      <c r="L610" s="160">
        <f t="shared" si="84"/>
        <v>0</v>
      </c>
      <c r="M610" s="39"/>
      <c r="N610" s="46">
        <v>619044</v>
      </c>
      <c r="O610" s="12">
        <f t="shared" si="80"/>
        <v>993</v>
      </c>
      <c r="P610" s="166"/>
      <c r="Q610" s="42">
        <v>606534</v>
      </c>
      <c r="R610" s="44">
        <f t="shared" si="77"/>
        <v>0</v>
      </c>
      <c r="S610" s="358"/>
      <c r="T610" s="46">
        <v>9817</v>
      </c>
      <c r="U610" s="166">
        <f t="shared" si="81"/>
        <v>0</v>
      </c>
      <c r="V610" s="39"/>
      <c r="W610" s="46">
        <v>46057</v>
      </c>
      <c r="X610" s="12">
        <f t="shared" si="83"/>
        <v>0</v>
      </c>
      <c r="Y610" s="39"/>
      <c r="Z610" s="243"/>
    </row>
    <row r="611" spans="1:26">
      <c r="A611" s="150">
        <v>45140</v>
      </c>
      <c r="B611" s="154" t="s">
        <v>110</v>
      </c>
      <c r="C611" s="46">
        <v>2299171</v>
      </c>
      <c r="D611" s="322">
        <f>IF(C612&gt;0,C612-C611," ")</f>
        <v>3363</v>
      </c>
      <c r="E611" s="39"/>
      <c r="F611" s="46">
        <v>6461286</v>
      </c>
      <c r="G611" s="273">
        <f t="shared" si="76"/>
        <v>10065</v>
      </c>
      <c r="H611" s="156">
        <f t="shared" si="82"/>
        <v>32.687845303867405</v>
      </c>
      <c r="I611" s="39"/>
      <c r="J611" s="46">
        <v>3552039</v>
      </c>
      <c r="K611" s="2">
        <f t="shared" si="74"/>
        <v>5273</v>
      </c>
      <c r="L611" s="160">
        <f t="shared" si="84"/>
        <v>39.059259259259257</v>
      </c>
      <c r="M611" s="39"/>
      <c r="N611" s="46">
        <v>620037</v>
      </c>
      <c r="O611" s="12">
        <f t="shared" si="80"/>
        <v>885</v>
      </c>
      <c r="P611" s="166"/>
      <c r="Q611" s="42">
        <v>606534</v>
      </c>
      <c r="R611" s="44">
        <f t="shared" si="77"/>
        <v>313</v>
      </c>
      <c r="S611" s="358"/>
      <c r="T611" s="46">
        <v>9817</v>
      </c>
      <c r="U611" s="166">
        <f t="shared" si="81"/>
        <v>0</v>
      </c>
      <c r="V611" s="39"/>
      <c r="W611" s="46">
        <v>46057</v>
      </c>
      <c r="X611" s="12">
        <f t="shared" si="83"/>
        <v>0</v>
      </c>
      <c r="Y611" s="39"/>
      <c r="Z611" s="243"/>
    </row>
    <row r="612" spans="1:26">
      <c r="A612" s="150">
        <v>45141</v>
      </c>
      <c r="B612" s="154" t="s">
        <v>111</v>
      </c>
      <c r="C612" s="46">
        <v>2302534</v>
      </c>
      <c r="D612" s="322">
        <f>IF(C613&gt;0,C613-C612," ")</f>
        <v>1843</v>
      </c>
      <c r="E612" s="39"/>
      <c r="F612" s="46">
        <v>6471351</v>
      </c>
      <c r="G612" s="273">
        <f t="shared" si="76"/>
        <v>5865</v>
      </c>
      <c r="H612" s="156">
        <f t="shared" si="82"/>
        <v>16.886740331491712</v>
      </c>
      <c r="I612" s="39"/>
      <c r="J612" s="46">
        <v>3557312</v>
      </c>
      <c r="K612" s="2">
        <f t="shared" si="74"/>
        <v>5828</v>
      </c>
      <c r="L612" s="160">
        <f t="shared" si="84"/>
        <v>43.170370370370371</v>
      </c>
      <c r="M612" s="39"/>
      <c r="N612" s="46">
        <v>620922</v>
      </c>
      <c r="O612" s="12">
        <f t="shared" si="80"/>
        <v>1030</v>
      </c>
      <c r="P612" s="166"/>
      <c r="Q612" s="42">
        <v>606847</v>
      </c>
      <c r="R612" s="44">
        <f t="shared" si="77"/>
        <v>313</v>
      </c>
      <c r="S612" s="358"/>
      <c r="T612" s="46">
        <v>9817</v>
      </c>
      <c r="U612" s="166">
        <f t="shared" si="81"/>
        <v>0</v>
      </c>
      <c r="V612" s="39"/>
      <c r="W612" s="46">
        <v>46057</v>
      </c>
      <c r="X612" s="12">
        <f t="shared" si="83"/>
        <v>0</v>
      </c>
      <c r="Y612" s="39"/>
      <c r="Z612" s="243"/>
    </row>
    <row r="613" spans="1:26">
      <c r="A613" s="150">
        <v>45142</v>
      </c>
      <c r="B613" s="154" t="s">
        <v>106</v>
      </c>
      <c r="C613" s="46">
        <v>2304377</v>
      </c>
      <c r="D613" s="322">
        <f t="shared" ref="D613:D685" si="85">IF(C614&gt;0,C614-C613," ")</f>
        <v>4192</v>
      </c>
      <c r="E613" s="39"/>
      <c r="F613" s="46">
        <v>6477216</v>
      </c>
      <c r="G613" s="273">
        <f t="shared" si="76"/>
        <v>16380</v>
      </c>
      <c r="H613" s="156">
        <f t="shared" si="82"/>
        <v>52.422651933701658</v>
      </c>
      <c r="I613" s="39"/>
      <c r="J613" s="46">
        <v>3563140</v>
      </c>
      <c r="K613" s="2">
        <f t="shared" si="74"/>
        <v>5685</v>
      </c>
      <c r="L613" s="160">
        <f t="shared" si="84"/>
        <v>42.111111111111114</v>
      </c>
      <c r="M613" s="39"/>
      <c r="N613" s="46">
        <v>621952</v>
      </c>
      <c r="O613" s="12">
        <f t="shared" si="80"/>
        <v>952</v>
      </c>
      <c r="P613" s="166"/>
      <c r="Q613" s="42">
        <v>607160</v>
      </c>
      <c r="R613" s="44">
        <f t="shared" si="77"/>
        <v>1049</v>
      </c>
      <c r="S613" s="358"/>
      <c r="T613" s="46">
        <v>9817</v>
      </c>
      <c r="U613" s="166">
        <f t="shared" si="81"/>
        <v>0</v>
      </c>
      <c r="V613" s="39"/>
      <c r="W613" s="46">
        <v>46057</v>
      </c>
      <c r="X613" s="12">
        <f t="shared" si="83"/>
        <v>0</v>
      </c>
      <c r="Y613" s="39"/>
      <c r="Z613" s="243"/>
    </row>
    <row r="614" spans="1:26">
      <c r="A614" s="150">
        <v>45143</v>
      </c>
      <c r="B614" s="154" t="s">
        <v>107</v>
      </c>
      <c r="C614" s="46">
        <v>2308569</v>
      </c>
      <c r="D614" s="322">
        <f t="shared" si="85"/>
        <v>0</v>
      </c>
      <c r="E614" s="39"/>
      <c r="F614" s="46">
        <v>6493596</v>
      </c>
      <c r="G614" s="273">
        <f t="shared" si="76"/>
        <v>0</v>
      </c>
      <c r="H614" s="156">
        <f t="shared" si="82"/>
        <v>-4.4060773480662982</v>
      </c>
      <c r="I614" s="39"/>
      <c r="J614" s="46">
        <v>3568825</v>
      </c>
      <c r="K614" s="2">
        <f t="shared" ref="K614:K677" si="86">IF(J615&gt;0,J615-J614," ")</f>
        <v>0</v>
      </c>
      <c r="L614" s="160">
        <f t="shared" si="84"/>
        <v>0</v>
      </c>
      <c r="M614" s="39"/>
      <c r="N614" s="46">
        <v>622904</v>
      </c>
      <c r="O614" s="12">
        <f t="shared" si="80"/>
        <v>735</v>
      </c>
      <c r="P614" s="365" t="s">
        <v>78</v>
      </c>
      <c r="Q614" s="42">
        <v>608209</v>
      </c>
      <c r="R614" s="44">
        <f t="shared" si="77"/>
        <v>0</v>
      </c>
      <c r="S614" s="358"/>
      <c r="T614" s="46">
        <v>9817</v>
      </c>
      <c r="U614" s="166">
        <f t="shared" si="81"/>
        <v>0</v>
      </c>
      <c r="V614" s="39"/>
      <c r="W614" s="46">
        <v>46057</v>
      </c>
      <c r="X614" s="12">
        <f t="shared" si="83"/>
        <v>0</v>
      </c>
      <c r="Y614" s="39"/>
      <c r="Z614" s="243"/>
    </row>
    <row r="615" spans="1:26">
      <c r="A615" s="150">
        <v>45144</v>
      </c>
      <c r="B615" s="154" t="s">
        <v>36</v>
      </c>
      <c r="C615" s="46">
        <v>2308569</v>
      </c>
      <c r="D615" s="322">
        <f t="shared" si="85"/>
        <v>0</v>
      </c>
      <c r="E615" s="39"/>
      <c r="F615" s="46">
        <v>6493596</v>
      </c>
      <c r="G615" s="273">
        <f t="shared" si="76"/>
        <v>0</v>
      </c>
      <c r="H615" s="156">
        <f t="shared" si="82"/>
        <v>-4.4060773480662982</v>
      </c>
      <c r="I615" s="39"/>
      <c r="J615" s="46">
        <v>3568825</v>
      </c>
      <c r="K615" s="2">
        <f t="shared" si="86"/>
        <v>0</v>
      </c>
      <c r="L615" s="160">
        <f t="shared" si="84"/>
        <v>0</v>
      </c>
      <c r="M615" s="39"/>
      <c r="N615" s="45">
        <v>623639</v>
      </c>
      <c r="O615" s="8">
        <f t="shared" si="80"/>
        <v>0</v>
      </c>
      <c r="P615" s="9"/>
      <c r="Q615" s="42">
        <v>608209</v>
      </c>
      <c r="R615" s="44">
        <f t="shared" si="77"/>
        <v>0</v>
      </c>
      <c r="S615" s="358"/>
      <c r="T615" s="46">
        <v>9817</v>
      </c>
      <c r="U615" s="166">
        <f t="shared" si="81"/>
        <v>0</v>
      </c>
      <c r="V615" s="39"/>
      <c r="W615" s="46">
        <v>46057</v>
      </c>
      <c r="X615" s="12">
        <f t="shared" si="83"/>
        <v>0</v>
      </c>
      <c r="Y615" s="39"/>
      <c r="Z615" s="243"/>
    </row>
    <row r="616" spans="1:26">
      <c r="A616" s="150">
        <v>45145</v>
      </c>
      <c r="B616" s="154" t="s">
        <v>108</v>
      </c>
      <c r="C616" s="46">
        <v>2308569</v>
      </c>
      <c r="D616" s="322">
        <f t="shared" si="85"/>
        <v>3190</v>
      </c>
      <c r="E616" s="39"/>
      <c r="F616" s="46">
        <v>6493596</v>
      </c>
      <c r="G616" s="273">
        <f t="shared" si="76"/>
        <v>9275</v>
      </c>
      <c r="H616" s="156">
        <f t="shared" si="82"/>
        <v>30.027624309392266</v>
      </c>
      <c r="I616" s="39"/>
      <c r="J616" s="46">
        <v>3568825</v>
      </c>
      <c r="K616" s="2">
        <f t="shared" si="86"/>
        <v>4782</v>
      </c>
      <c r="L616" s="160">
        <f t="shared" si="84"/>
        <v>35.422222222222224</v>
      </c>
      <c r="M616" s="39"/>
      <c r="N616" s="45">
        <v>623639</v>
      </c>
      <c r="O616" s="8">
        <f t="shared" si="80"/>
        <v>782</v>
      </c>
      <c r="P616" s="9"/>
      <c r="Q616" s="42">
        <v>608209</v>
      </c>
      <c r="R616" s="44">
        <f t="shared" si="77"/>
        <v>292</v>
      </c>
      <c r="S616" s="358"/>
      <c r="T616" s="46">
        <v>9817</v>
      </c>
      <c r="U616" s="166">
        <f t="shared" si="81"/>
        <v>0</v>
      </c>
      <c r="V616" s="39"/>
      <c r="W616" s="46">
        <v>46057</v>
      </c>
      <c r="X616" s="12">
        <f t="shared" si="83"/>
        <v>0</v>
      </c>
      <c r="Y616" s="39"/>
      <c r="Z616" s="243"/>
    </row>
    <row r="617" spans="1:26">
      <c r="A617" s="150">
        <v>45146</v>
      </c>
      <c r="B617" s="154" t="s">
        <v>109</v>
      </c>
      <c r="C617" s="46">
        <v>2311759</v>
      </c>
      <c r="D617" s="322">
        <f t="shared" si="85"/>
        <v>3370</v>
      </c>
      <c r="E617" s="39"/>
      <c r="F617" s="46">
        <v>6502871</v>
      </c>
      <c r="G617" s="273">
        <f t="shared" si="76"/>
        <v>10768</v>
      </c>
      <c r="H617" s="156">
        <f t="shared" si="82"/>
        <v>34.649171270718234</v>
      </c>
      <c r="I617" s="39"/>
      <c r="J617" s="46">
        <v>3573607</v>
      </c>
      <c r="K617" s="2">
        <f t="shared" si="86"/>
        <v>4798</v>
      </c>
      <c r="L617" s="160">
        <f t="shared" si="84"/>
        <v>35.540740740740738</v>
      </c>
      <c r="M617" s="39"/>
      <c r="N617" s="45">
        <v>624421</v>
      </c>
      <c r="O617" s="8">
        <f t="shared" si="80"/>
        <v>790</v>
      </c>
      <c r="P617" s="9"/>
      <c r="Q617" s="42">
        <v>608501</v>
      </c>
      <c r="R617" s="44">
        <f t="shared" si="77"/>
        <v>293</v>
      </c>
      <c r="S617" s="358"/>
      <c r="T617" s="46">
        <v>9817</v>
      </c>
      <c r="U617" s="166">
        <f t="shared" si="81"/>
        <v>0</v>
      </c>
      <c r="V617" s="39"/>
      <c r="W617" s="46">
        <v>46057</v>
      </c>
      <c r="X617" s="12">
        <f t="shared" si="83"/>
        <v>0</v>
      </c>
      <c r="Y617" s="39"/>
      <c r="Z617" s="243"/>
    </row>
    <row r="618" spans="1:26">
      <c r="A618" s="150">
        <v>45147</v>
      </c>
      <c r="B618" s="154" t="s">
        <v>110</v>
      </c>
      <c r="C618" s="46">
        <v>2315129</v>
      </c>
      <c r="D618" s="322">
        <f t="shared" si="85"/>
        <v>2694</v>
      </c>
      <c r="E618" s="39"/>
      <c r="F618" s="46">
        <v>6513639</v>
      </c>
      <c r="G618" s="273">
        <f t="shared" si="76"/>
        <v>10785</v>
      </c>
      <c r="H618" s="156">
        <f t="shared" si="82"/>
        <v>32.828729281767956</v>
      </c>
      <c r="I618" s="39"/>
      <c r="J618" s="46">
        <v>3578405</v>
      </c>
      <c r="K618" s="2">
        <f t="shared" si="86"/>
        <v>8262</v>
      </c>
      <c r="L618" s="160">
        <f t="shared" si="84"/>
        <v>61.2</v>
      </c>
      <c r="M618" s="39"/>
      <c r="N618" s="45">
        <v>625211</v>
      </c>
      <c r="O618" s="8">
        <f t="shared" si="80"/>
        <v>814</v>
      </c>
      <c r="P618" s="9"/>
      <c r="Q618" s="42">
        <v>608794</v>
      </c>
      <c r="R618" s="44">
        <f t="shared" si="77"/>
        <v>293</v>
      </c>
      <c r="S618" s="358"/>
      <c r="T618" s="46">
        <v>9817</v>
      </c>
      <c r="U618" s="166">
        <f t="shared" si="81"/>
        <v>0</v>
      </c>
      <c r="V618" s="39"/>
      <c r="W618" s="46">
        <v>46057</v>
      </c>
      <c r="X618" s="12">
        <f t="shared" si="83"/>
        <v>0</v>
      </c>
      <c r="Y618" s="39"/>
      <c r="Z618" s="243"/>
    </row>
    <row r="619" spans="1:26">
      <c r="A619" s="150">
        <v>45148</v>
      </c>
      <c r="B619" s="154" t="s">
        <v>111</v>
      </c>
      <c r="C619" s="46">
        <v>2317823</v>
      </c>
      <c r="D619" s="322">
        <f t="shared" si="85"/>
        <v>2002</v>
      </c>
      <c r="E619" s="39"/>
      <c r="F619" s="46">
        <v>6524424</v>
      </c>
      <c r="G619" s="273">
        <f t="shared" si="76"/>
        <v>8378</v>
      </c>
      <c r="H619" s="156">
        <f t="shared" si="82"/>
        <v>24.267955801104971</v>
      </c>
      <c r="I619" s="39"/>
      <c r="J619" s="46">
        <v>3586667</v>
      </c>
      <c r="K619" s="2">
        <f t="shared" si="86"/>
        <v>4655</v>
      </c>
      <c r="L619" s="160">
        <f t="shared" si="84"/>
        <v>34.481481481481481</v>
      </c>
      <c r="M619" s="39"/>
      <c r="N619" s="45">
        <v>626025</v>
      </c>
      <c r="O619" s="8">
        <f t="shared" si="80"/>
        <v>851</v>
      </c>
      <c r="P619" s="9"/>
      <c r="Q619" s="42">
        <v>609087</v>
      </c>
      <c r="R619" s="44">
        <f t="shared" si="77"/>
        <v>1593</v>
      </c>
      <c r="S619" s="358"/>
      <c r="T619" s="46">
        <v>9817</v>
      </c>
      <c r="U619" s="166">
        <f t="shared" si="81"/>
        <v>413</v>
      </c>
      <c r="V619" s="40" t="s">
        <v>78</v>
      </c>
      <c r="W619" s="46">
        <v>46057</v>
      </c>
      <c r="X619" s="12">
        <f t="shared" si="83"/>
        <v>28</v>
      </c>
      <c r="Y619" s="40" t="s">
        <v>78</v>
      </c>
      <c r="Z619" s="243"/>
    </row>
    <row r="620" spans="1:26">
      <c r="A620" s="150">
        <v>45149</v>
      </c>
      <c r="B620" s="154" t="s">
        <v>106</v>
      </c>
      <c r="C620" s="46">
        <v>2319825</v>
      </c>
      <c r="D620" s="322">
        <f t="shared" si="85"/>
        <v>2626</v>
      </c>
      <c r="E620" s="40" t="s">
        <v>78</v>
      </c>
      <c r="F620" s="46">
        <v>6532802</v>
      </c>
      <c r="G620" s="273">
        <f t="shared" si="76"/>
        <v>25202</v>
      </c>
      <c r="H620" s="156">
        <f t="shared" si="82"/>
        <v>72.466850828729278</v>
      </c>
      <c r="I620" s="40" t="s">
        <v>78</v>
      </c>
      <c r="J620" s="46">
        <v>3591322</v>
      </c>
      <c r="K620" s="2">
        <f t="shared" si="86"/>
        <v>5384</v>
      </c>
      <c r="L620" s="160">
        <f t="shared" si="84"/>
        <v>39.88148148148148</v>
      </c>
      <c r="M620" s="40" t="s">
        <v>78</v>
      </c>
      <c r="N620" s="45">
        <v>626876</v>
      </c>
      <c r="O620" s="8">
        <f t="shared" si="80"/>
        <v>1003</v>
      </c>
      <c r="P620" s="9"/>
      <c r="Q620" s="42">
        <v>610680</v>
      </c>
      <c r="R620" s="44">
        <f t="shared" si="77"/>
        <v>0</v>
      </c>
      <c r="S620" s="358"/>
      <c r="T620" s="45">
        <v>10230</v>
      </c>
      <c r="U620" s="9">
        <f t="shared" si="81"/>
        <v>0</v>
      </c>
      <c r="V620" s="38"/>
      <c r="W620" s="45">
        <v>46085</v>
      </c>
      <c r="X620" s="8">
        <f t="shared" si="83"/>
        <v>0</v>
      </c>
      <c r="Y620" s="38"/>
      <c r="Z620" s="243"/>
    </row>
    <row r="621" spans="1:26">
      <c r="A621" s="150">
        <v>45150</v>
      </c>
      <c r="B621" s="154" t="s">
        <v>107</v>
      </c>
      <c r="C621" s="45">
        <v>2322451</v>
      </c>
      <c r="D621" s="323">
        <f t="shared" si="85"/>
        <v>0</v>
      </c>
      <c r="E621" s="38"/>
      <c r="F621" s="45">
        <v>6558004</v>
      </c>
      <c r="G621" s="274">
        <f t="shared" si="76"/>
        <v>0</v>
      </c>
      <c r="H621" s="127">
        <f t="shared" si="82"/>
        <v>-4.4060773480662982</v>
      </c>
      <c r="I621" s="38"/>
      <c r="J621" s="45">
        <v>3596706</v>
      </c>
      <c r="K621" s="1">
        <f t="shared" si="86"/>
        <v>0</v>
      </c>
      <c r="L621" s="126">
        <f t="shared" si="84"/>
        <v>0</v>
      </c>
      <c r="M621" s="38"/>
      <c r="N621" s="45">
        <v>627879</v>
      </c>
      <c r="O621" s="8">
        <f t="shared" si="80"/>
        <v>823</v>
      </c>
      <c r="P621" s="9"/>
      <c r="Q621" s="42">
        <v>610680</v>
      </c>
      <c r="R621" s="44">
        <f t="shared" si="77"/>
        <v>0</v>
      </c>
      <c r="S621" s="358"/>
      <c r="T621" s="45">
        <v>10230</v>
      </c>
      <c r="U621" s="9">
        <f t="shared" si="81"/>
        <v>0</v>
      </c>
      <c r="V621" s="38"/>
      <c r="W621" s="45">
        <v>46085</v>
      </c>
      <c r="X621" s="8">
        <f t="shared" si="83"/>
        <v>0</v>
      </c>
      <c r="Y621" s="38"/>
      <c r="Z621" s="243"/>
    </row>
    <row r="622" spans="1:26">
      <c r="A622" s="150">
        <v>45151</v>
      </c>
      <c r="B622" s="154" t="s">
        <v>36</v>
      </c>
      <c r="C622" s="45">
        <v>2322451</v>
      </c>
      <c r="D622" s="323">
        <f t="shared" si="85"/>
        <v>0</v>
      </c>
      <c r="E622" s="38"/>
      <c r="F622" s="45">
        <v>6558004</v>
      </c>
      <c r="G622" s="274">
        <f t="shared" si="76"/>
        <v>0</v>
      </c>
      <c r="H622" s="127">
        <f t="shared" si="82"/>
        <v>-4.4060773480662982</v>
      </c>
      <c r="I622" s="38"/>
      <c r="J622" s="45">
        <v>3596706</v>
      </c>
      <c r="K622" s="1">
        <f t="shared" si="86"/>
        <v>0</v>
      </c>
      <c r="L622" s="126">
        <f t="shared" si="84"/>
        <v>0</v>
      </c>
      <c r="M622" s="38"/>
      <c r="N622" s="45">
        <v>628702</v>
      </c>
      <c r="O622" s="8">
        <f t="shared" si="80"/>
        <v>0</v>
      </c>
      <c r="P622" s="9"/>
      <c r="Q622" s="42">
        <v>610680</v>
      </c>
      <c r="R622" s="44">
        <f t="shared" si="77"/>
        <v>0</v>
      </c>
      <c r="S622" s="358"/>
      <c r="T622" s="45">
        <v>10230</v>
      </c>
      <c r="U622" s="9">
        <f t="shared" si="81"/>
        <v>0</v>
      </c>
      <c r="V622" s="38"/>
      <c r="W622" s="45">
        <v>46085</v>
      </c>
      <c r="X622" s="8">
        <f t="shared" si="83"/>
        <v>0</v>
      </c>
      <c r="Y622" s="38"/>
      <c r="Z622" s="243"/>
    </row>
    <row r="623" spans="1:26">
      <c r="A623" s="150">
        <v>45152</v>
      </c>
      <c r="B623" s="154" t="s">
        <v>108</v>
      </c>
      <c r="C623" s="45">
        <v>2322451</v>
      </c>
      <c r="D623" s="323">
        <f t="shared" si="85"/>
        <v>1245</v>
      </c>
      <c r="E623" s="38"/>
      <c r="F623" s="45">
        <v>6558004</v>
      </c>
      <c r="G623" s="274">
        <f t="shared" si="76"/>
        <v>7742</v>
      </c>
      <c r="H623" s="127">
        <f t="shared" si="82"/>
        <v>20.41988950276243</v>
      </c>
      <c r="I623" s="38"/>
      <c r="J623" s="45">
        <v>3596706</v>
      </c>
      <c r="K623" s="1">
        <f t="shared" si="86"/>
        <v>4758</v>
      </c>
      <c r="L623" s="126">
        <f t="shared" si="84"/>
        <v>35.244444444444447</v>
      </c>
      <c r="M623" s="38"/>
      <c r="N623" s="45">
        <v>628702</v>
      </c>
      <c r="O623" s="8">
        <f t="shared" si="80"/>
        <v>914</v>
      </c>
      <c r="P623" s="9"/>
      <c r="Q623" s="42">
        <v>610680</v>
      </c>
      <c r="R623" s="44">
        <f t="shared" si="77"/>
        <v>0</v>
      </c>
      <c r="S623" s="358"/>
      <c r="T623" s="45">
        <v>10230</v>
      </c>
      <c r="U623" s="9">
        <f t="shared" si="81"/>
        <v>0</v>
      </c>
      <c r="V623" s="38"/>
      <c r="W623" s="45">
        <v>46085</v>
      </c>
      <c r="X623" s="8">
        <f t="shared" si="83"/>
        <v>0</v>
      </c>
      <c r="Y623" s="38"/>
      <c r="Z623" s="243"/>
    </row>
    <row r="624" spans="1:26">
      <c r="A624" s="150">
        <v>45153</v>
      </c>
      <c r="B624" s="154" t="s">
        <v>109</v>
      </c>
      <c r="C624" s="45">
        <v>2323696</v>
      </c>
      <c r="D624" s="323">
        <f t="shared" si="85"/>
        <v>4692</v>
      </c>
      <c r="E624" s="38"/>
      <c r="F624" s="45">
        <v>6565746</v>
      </c>
      <c r="G624" s="274">
        <f t="shared" si="76"/>
        <v>2617</v>
      </c>
      <c r="H624" s="127">
        <f t="shared" si="82"/>
        <v>15.784530386740332</v>
      </c>
      <c r="I624" s="38"/>
      <c r="J624" s="45">
        <v>3601464</v>
      </c>
      <c r="K624" s="1">
        <f t="shared" si="86"/>
        <v>5015</v>
      </c>
      <c r="L624" s="126">
        <f t="shared" si="84"/>
        <v>37.148148148148145</v>
      </c>
      <c r="M624" s="38"/>
      <c r="N624" s="45">
        <v>629616</v>
      </c>
      <c r="O624" s="8">
        <f t="shared" si="80"/>
        <v>876</v>
      </c>
      <c r="P624" s="9"/>
      <c r="Q624" s="42">
        <v>610680</v>
      </c>
      <c r="R624" s="44">
        <f t="shared" si="77"/>
        <v>0</v>
      </c>
      <c r="S624" s="358"/>
      <c r="T624" s="45">
        <v>10230</v>
      </c>
      <c r="U624" s="9">
        <f t="shared" si="81"/>
        <v>0</v>
      </c>
      <c r="V624" s="38"/>
      <c r="W624" s="45">
        <v>46085</v>
      </c>
      <c r="X624" s="8">
        <f t="shared" si="83"/>
        <v>0</v>
      </c>
      <c r="Y624" s="38"/>
      <c r="Z624" s="243"/>
    </row>
    <row r="625" spans="1:26">
      <c r="A625" s="150">
        <v>45154</v>
      </c>
      <c r="B625" s="154" t="s">
        <v>110</v>
      </c>
      <c r="C625" s="45">
        <v>2328388</v>
      </c>
      <c r="D625" s="323">
        <f t="shared" si="85"/>
        <v>6500</v>
      </c>
      <c r="E625" s="38"/>
      <c r="F625" s="45">
        <v>6568363</v>
      </c>
      <c r="G625" s="274">
        <f t="shared" si="76"/>
        <v>152</v>
      </c>
      <c r="H625" s="127">
        <f t="shared" si="82"/>
        <v>13.969613259668508</v>
      </c>
      <c r="I625" s="38"/>
      <c r="J625" s="45">
        <v>3606479</v>
      </c>
      <c r="K625" s="1">
        <f t="shared" si="86"/>
        <v>8458</v>
      </c>
      <c r="L625" s="126">
        <f t="shared" si="84"/>
        <v>62.651851851851852</v>
      </c>
      <c r="M625" s="38"/>
      <c r="N625" s="45">
        <v>630492</v>
      </c>
      <c r="O625" s="8">
        <f t="shared" si="80"/>
        <v>892</v>
      </c>
      <c r="P625" s="9"/>
      <c r="Q625" s="42">
        <v>610680</v>
      </c>
      <c r="R625" s="44">
        <f t="shared" si="77"/>
        <v>324</v>
      </c>
      <c r="S625" s="358"/>
      <c r="T625" s="45">
        <v>10230</v>
      </c>
      <c r="U625" s="9">
        <f t="shared" si="81"/>
        <v>0</v>
      </c>
      <c r="V625" s="38"/>
      <c r="W625" s="45">
        <v>46085</v>
      </c>
      <c r="X625" s="8">
        <f t="shared" si="83"/>
        <v>0</v>
      </c>
      <c r="Y625" s="38"/>
      <c r="Z625" s="243"/>
    </row>
    <row r="626" spans="1:26">
      <c r="A626" s="150">
        <v>45155</v>
      </c>
      <c r="B626" s="154" t="s">
        <v>111</v>
      </c>
      <c r="C626" s="45">
        <v>2334888</v>
      </c>
      <c r="D626" s="323">
        <f t="shared" si="85"/>
        <v>13347</v>
      </c>
      <c r="E626" s="38"/>
      <c r="F626" s="45">
        <v>6568515</v>
      </c>
      <c r="G626" s="274">
        <f t="shared" si="76"/>
        <v>139</v>
      </c>
      <c r="H626" s="127">
        <f t="shared" si="82"/>
        <v>32.848066298342545</v>
      </c>
      <c r="I626" s="38"/>
      <c r="J626" s="45">
        <v>3614937</v>
      </c>
      <c r="K626" s="1">
        <f t="shared" si="86"/>
        <v>4880</v>
      </c>
      <c r="L626" s="126">
        <f t="shared" si="84"/>
        <v>36.148148148148145</v>
      </c>
      <c r="M626" s="38"/>
      <c r="N626" s="45">
        <v>631384</v>
      </c>
      <c r="O626" s="8">
        <f t="shared" si="80"/>
        <v>856</v>
      </c>
      <c r="P626" s="9"/>
      <c r="Q626" s="42">
        <v>611004</v>
      </c>
      <c r="R626" s="44">
        <f t="shared" si="77"/>
        <v>994</v>
      </c>
      <c r="S626" s="358"/>
      <c r="T626" s="45">
        <v>10230</v>
      </c>
      <c r="U626" s="9">
        <f t="shared" si="81"/>
        <v>0</v>
      </c>
      <c r="V626" s="38"/>
      <c r="W626" s="45">
        <v>46085</v>
      </c>
      <c r="X626" s="8">
        <f t="shared" si="83"/>
        <v>0</v>
      </c>
      <c r="Y626" s="38"/>
      <c r="Z626" s="243"/>
    </row>
    <row r="627" spans="1:26">
      <c r="A627" s="150">
        <v>45156</v>
      </c>
      <c r="B627" s="154" t="s">
        <v>106</v>
      </c>
      <c r="C627" s="45">
        <v>2348235</v>
      </c>
      <c r="D627" s="323">
        <f t="shared" si="85"/>
        <v>34625</v>
      </c>
      <c r="E627" s="38"/>
      <c r="F627" s="45">
        <v>6568654</v>
      </c>
      <c r="G627" s="274">
        <f t="shared" si="76"/>
        <v>314</v>
      </c>
      <c r="H627" s="127">
        <f t="shared" si="82"/>
        <v>92.110497237569064</v>
      </c>
      <c r="I627" s="38"/>
      <c r="J627" s="45">
        <v>3619817</v>
      </c>
      <c r="K627" s="1">
        <f t="shared" si="86"/>
        <v>5101</v>
      </c>
      <c r="L627" s="126">
        <f t="shared" si="84"/>
        <v>37.785185185185185</v>
      </c>
      <c r="M627" s="38"/>
      <c r="N627" s="45">
        <v>632240</v>
      </c>
      <c r="O627" s="8">
        <f t="shared" si="80"/>
        <v>1441</v>
      </c>
      <c r="P627" s="9"/>
      <c r="Q627" s="42">
        <v>611998</v>
      </c>
      <c r="R627" s="44">
        <f t="shared" si="77"/>
        <v>0</v>
      </c>
      <c r="S627" s="358"/>
      <c r="T627" s="45">
        <v>10230</v>
      </c>
      <c r="U627" s="9">
        <f t="shared" si="81"/>
        <v>0</v>
      </c>
      <c r="V627" s="38"/>
      <c r="W627" s="45">
        <v>46085</v>
      </c>
      <c r="X627" s="8">
        <f t="shared" si="83"/>
        <v>0</v>
      </c>
      <c r="Y627" s="38"/>
      <c r="Z627" s="243"/>
    </row>
    <row r="628" spans="1:26">
      <c r="A628" s="150">
        <v>45157</v>
      </c>
      <c r="B628" s="154" t="s">
        <v>107</v>
      </c>
      <c r="C628" s="45">
        <v>2382860</v>
      </c>
      <c r="D628" s="323">
        <f t="shared" si="85"/>
        <v>0</v>
      </c>
      <c r="E628" s="38"/>
      <c r="F628" s="45">
        <v>6568968</v>
      </c>
      <c r="G628" s="274">
        <f t="shared" si="76"/>
        <v>0</v>
      </c>
      <c r="H628" s="127">
        <f t="shared" si="82"/>
        <v>-4.4060773480662982</v>
      </c>
      <c r="I628" s="38"/>
      <c r="J628" s="45">
        <v>3624918</v>
      </c>
      <c r="K628" s="1">
        <f t="shared" si="86"/>
        <v>0</v>
      </c>
      <c r="L628" s="126">
        <f t="shared" si="84"/>
        <v>0</v>
      </c>
      <c r="M628" s="38"/>
      <c r="N628" s="45">
        <v>633681</v>
      </c>
      <c r="O628" s="8">
        <f t="shared" si="80"/>
        <v>816</v>
      </c>
      <c r="P628" s="9"/>
      <c r="Q628" s="42">
        <v>611998</v>
      </c>
      <c r="R628" s="44">
        <f t="shared" si="77"/>
        <v>0</v>
      </c>
      <c r="S628" s="358"/>
      <c r="T628" s="45">
        <v>10230</v>
      </c>
      <c r="U628" s="9">
        <f t="shared" si="81"/>
        <v>0</v>
      </c>
      <c r="V628" s="38"/>
      <c r="W628" s="45">
        <v>46085</v>
      </c>
      <c r="X628" s="8">
        <f t="shared" si="83"/>
        <v>0</v>
      </c>
      <c r="Y628" s="38"/>
      <c r="Z628" s="243"/>
    </row>
    <row r="629" spans="1:26">
      <c r="A629" s="150">
        <v>45158</v>
      </c>
      <c r="B629" s="154" t="s">
        <v>36</v>
      </c>
      <c r="C629" s="45">
        <v>2382860</v>
      </c>
      <c r="D629" s="323">
        <f t="shared" si="85"/>
        <v>0</v>
      </c>
      <c r="E629" s="38"/>
      <c r="F629" s="45">
        <v>6568968</v>
      </c>
      <c r="G629" s="274">
        <f t="shared" si="76"/>
        <v>0</v>
      </c>
      <c r="H629" s="127">
        <f t="shared" si="82"/>
        <v>-4.4060773480662982</v>
      </c>
      <c r="I629" s="38"/>
      <c r="J629" s="45">
        <v>3624918</v>
      </c>
      <c r="K629" s="1">
        <f t="shared" si="86"/>
        <v>0</v>
      </c>
      <c r="L629" s="126">
        <f t="shared" si="84"/>
        <v>0</v>
      </c>
      <c r="M629" s="38"/>
      <c r="N629" s="45">
        <v>634497</v>
      </c>
      <c r="O629" s="8">
        <f t="shared" si="80"/>
        <v>0</v>
      </c>
      <c r="P629" s="9"/>
      <c r="Q629" s="42">
        <v>611998</v>
      </c>
      <c r="R629" s="44">
        <f t="shared" si="77"/>
        <v>0</v>
      </c>
      <c r="S629" s="358"/>
      <c r="T629" s="45">
        <v>10230</v>
      </c>
      <c r="U629" s="9">
        <f t="shared" si="81"/>
        <v>0</v>
      </c>
      <c r="V629" s="38"/>
      <c r="W629" s="45">
        <v>46085</v>
      </c>
      <c r="X629" s="8">
        <f t="shared" si="83"/>
        <v>0</v>
      </c>
      <c r="Y629" s="38"/>
      <c r="Z629" s="243"/>
    </row>
    <row r="630" spans="1:26">
      <c r="A630" s="150">
        <v>45159</v>
      </c>
      <c r="B630" s="154" t="s">
        <v>108</v>
      </c>
      <c r="C630" s="45">
        <v>2382860</v>
      </c>
      <c r="D630" s="323">
        <f t="shared" si="85"/>
        <v>6561</v>
      </c>
      <c r="E630" s="38"/>
      <c r="F630" s="45">
        <v>6568968</v>
      </c>
      <c r="G630" s="274">
        <f t="shared" si="76"/>
        <v>136</v>
      </c>
      <c r="H630" s="127">
        <f t="shared" si="82"/>
        <v>14.093922651933701</v>
      </c>
      <c r="I630" s="38"/>
      <c r="J630" s="45">
        <v>3624918</v>
      </c>
      <c r="K630" s="1">
        <f t="shared" si="86"/>
        <v>5308</v>
      </c>
      <c r="L630" s="126">
        <f t="shared" si="84"/>
        <v>39.318518518518516</v>
      </c>
      <c r="M630" s="38"/>
      <c r="N630" s="45">
        <v>634497</v>
      </c>
      <c r="O630" s="8">
        <f t="shared" si="80"/>
        <v>1559</v>
      </c>
      <c r="P630" s="9"/>
      <c r="Q630" s="42">
        <v>611998</v>
      </c>
      <c r="R630" s="44">
        <f t="shared" si="77"/>
        <v>246</v>
      </c>
      <c r="S630" s="358"/>
      <c r="T630" s="45">
        <v>10230</v>
      </c>
      <c r="U630" s="9">
        <f t="shared" si="81"/>
        <v>0</v>
      </c>
      <c r="V630" s="38"/>
      <c r="W630" s="45">
        <v>46085</v>
      </c>
      <c r="X630" s="8">
        <f t="shared" si="83"/>
        <v>0</v>
      </c>
      <c r="Y630" s="38"/>
      <c r="Z630" s="243"/>
    </row>
    <row r="631" spans="1:26">
      <c r="A631" s="150">
        <v>45160</v>
      </c>
      <c r="B631" s="154" t="s">
        <v>109</v>
      </c>
      <c r="C631" s="45">
        <v>2389421</v>
      </c>
      <c r="D631" s="323">
        <f t="shared" si="85"/>
        <v>6291</v>
      </c>
      <c r="E631" s="38"/>
      <c r="F631" s="45">
        <v>6569104</v>
      </c>
      <c r="G631" s="274">
        <f t="shared" si="76"/>
        <v>126</v>
      </c>
      <c r="H631" s="127">
        <f t="shared" si="82"/>
        <v>13.320441988950277</v>
      </c>
      <c r="I631" s="38"/>
      <c r="J631" s="45">
        <v>3630226</v>
      </c>
      <c r="K631" s="1">
        <f t="shared" si="86"/>
        <v>5821</v>
      </c>
      <c r="L631" s="126">
        <f t="shared" si="84"/>
        <v>43.11851851851852</v>
      </c>
      <c r="M631" s="38"/>
      <c r="N631" s="45">
        <v>636056</v>
      </c>
      <c r="O631" s="8">
        <f t="shared" si="80"/>
        <v>0</v>
      </c>
      <c r="P631" s="9"/>
      <c r="Q631" s="42">
        <v>612244</v>
      </c>
      <c r="R631" s="44">
        <f t="shared" si="77"/>
        <v>273</v>
      </c>
      <c r="S631" s="358"/>
      <c r="T631" s="45">
        <v>10230</v>
      </c>
      <c r="U631" s="9">
        <f t="shared" si="81"/>
        <v>0</v>
      </c>
      <c r="V631" s="38"/>
      <c r="W631" s="45">
        <v>46085</v>
      </c>
      <c r="X631" s="8">
        <f t="shared" si="83"/>
        <v>0</v>
      </c>
      <c r="Y631" s="38"/>
      <c r="Z631" s="243"/>
    </row>
    <row r="632" spans="1:26">
      <c r="A632" s="150">
        <v>45161</v>
      </c>
      <c r="B632" s="154" t="s">
        <v>110</v>
      </c>
      <c r="C632" s="45">
        <v>2395712</v>
      </c>
      <c r="D632" s="323">
        <f t="shared" si="85"/>
        <v>6180</v>
      </c>
      <c r="E632" s="38"/>
      <c r="F632" s="45">
        <v>6569230</v>
      </c>
      <c r="G632" s="274">
        <f t="shared" si="76"/>
        <v>123</v>
      </c>
      <c r="H632" s="127">
        <f t="shared" si="82"/>
        <v>13.005524861878452</v>
      </c>
      <c r="I632" s="38"/>
      <c r="J632" s="45">
        <v>3636047</v>
      </c>
      <c r="K632" s="1">
        <f t="shared" si="86"/>
        <v>7385</v>
      </c>
      <c r="L632" s="126">
        <f t="shared" si="84"/>
        <v>54.703703703703702</v>
      </c>
      <c r="M632" s="38"/>
      <c r="N632" s="45">
        <v>636056</v>
      </c>
      <c r="O632" s="8">
        <f t="shared" si="80"/>
        <v>842</v>
      </c>
      <c r="P632" s="9"/>
      <c r="Q632" s="42">
        <v>612517</v>
      </c>
      <c r="R632" s="44">
        <f t="shared" si="77"/>
        <v>1531</v>
      </c>
      <c r="S632" s="358"/>
      <c r="T632" s="45">
        <v>10230</v>
      </c>
      <c r="U632" s="9">
        <f t="shared" si="81"/>
        <v>0</v>
      </c>
      <c r="V632" s="38"/>
      <c r="W632" s="45">
        <v>46085</v>
      </c>
      <c r="X632" s="8">
        <f t="shared" si="83"/>
        <v>0</v>
      </c>
      <c r="Y632" s="38"/>
      <c r="Z632" s="243"/>
    </row>
    <row r="633" spans="1:26">
      <c r="A633" s="150">
        <v>45162</v>
      </c>
      <c r="B633" s="154" t="s">
        <v>111</v>
      </c>
      <c r="C633" s="45">
        <v>2401892</v>
      </c>
      <c r="D633" s="323">
        <f t="shared" si="85"/>
        <v>15500</v>
      </c>
      <c r="E633" s="38"/>
      <c r="F633" s="45">
        <v>6569353</v>
      </c>
      <c r="G633" s="274">
        <f t="shared" si="76"/>
        <v>80</v>
      </c>
      <c r="H633" s="127">
        <f t="shared" si="82"/>
        <v>38.632596685082873</v>
      </c>
      <c r="I633" s="38"/>
      <c r="J633" s="45">
        <v>3643432</v>
      </c>
      <c r="K633" s="1">
        <f t="shared" si="86"/>
        <v>5420</v>
      </c>
      <c r="L633" s="126">
        <f t="shared" si="84"/>
        <v>40.148148148148145</v>
      </c>
      <c r="M633" s="38"/>
      <c r="N633" s="45">
        <v>636898</v>
      </c>
      <c r="O633" s="8">
        <f t="shared" si="80"/>
        <v>1018</v>
      </c>
      <c r="P633" s="9"/>
      <c r="Q633" s="42">
        <v>614048</v>
      </c>
      <c r="R633" s="44">
        <f t="shared" ref="R633:R644" si="87">Q634-Q633</f>
        <v>0</v>
      </c>
      <c r="S633" s="358"/>
      <c r="T633" s="45">
        <v>10230</v>
      </c>
      <c r="U633" s="9">
        <f t="shared" si="81"/>
        <v>0</v>
      </c>
      <c r="V633" s="38"/>
      <c r="W633" s="45">
        <v>46085</v>
      </c>
      <c r="X633" s="8">
        <f t="shared" si="83"/>
        <v>0</v>
      </c>
      <c r="Y633" s="38"/>
      <c r="Z633" s="243"/>
    </row>
    <row r="634" spans="1:26">
      <c r="A634" s="150">
        <v>45163</v>
      </c>
      <c r="B634" s="154" t="s">
        <v>106</v>
      </c>
      <c r="C634" s="45">
        <v>2417392</v>
      </c>
      <c r="D634" s="323">
        <f t="shared" si="85"/>
        <v>33192</v>
      </c>
      <c r="E634" s="38"/>
      <c r="F634" s="45">
        <v>6569433</v>
      </c>
      <c r="G634" s="274">
        <f t="shared" si="76"/>
        <v>320</v>
      </c>
      <c r="H634" s="127">
        <f t="shared" si="82"/>
        <v>88.168508287292823</v>
      </c>
      <c r="I634" s="38"/>
      <c r="J634" s="45">
        <v>3648852</v>
      </c>
      <c r="K634" s="1">
        <f t="shared" si="86"/>
        <v>100</v>
      </c>
      <c r="L634" s="126">
        <f t="shared" si="84"/>
        <v>0.7407407407407407</v>
      </c>
      <c r="M634" s="38"/>
      <c r="N634" s="45">
        <v>637916</v>
      </c>
      <c r="O634" s="8">
        <f t="shared" si="80"/>
        <v>839</v>
      </c>
      <c r="P634" s="9"/>
      <c r="Q634" s="42">
        <v>614048</v>
      </c>
      <c r="R634" s="44">
        <f t="shared" si="87"/>
        <v>0</v>
      </c>
      <c r="S634" s="358"/>
      <c r="T634" s="45">
        <v>10230</v>
      </c>
      <c r="U634" s="9">
        <f t="shared" si="81"/>
        <v>0</v>
      </c>
      <c r="V634" s="38"/>
      <c r="W634" s="45">
        <v>46085</v>
      </c>
      <c r="X634" s="8">
        <f t="shared" si="83"/>
        <v>0</v>
      </c>
      <c r="Y634" s="38"/>
      <c r="Z634" s="243"/>
    </row>
    <row r="635" spans="1:26">
      <c r="A635" s="150">
        <v>45164</v>
      </c>
      <c r="B635" s="154" t="s">
        <v>107</v>
      </c>
      <c r="C635" s="45">
        <v>2450584</v>
      </c>
      <c r="D635" s="323">
        <f t="shared" si="85"/>
        <v>0</v>
      </c>
      <c r="E635" s="38"/>
      <c r="F635" s="45">
        <v>6569753</v>
      </c>
      <c r="G635" s="274">
        <f t="shared" ref="G635:G661" si="88">IF(F636&gt;0,F636-F635," ")</f>
        <v>0</v>
      </c>
      <c r="H635" s="127">
        <f t="shared" si="82"/>
        <v>-4.4060773480662982</v>
      </c>
      <c r="I635" s="38"/>
      <c r="J635" s="45">
        <v>3648952</v>
      </c>
      <c r="K635" s="1">
        <f t="shared" si="86"/>
        <v>0</v>
      </c>
      <c r="L635" s="126">
        <f t="shared" si="84"/>
        <v>0</v>
      </c>
      <c r="M635" s="38"/>
      <c r="N635" s="45">
        <v>638755</v>
      </c>
      <c r="O635" s="8">
        <f t="shared" si="80"/>
        <v>821</v>
      </c>
      <c r="P635" s="9"/>
      <c r="Q635" s="42">
        <v>614048</v>
      </c>
      <c r="R635" s="44">
        <f t="shared" si="87"/>
        <v>0</v>
      </c>
      <c r="S635" s="358"/>
      <c r="T635" s="45">
        <v>10230</v>
      </c>
      <c r="U635" s="9">
        <f t="shared" si="81"/>
        <v>0</v>
      </c>
      <c r="V635" s="38"/>
      <c r="W635" s="45">
        <v>46085</v>
      </c>
      <c r="X635" s="8">
        <f t="shared" si="83"/>
        <v>0</v>
      </c>
      <c r="Y635" s="38"/>
      <c r="Z635" s="243"/>
    </row>
    <row r="636" spans="1:26">
      <c r="A636" s="150">
        <v>45165</v>
      </c>
      <c r="B636" s="154" t="s">
        <v>36</v>
      </c>
      <c r="C636" s="45">
        <v>2450584</v>
      </c>
      <c r="D636" s="323">
        <f t="shared" si="85"/>
        <v>0</v>
      </c>
      <c r="E636" s="38"/>
      <c r="F636" s="45">
        <v>6569753</v>
      </c>
      <c r="G636" s="274">
        <f t="shared" si="88"/>
        <v>0</v>
      </c>
      <c r="H636" s="127">
        <f t="shared" si="82"/>
        <v>-4.4060773480662982</v>
      </c>
      <c r="I636" s="38"/>
      <c r="J636" s="45">
        <v>3648952</v>
      </c>
      <c r="K636" s="1">
        <f t="shared" si="86"/>
        <v>0</v>
      </c>
      <c r="L636" s="126">
        <f t="shared" si="84"/>
        <v>0</v>
      </c>
      <c r="M636" s="38"/>
      <c r="N636" s="45">
        <v>639576</v>
      </c>
      <c r="O636" s="8">
        <f t="shared" si="80"/>
        <v>853</v>
      </c>
      <c r="P636" s="9"/>
      <c r="Q636" s="42">
        <v>614048</v>
      </c>
      <c r="R636" s="44">
        <f t="shared" si="87"/>
        <v>0</v>
      </c>
      <c r="S636" s="358"/>
      <c r="T636" s="45">
        <v>10230</v>
      </c>
      <c r="U636" s="9">
        <f t="shared" si="81"/>
        <v>0</v>
      </c>
      <c r="V636" s="38"/>
      <c r="W636" s="45">
        <v>46085</v>
      </c>
      <c r="X636" s="8">
        <f t="shared" si="83"/>
        <v>0</v>
      </c>
      <c r="Y636" s="38"/>
      <c r="Z636" s="243"/>
    </row>
    <row r="637" spans="1:26">
      <c r="A637" s="150">
        <v>45166</v>
      </c>
      <c r="B637" s="154" t="s">
        <v>108</v>
      </c>
      <c r="C637" s="45">
        <v>2450584</v>
      </c>
      <c r="D637" s="323">
        <f t="shared" si="85"/>
        <v>6699</v>
      </c>
      <c r="E637" s="38"/>
      <c r="F637" s="45">
        <v>6569753</v>
      </c>
      <c r="G637" s="274">
        <f t="shared" si="88"/>
        <v>116</v>
      </c>
      <c r="H637" s="127">
        <f t="shared" si="82"/>
        <v>14.41988950276243</v>
      </c>
      <c r="I637" s="38"/>
      <c r="J637" s="45">
        <v>3648952</v>
      </c>
      <c r="K637" s="1">
        <f t="shared" si="86"/>
        <v>10205</v>
      </c>
      <c r="L637" s="126">
        <f t="shared" si="84"/>
        <v>75.592592592592595</v>
      </c>
      <c r="M637" s="38"/>
      <c r="N637" s="45">
        <v>640429</v>
      </c>
      <c r="O637" s="8">
        <f t="shared" si="80"/>
        <v>0</v>
      </c>
      <c r="P637" s="9"/>
      <c r="Q637" s="42">
        <v>614048</v>
      </c>
      <c r="R637" s="44">
        <f t="shared" si="87"/>
        <v>234</v>
      </c>
      <c r="S637" s="358"/>
      <c r="T637" s="45">
        <v>10230</v>
      </c>
      <c r="U637" s="9">
        <f t="shared" si="81"/>
        <v>0</v>
      </c>
      <c r="V637" s="38"/>
      <c r="W637" s="45">
        <v>46085</v>
      </c>
      <c r="X637" s="8">
        <f t="shared" si="83"/>
        <v>0</v>
      </c>
      <c r="Y637" s="38"/>
      <c r="Z637" s="243"/>
    </row>
    <row r="638" spans="1:26">
      <c r="A638" s="150">
        <v>45167</v>
      </c>
      <c r="B638" s="154" t="s">
        <v>109</v>
      </c>
      <c r="C638" s="45">
        <v>2457283</v>
      </c>
      <c r="D638" s="323">
        <f t="shared" si="85"/>
        <v>7443</v>
      </c>
      <c r="E638" s="38"/>
      <c r="F638" s="45">
        <v>6569869</v>
      </c>
      <c r="G638" s="274">
        <f>IF(F639&gt;0,F639-F638," ")</f>
        <v>121</v>
      </c>
      <c r="H638" s="127">
        <f t="shared" si="82"/>
        <v>16.488950276243095</v>
      </c>
      <c r="I638" s="38"/>
      <c r="J638" s="45">
        <v>3659157</v>
      </c>
      <c r="K638" s="1">
        <f t="shared" si="86"/>
        <v>4848</v>
      </c>
      <c r="L638" s="126">
        <f t="shared" si="84"/>
        <v>35.911111111111111</v>
      </c>
      <c r="M638" s="38"/>
      <c r="N638" s="45">
        <v>640429</v>
      </c>
      <c r="O638" s="8">
        <f t="shared" si="80"/>
        <v>1056</v>
      </c>
      <c r="P638" s="9"/>
      <c r="Q638" s="42">
        <v>614282</v>
      </c>
      <c r="R638" s="44">
        <f t="shared" si="87"/>
        <v>582</v>
      </c>
      <c r="S638" s="358"/>
      <c r="T638" s="45">
        <v>10230</v>
      </c>
      <c r="U638" s="9">
        <f t="shared" si="81"/>
        <v>0</v>
      </c>
      <c r="V638" s="38"/>
      <c r="W638" s="45">
        <v>46085</v>
      </c>
      <c r="X638" s="8">
        <f t="shared" si="83"/>
        <v>0</v>
      </c>
      <c r="Y638" s="38"/>
      <c r="Z638" s="243"/>
    </row>
    <row r="639" spans="1:26">
      <c r="A639" s="150">
        <v>45168</v>
      </c>
      <c r="B639" s="154" t="s">
        <v>110</v>
      </c>
      <c r="C639" s="45">
        <v>2464726</v>
      </c>
      <c r="D639" s="323">
        <f t="shared" si="85"/>
        <v>19047</v>
      </c>
      <c r="E639" s="38"/>
      <c r="F639" s="45">
        <v>6569990</v>
      </c>
      <c r="G639" s="274">
        <f t="shared" si="88"/>
        <v>78</v>
      </c>
      <c r="H639" s="127">
        <f t="shared" si="82"/>
        <v>48.425414364640886</v>
      </c>
      <c r="I639" s="38"/>
      <c r="J639" s="45">
        <v>3664005</v>
      </c>
      <c r="K639" s="1">
        <f t="shared" si="86"/>
        <v>5699</v>
      </c>
      <c r="L639" s="126">
        <f t="shared" si="84"/>
        <v>42.214814814814815</v>
      </c>
      <c r="M639" s="38"/>
      <c r="N639" s="45">
        <v>641485</v>
      </c>
      <c r="O639" s="8">
        <f t="shared" si="80"/>
        <v>789</v>
      </c>
      <c r="P639" s="9"/>
      <c r="Q639" s="42">
        <v>614864</v>
      </c>
      <c r="R639" s="44">
        <f t="shared" si="87"/>
        <v>0</v>
      </c>
      <c r="S639" s="358"/>
      <c r="T639" s="45">
        <v>10230</v>
      </c>
      <c r="U639" s="9">
        <f t="shared" si="81"/>
        <v>0</v>
      </c>
      <c r="V639" s="38"/>
      <c r="W639" s="45">
        <v>46085</v>
      </c>
      <c r="X639" s="8">
        <f t="shared" si="83"/>
        <v>0</v>
      </c>
      <c r="Y639" s="38"/>
      <c r="Z639" s="243"/>
    </row>
    <row r="640" spans="1:26">
      <c r="A640" s="150">
        <v>45169</v>
      </c>
      <c r="B640" s="154" t="s">
        <v>111</v>
      </c>
      <c r="C640" s="45">
        <v>2483773</v>
      </c>
      <c r="D640" s="323">
        <f t="shared" si="85"/>
        <v>14135</v>
      </c>
      <c r="E640" s="38"/>
      <c r="F640" s="45">
        <v>6570068</v>
      </c>
      <c r="G640" s="274">
        <f t="shared" si="88"/>
        <v>113</v>
      </c>
      <c r="H640" s="127">
        <f t="shared" si="82"/>
        <v>34.953038674033152</v>
      </c>
      <c r="I640" s="38"/>
      <c r="J640" s="45">
        <v>3669704</v>
      </c>
      <c r="K640" s="1">
        <f t="shared" si="86"/>
        <v>9844</v>
      </c>
      <c r="L640" s="126">
        <f t="shared" si="84"/>
        <v>72.918518518518525</v>
      </c>
      <c r="M640" s="38"/>
      <c r="N640" s="45">
        <v>642274</v>
      </c>
      <c r="O640" s="8">
        <f t="shared" si="80"/>
        <v>990</v>
      </c>
      <c r="P640" s="9"/>
      <c r="Q640" s="42">
        <v>614864</v>
      </c>
      <c r="R640" s="44">
        <f t="shared" si="87"/>
        <v>453</v>
      </c>
      <c r="S640" s="358"/>
      <c r="T640" s="45">
        <v>10230</v>
      </c>
      <c r="U640" s="9">
        <f t="shared" si="81"/>
        <v>0</v>
      </c>
      <c r="V640" s="38"/>
      <c r="W640" s="45">
        <v>46085</v>
      </c>
      <c r="X640" s="8">
        <f t="shared" si="83"/>
        <v>0</v>
      </c>
      <c r="Y640" s="38"/>
      <c r="Z640" s="243"/>
    </row>
    <row r="641" spans="1:26">
      <c r="A641" s="150">
        <v>45170</v>
      </c>
      <c r="B641" s="154" t="s">
        <v>106</v>
      </c>
      <c r="C641" s="45">
        <v>2497908</v>
      </c>
      <c r="D641" s="323">
        <f t="shared" si="85"/>
        <v>29583</v>
      </c>
      <c r="E641" s="38"/>
      <c r="F641" s="45">
        <v>6570181</v>
      </c>
      <c r="G641" s="274">
        <f t="shared" si="88"/>
        <v>274</v>
      </c>
      <c r="H641" s="127">
        <f t="shared" si="82"/>
        <v>78.071823204419886</v>
      </c>
      <c r="I641" s="38"/>
      <c r="J641" s="45">
        <v>3679548</v>
      </c>
      <c r="K641" s="1">
        <f t="shared" si="86"/>
        <v>4609</v>
      </c>
      <c r="L641" s="126">
        <f t="shared" si="84"/>
        <v>34.140740740740739</v>
      </c>
      <c r="M641" s="38"/>
      <c r="N641" s="45">
        <v>643264</v>
      </c>
      <c r="O641" s="8">
        <f t="shared" si="80"/>
        <v>1005</v>
      </c>
      <c r="P641" s="9"/>
      <c r="Q641" s="42">
        <v>615317</v>
      </c>
      <c r="R641" s="44">
        <f t="shared" si="87"/>
        <v>963</v>
      </c>
      <c r="S641" s="358"/>
      <c r="T641" s="45">
        <v>10230</v>
      </c>
      <c r="U641" s="9">
        <f t="shared" si="81"/>
        <v>0</v>
      </c>
      <c r="V641" s="38"/>
      <c r="W641" s="45">
        <v>46085</v>
      </c>
      <c r="X641" s="8">
        <f t="shared" si="83"/>
        <v>0</v>
      </c>
      <c r="Y641" s="38"/>
      <c r="Z641" s="243"/>
    </row>
    <row r="642" spans="1:26">
      <c r="A642" s="150">
        <v>45171</v>
      </c>
      <c r="B642" s="154" t="s">
        <v>107</v>
      </c>
      <c r="C642" s="45">
        <v>2527491</v>
      </c>
      <c r="D642" s="323">
        <f t="shared" si="85"/>
        <v>0</v>
      </c>
      <c r="E642" s="38"/>
      <c r="F642" s="45">
        <v>6570455</v>
      </c>
      <c r="G642" s="274">
        <f t="shared" si="88"/>
        <v>0</v>
      </c>
      <c r="H642" s="127">
        <f t="shared" si="82"/>
        <v>-4.4060773480662982</v>
      </c>
      <c r="I642" s="38"/>
      <c r="J642" s="45">
        <v>3684157</v>
      </c>
      <c r="K642" s="1">
        <f t="shared" si="86"/>
        <v>0</v>
      </c>
      <c r="L642" s="126">
        <f t="shared" si="84"/>
        <v>0</v>
      </c>
      <c r="M642" s="38"/>
      <c r="N642" s="45">
        <v>644269</v>
      </c>
      <c r="O642" s="8">
        <f t="shared" si="80"/>
        <v>854</v>
      </c>
      <c r="P642" s="9"/>
      <c r="Q642" s="42">
        <v>616280</v>
      </c>
      <c r="R642" s="44">
        <f t="shared" si="87"/>
        <v>0</v>
      </c>
      <c r="S642" s="358"/>
      <c r="T642" s="45">
        <v>10230</v>
      </c>
      <c r="U642" s="9">
        <f t="shared" si="81"/>
        <v>0</v>
      </c>
      <c r="V642" s="38"/>
      <c r="W642" s="45">
        <v>46085</v>
      </c>
      <c r="X642" s="8">
        <f t="shared" si="83"/>
        <v>0</v>
      </c>
      <c r="Y642" s="38"/>
      <c r="Z642" s="243"/>
    </row>
    <row r="643" spans="1:26">
      <c r="A643" s="150">
        <v>45172</v>
      </c>
      <c r="B643" s="154" t="s">
        <v>36</v>
      </c>
      <c r="C643" s="45">
        <v>2527491</v>
      </c>
      <c r="D643" s="323">
        <f t="shared" si="85"/>
        <v>0</v>
      </c>
      <c r="E643" s="38"/>
      <c r="F643" s="45">
        <v>6570455</v>
      </c>
      <c r="G643" s="274">
        <f t="shared" si="88"/>
        <v>0</v>
      </c>
      <c r="H643" s="127">
        <f t="shared" si="82"/>
        <v>-4.4060773480662982</v>
      </c>
      <c r="I643" s="38"/>
      <c r="J643" s="45">
        <v>3684157</v>
      </c>
      <c r="K643" s="1">
        <f t="shared" si="86"/>
        <v>0</v>
      </c>
      <c r="L643" s="126">
        <f t="shared" si="84"/>
        <v>0</v>
      </c>
      <c r="M643" s="38"/>
      <c r="N643" s="45">
        <v>645123</v>
      </c>
      <c r="O643" s="8">
        <f t="shared" ref="O643:O651" si="89">N644-N643</f>
        <v>0</v>
      </c>
      <c r="P643" s="9"/>
      <c r="Q643" s="42">
        <v>616280</v>
      </c>
      <c r="R643" s="44">
        <f t="shared" si="87"/>
        <v>0</v>
      </c>
      <c r="S643" s="358"/>
      <c r="T643" s="45">
        <v>10230</v>
      </c>
      <c r="U643" s="9">
        <f t="shared" si="81"/>
        <v>0</v>
      </c>
      <c r="V643" s="38"/>
      <c r="W643" s="45">
        <v>46085</v>
      </c>
      <c r="X643" s="8">
        <f t="shared" si="83"/>
        <v>0</v>
      </c>
      <c r="Y643" s="38"/>
      <c r="Z643" s="243"/>
    </row>
    <row r="644" spans="1:26">
      <c r="A644" s="150">
        <v>45173</v>
      </c>
      <c r="B644" s="154" t="s">
        <v>108</v>
      </c>
      <c r="C644" s="45">
        <v>2527491</v>
      </c>
      <c r="D644" s="323">
        <f t="shared" si="85"/>
        <v>6364</v>
      </c>
      <c r="E644" s="38"/>
      <c r="F644" s="45">
        <v>6570455</v>
      </c>
      <c r="G644" s="274">
        <f t="shared" si="88"/>
        <v>109</v>
      </c>
      <c r="H644" s="127">
        <f t="shared" si="82"/>
        <v>13.475138121546962</v>
      </c>
      <c r="I644" s="38"/>
      <c r="J644" s="45">
        <v>3684157</v>
      </c>
      <c r="K644" s="1">
        <f t="shared" si="86"/>
        <v>5098</v>
      </c>
      <c r="L644" s="126">
        <f t="shared" si="84"/>
        <v>37.762962962962966</v>
      </c>
      <c r="M644" s="38"/>
      <c r="N644" s="45">
        <v>645123</v>
      </c>
      <c r="O644" s="8">
        <f t="shared" si="89"/>
        <v>772</v>
      </c>
      <c r="P644" s="9"/>
      <c r="Q644" s="42">
        <v>616280</v>
      </c>
      <c r="R644" s="44">
        <f t="shared" si="87"/>
        <v>616</v>
      </c>
      <c r="S644" s="358"/>
      <c r="T644" s="45">
        <v>10230</v>
      </c>
      <c r="U644" s="9">
        <f t="shared" ref="U644:U707" si="90">T645-T644</f>
        <v>5721</v>
      </c>
      <c r="V644" s="38"/>
      <c r="W644" s="45">
        <v>46085</v>
      </c>
      <c r="X644" s="8">
        <f t="shared" si="83"/>
        <v>122</v>
      </c>
      <c r="Y644" s="38"/>
      <c r="Z644" s="243"/>
    </row>
    <row r="645" spans="1:26">
      <c r="A645" s="150">
        <v>45174</v>
      </c>
      <c r="B645" s="154" t="s">
        <v>109</v>
      </c>
      <c r="C645" s="45">
        <v>2533855</v>
      </c>
      <c r="D645" s="323">
        <f t="shared" si="85"/>
        <v>12899</v>
      </c>
      <c r="E645" s="38"/>
      <c r="F645" s="45">
        <v>6570564</v>
      </c>
      <c r="G645" s="274">
        <f t="shared" si="88"/>
        <v>82</v>
      </c>
      <c r="H645" s="127">
        <f t="shared" si="82"/>
        <v>31.453038674033149</v>
      </c>
      <c r="I645" s="38"/>
      <c r="J645" s="45">
        <v>3689255</v>
      </c>
      <c r="K645" s="1">
        <f t="shared" si="86"/>
        <v>4961</v>
      </c>
      <c r="L645" s="126">
        <f t="shared" si="84"/>
        <v>36.748148148148147</v>
      </c>
      <c r="M645" s="38"/>
      <c r="N645" s="45">
        <v>645895</v>
      </c>
      <c r="O645" s="8">
        <f t="shared" si="89"/>
        <v>860</v>
      </c>
      <c r="P645" s="9"/>
      <c r="Q645" s="42">
        <v>616896</v>
      </c>
      <c r="R645" s="44">
        <f>Q646-Q645</f>
        <v>0</v>
      </c>
      <c r="S645" s="358"/>
      <c r="T645" s="45">
        <v>15951</v>
      </c>
      <c r="U645" s="9">
        <f t="shared" si="90"/>
        <v>0</v>
      </c>
      <c r="V645" s="38"/>
      <c r="W645" s="45">
        <v>46207</v>
      </c>
      <c r="X645" s="8">
        <f t="shared" si="83"/>
        <v>0</v>
      </c>
      <c r="Y645" s="38"/>
      <c r="Z645" s="243"/>
    </row>
    <row r="646" spans="1:26">
      <c r="A646" s="150">
        <v>45175</v>
      </c>
      <c r="B646" s="154" t="s">
        <v>110</v>
      </c>
      <c r="C646" s="45">
        <v>2546754</v>
      </c>
      <c r="D646" s="323">
        <f t="shared" si="85"/>
        <v>19759</v>
      </c>
      <c r="E646" s="38"/>
      <c r="F646" s="45">
        <v>6570646</v>
      </c>
      <c r="G646" s="274">
        <f t="shared" si="88"/>
        <v>186</v>
      </c>
      <c r="H646" s="127">
        <f t="shared" si="82"/>
        <v>50.690607734806633</v>
      </c>
      <c r="I646" s="38"/>
      <c r="J646" s="45">
        <v>3694216</v>
      </c>
      <c r="K646" s="1">
        <f t="shared" si="86"/>
        <v>5093</v>
      </c>
      <c r="L646" s="126">
        <f t="shared" si="84"/>
        <v>37.725925925925928</v>
      </c>
      <c r="M646" s="38"/>
      <c r="N646" s="45">
        <v>646755</v>
      </c>
      <c r="O646" s="8">
        <f t="shared" si="89"/>
        <v>1043</v>
      </c>
      <c r="P646" s="365" t="s">
        <v>78</v>
      </c>
      <c r="Q646" s="42">
        <v>616896</v>
      </c>
      <c r="R646" s="44">
        <f t="shared" ref="R646:R670" si="91">Q647-Q646</f>
        <v>675</v>
      </c>
      <c r="S646" s="358"/>
      <c r="T646" s="45">
        <v>15951</v>
      </c>
      <c r="U646" s="9">
        <f t="shared" si="90"/>
        <v>0</v>
      </c>
      <c r="V646" s="38"/>
      <c r="W646" s="45">
        <v>46207</v>
      </c>
      <c r="X646" s="8">
        <f t="shared" si="83"/>
        <v>0</v>
      </c>
      <c r="Y646" s="38"/>
      <c r="Z646" s="243"/>
    </row>
    <row r="647" spans="1:26">
      <c r="A647" s="150">
        <v>45176</v>
      </c>
      <c r="B647" s="154" t="s">
        <v>111</v>
      </c>
      <c r="C647" s="45">
        <v>2566513</v>
      </c>
      <c r="D647" s="323">
        <f t="shared" si="85"/>
        <v>0</v>
      </c>
      <c r="E647" s="38"/>
      <c r="F647" s="45">
        <v>6570832</v>
      </c>
      <c r="G647" s="274">
        <f t="shared" si="88"/>
        <v>0</v>
      </c>
      <c r="H647" s="127">
        <f t="shared" si="82"/>
        <v>-4.4060773480662982</v>
      </c>
      <c r="I647" s="38"/>
      <c r="J647" s="45">
        <v>3699309</v>
      </c>
      <c r="K647" s="1">
        <f t="shared" si="86"/>
        <v>0</v>
      </c>
      <c r="L647" s="126">
        <f t="shared" si="84"/>
        <v>0</v>
      </c>
      <c r="M647" s="38"/>
      <c r="N647" s="46">
        <v>647798</v>
      </c>
      <c r="O647" s="12">
        <f t="shared" si="89"/>
        <v>0</v>
      </c>
      <c r="P647" s="166"/>
      <c r="Q647" s="42">
        <v>617571</v>
      </c>
      <c r="R647" s="44">
        <f t="shared" si="91"/>
        <v>0</v>
      </c>
      <c r="S647" s="358"/>
      <c r="T647" s="45">
        <v>15951</v>
      </c>
      <c r="U647" s="9">
        <f t="shared" si="90"/>
        <v>0</v>
      </c>
      <c r="V647" s="38"/>
      <c r="W647" s="45">
        <v>46207</v>
      </c>
      <c r="X647" s="8">
        <f t="shared" si="83"/>
        <v>0</v>
      </c>
      <c r="Y647" s="38"/>
      <c r="Z647" s="243"/>
    </row>
    <row r="648" spans="1:26">
      <c r="A648" s="150">
        <v>45177</v>
      </c>
      <c r="B648" s="154" t="s">
        <v>106</v>
      </c>
      <c r="C648" s="45">
        <v>2566513</v>
      </c>
      <c r="D648" s="323">
        <f t="shared" si="85"/>
        <v>20107</v>
      </c>
      <c r="E648" s="38"/>
      <c r="F648" s="45">
        <v>6570832</v>
      </c>
      <c r="G648" s="274">
        <f t="shared" si="88"/>
        <v>312</v>
      </c>
      <c r="H648" s="127">
        <f t="shared" si="82"/>
        <v>52</v>
      </c>
      <c r="I648" s="38"/>
      <c r="J648" s="45">
        <v>3699309</v>
      </c>
      <c r="K648" s="1">
        <f t="shared" si="86"/>
        <v>5582</v>
      </c>
      <c r="L648" s="126">
        <f t="shared" si="84"/>
        <v>41.348148148148148</v>
      </c>
      <c r="M648" s="38"/>
      <c r="N648" s="46">
        <v>647798</v>
      </c>
      <c r="O648" s="12">
        <f t="shared" si="89"/>
        <v>277</v>
      </c>
      <c r="P648" s="166"/>
      <c r="Q648" s="42">
        <v>617571</v>
      </c>
      <c r="R648" s="44">
        <f t="shared" si="91"/>
        <v>1105</v>
      </c>
      <c r="S648" s="358"/>
      <c r="T648" s="45">
        <v>15951</v>
      </c>
      <c r="U648" s="9">
        <f t="shared" si="90"/>
        <v>0</v>
      </c>
      <c r="V648" s="38"/>
      <c r="W648" s="45">
        <v>46207</v>
      </c>
      <c r="X648" s="8">
        <f t="shared" si="83"/>
        <v>0</v>
      </c>
      <c r="Y648" s="38"/>
      <c r="Z648" s="243"/>
    </row>
    <row r="649" spans="1:26">
      <c r="A649" s="150">
        <v>45178</v>
      </c>
      <c r="B649" s="154" t="s">
        <v>107</v>
      </c>
      <c r="C649" s="45">
        <v>2586620</v>
      </c>
      <c r="D649" s="323">
        <f t="shared" si="85"/>
        <v>0</v>
      </c>
      <c r="E649" s="38"/>
      <c r="F649" s="45">
        <v>6571144</v>
      </c>
      <c r="G649" s="274">
        <f t="shared" si="88"/>
        <v>0</v>
      </c>
      <c r="H649" s="127">
        <f t="shared" si="82"/>
        <v>-4.4060773480662982</v>
      </c>
      <c r="I649" s="38"/>
      <c r="J649" s="45">
        <v>3704891</v>
      </c>
      <c r="K649" s="1">
        <f t="shared" si="86"/>
        <v>0</v>
      </c>
      <c r="L649" s="126">
        <f t="shared" si="84"/>
        <v>0</v>
      </c>
      <c r="M649" s="38"/>
      <c r="N649" s="46">
        <v>648075</v>
      </c>
      <c r="O649" s="12">
        <f t="shared" si="89"/>
        <v>0</v>
      </c>
      <c r="P649" s="166"/>
      <c r="Q649" s="42">
        <v>618676</v>
      </c>
      <c r="R649" s="44">
        <f t="shared" si="91"/>
        <v>0</v>
      </c>
      <c r="S649" s="358"/>
      <c r="T649" s="45">
        <v>15951</v>
      </c>
      <c r="U649" s="9">
        <f t="shared" si="90"/>
        <v>0</v>
      </c>
      <c r="V649" s="38"/>
      <c r="W649" s="45">
        <v>46207</v>
      </c>
      <c r="X649" s="8">
        <f t="shared" si="83"/>
        <v>0</v>
      </c>
      <c r="Y649" s="38"/>
      <c r="Z649" s="243"/>
    </row>
    <row r="650" spans="1:26">
      <c r="A650" s="150">
        <v>45179</v>
      </c>
      <c r="B650" s="154" t="s">
        <v>36</v>
      </c>
      <c r="C650" s="45">
        <v>2586620</v>
      </c>
      <c r="D650" s="323">
        <f t="shared" si="85"/>
        <v>0</v>
      </c>
      <c r="E650" s="38"/>
      <c r="F650" s="45">
        <v>6571144</v>
      </c>
      <c r="G650" s="274">
        <f t="shared" si="88"/>
        <v>0</v>
      </c>
      <c r="H650" s="127">
        <f t="shared" si="82"/>
        <v>-4.4060773480662982</v>
      </c>
      <c r="I650" s="38"/>
      <c r="J650" s="45">
        <v>3704891</v>
      </c>
      <c r="K650" s="1">
        <f t="shared" si="86"/>
        <v>0</v>
      </c>
      <c r="L650" s="126">
        <f t="shared" si="84"/>
        <v>0</v>
      </c>
      <c r="M650" s="38"/>
      <c r="N650" s="46">
        <v>648075</v>
      </c>
      <c r="O650" s="12">
        <f t="shared" si="89"/>
        <v>1493</v>
      </c>
      <c r="P650" s="166"/>
      <c r="Q650" s="42">
        <v>618676</v>
      </c>
      <c r="R650" s="44">
        <f t="shared" si="91"/>
        <v>0</v>
      </c>
      <c r="S650" s="358"/>
      <c r="T650" s="45">
        <v>15951</v>
      </c>
      <c r="U650" s="9">
        <f t="shared" si="90"/>
        <v>0</v>
      </c>
      <c r="V650" s="38"/>
      <c r="W650" s="45">
        <v>46207</v>
      </c>
      <c r="X650" s="8">
        <f t="shared" si="83"/>
        <v>0</v>
      </c>
      <c r="Y650" s="38"/>
      <c r="Z650" s="243"/>
    </row>
    <row r="651" spans="1:26">
      <c r="A651" s="150">
        <v>45180</v>
      </c>
      <c r="B651" s="154" t="s">
        <v>108</v>
      </c>
      <c r="C651" s="45">
        <v>2586620</v>
      </c>
      <c r="D651" s="323">
        <f>IF(C652&gt;0,C652-C651," ")</f>
        <v>4934</v>
      </c>
      <c r="E651" s="40" t="s">
        <v>78</v>
      </c>
      <c r="F651" s="45">
        <v>6571144</v>
      </c>
      <c r="G651" s="274">
        <f t="shared" si="88"/>
        <v>73</v>
      </c>
      <c r="H651" s="127">
        <f>(G651+D651-1595)/362</f>
        <v>9.4254143646408846</v>
      </c>
      <c r="I651" s="40" t="s">
        <v>78</v>
      </c>
      <c r="J651" s="45">
        <v>3704891</v>
      </c>
      <c r="K651" s="1">
        <f t="shared" si="86"/>
        <v>8177</v>
      </c>
      <c r="L651" s="126">
        <f>K651/135</f>
        <v>60.57037037037037</v>
      </c>
      <c r="M651" s="40" t="s">
        <v>78</v>
      </c>
      <c r="N651" s="46">
        <v>649568</v>
      </c>
      <c r="O651" s="12">
        <f t="shared" si="89"/>
        <v>1175</v>
      </c>
      <c r="P651" s="166"/>
      <c r="Q651" s="42">
        <v>618676</v>
      </c>
      <c r="R651" s="44">
        <f t="shared" si="91"/>
        <v>369</v>
      </c>
      <c r="S651" s="358"/>
      <c r="T651" s="45">
        <v>15951</v>
      </c>
      <c r="U651" s="9">
        <f t="shared" si="90"/>
        <v>0</v>
      </c>
      <c r="V651" s="38"/>
      <c r="W651" s="45">
        <v>46207</v>
      </c>
      <c r="X651" s="8">
        <f t="shared" si="83"/>
        <v>0</v>
      </c>
      <c r="Y651" s="38"/>
      <c r="Z651" s="243"/>
    </row>
    <row r="652" spans="1:26">
      <c r="A652" s="150">
        <v>45181</v>
      </c>
      <c r="B652" s="154" t="s">
        <v>109</v>
      </c>
      <c r="C652" s="46">
        <v>2591554</v>
      </c>
      <c r="D652" s="322">
        <f t="shared" si="85"/>
        <v>19184</v>
      </c>
      <c r="E652" s="39"/>
      <c r="F652" s="46">
        <v>6571217</v>
      </c>
      <c r="G652" s="273">
        <f t="shared" si="88"/>
        <v>48</v>
      </c>
      <c r="H652" s="156">
        <f t="shared" si="82"/>
        <v>48.72099447513812</v>
      </c>
      <c r="I652" s="39"/>
      <c r="J652" s="46">
        <v>3713068</v>
      </c>
      <c r="K652" s="2">
        <f t="shared" si="86"/>
        <v>5152</v>
      </c>
      <c r="L652" s="160">
        <f t="shared" si="84"/>
        <v>38.162962962962965</v>
      </c>
      <c r="M652" s="39"/>
      <c r="N652" s="46">
        <v>650743</v>
      </c>
      <c r="O652" s="12">
        <f>N653-N652</f>
        <v>474</v>
      </c>
      <c r="P652" s="166"/>
      <c r="Q652" s="42">
        <v>619045</v>
      </c>
      <c r="R652" s="44">
        <f t="shared" si="91"/>
        <v>388</v>
      </c>
      <c r="S652" s="358"/>
      <c r="T652" s="46">
        <v>15951</v>
      </c>
      <c r="U652" s="166">
        <f t="shared" si="90"/>
        <v>0</v>
      </c>
      <c r="V652" s="39"/>
      <c r="W652" s="46">
        <v>46207</v>
      </c>
      <c r="X652" s="12">
        <f t="shared" si="83"/>
        <v>0</v>
      </c>
      <c r="Y652" s="39"/>
      <c r="Z652" s="243"/>
    </row>
    <row r="653" spans="1:26">
      <c r="A653" s="150">
        <v>45182</v>
      </c>
      <c r="B653" s="154" t="s">
        <v>110</v>
      </c>
      <c r="C653" s="46">
        <v>2610738</v>
      </c>
      <c r="D653" s="322">
        <f t="shared" si="85"/>
        <v>9220</v>
      </c>
      <c r="E653" s="39"/>
      <c r="F653" s="46">
        <v>6571265</v>
      </c>
      <c r="G653" s="273">
        <f t="shared" si="88"/>
        <v>78</v>
      </c>
      <c r="H653" s="156">
        <f t="shared" si="82"/>
        <v>21.27900552486188</v>
      </c>
      <c r="I653" s="39"/>
      <c r="J653" s="46">
        <v>3718220</v>
      </c>
      <c r="K653" s="2">
        <f t="shared" si="86"/>
        <v>4762</v>
      </c>
      <c r="L653" s="160">
        <f t="shared" si="84"/>
        <v>35.274074074074072</v>
      </c>
      <c r="M653" s="39"/>
      <c r="N653" s="46">
        <v>651217</v>
      </c>
      <c r="O653" s="12">
        <f>N654-N653</f>
        <v>857</v>
      </c>
      <c r="P653" s="166"/>
      <c r="Q653" s="42">
        <v>619433</v>
      </c>
      <c r="R653" s="44">
        <f t="shared" si="91"/>
        <v>759</v>
      </c>
      <c r="S653" s="358"/>
      <c r="T653" s="46">
        <v>15951</v>
      </c>
      <c r="U653" s="166">
        <f t="shared" si="90"/>
        <v>0</v>
      </c>
      <c r="V653" s="39"/>
      <c r="W653" s="46">
        <v>46207</v>
      </c>
      <c r="X653" s="12">
        <f t="shared" si="83"/>
        <v>0</v>
      </c>
      <c r="Y653" s="39"/>
      <c r="Z653" s="243"/>
    </row>
    <row r="654" spans="1:26">
      <c r="A654" s="150">
        <v>45183</v>
      </c>
      <c r="B654" s="154" t="s">
        <v>111</v>
      </c>
      <c r="C654" s="46">
        <v>2619958</v>
      </c>
      <c r="D654" s="322">
        <f>IF(C655&gt;0,C655-C654," ")</f>
        <v>17254</v>
      </c>
      <c r="E654" s="39"/>
      <c r="F654" s="46">
        <v>6571343</v>
      </c>
      <c r="G654" s="273">
        <f t="shared" si="88"/>
        <v>68</v>
      </c>
      <c r="H654" s="156">
        <f t="shared" si="82"/>
        <v>43.444751381215468</v>
      </c>
      <c r="I654" s="39"/>
      <c r="J654" s="46">
        <v>3722982</v>
      </c>
      <c r="K654" s="2">
        <f t="shared" si="86"/>
        <v>8940</v>
      </c>
      <c r="L654" s="160">
        <f t="shared" si="84"/>
        <v>66.222222222222229</v>
      </c>
      <c r="M654" s="39"/>
      <c r="N654" s="46">
        <v>652074</v>
      </c>
      <c r="O654" s="12">
        <f>N655-N654</f>
        <v>808</v>
      </c>
      <c r="P654" s="166"/>
      <c r="Q654" s="42">
        <v>620192</v>
      </c>
      <c r="R654" s="44">
        <f t="shared" si="91"/>
        <v>0</v>
      </c>
      <c r="S654" s="358"/>
      <c r="T654" s="46">
        <v>15951</v>
      </c>
      <c r="U654" s="166">
        <f t="shared" si="90"/>
        <v>0</v>
      </c>
      <c r="V654" s="39"/>
      <c r="W654" s="46">
        <v>46207</v>
      </c>
      <c r="X654" s="12">
        <f t="shared" si="83"/>
        <v>0</v>
      </c>
      <c r="Y654" s="39"/>
      <c r="Z654" s="243"/>
    </row>
    <row r="655" spans="1:26">
      <c r="A655" s="150">
        <v>45184</v>
      </c>
      <c r="B655" s="154" t="s">
        <v>106</v>
      </c>
      <c r="C655" s="46">
        <v>2637212</v>
      </c>
      <c r="D655" s="322">
        <f t="shared" si="85"/>
        <v>31112</v>
      </c>
      <c r="E655" s="39"/>
      <c r="F655" s="46">
        <v>6571411</v>
      </c>
      <c r="G655" s="273">
        <f t="shared" si="88"/>
        <v>235</v>
      </c>
      <c r="H655" s="156">
        <f t="shared" si="82"/>
        <v>82.187845303867405</v>
      </c>
      <c r="I655" s="39"/>
      <c r="J655" s="46">
        <v>3731922</v>
      </c>
      <c r="K655" s="2">
        <f t="shared" si="86"/>
        <v>4567</v>
      </c>
      <c r="L655" s="160">
        <f t="shared" si="84"/>
        <v>33.829629629629629</v>
      </c>
      <c r="M655" s="39"/>
      <c r="N655" s="46">
        <v>652882</v>
      </c>
      <c r="O655" s="12">
        <f t="shared" ref="O655:O666" si="92">N656-N655</f>
        <v>1669</v>
      </c>
      <c r="P655" s="166"/>
      <c r="Q655" s="42">
        <v>620192</v>
      </c>
      <c r="R655" s="44">
        <f t="shared" si="91"/>
        <v>801</v>
      </c>
      <c r="S655" s="358"/>
      <c r="T655" s="46">
        <v>15951</v>
      </c>
      <c r="U655" s="166">
        <f t="shared" si="90"/>
        <v>0</v>
      </c>
      <c r="V655" s="39"/>
      <c r="W655" s="46">
        <v>46207</v>
      </c>
      <c r="X655" s="12">
        <f t="shared" si="83"/>
        <v>0</v>
      </c>
      <c r="Y655" s="39"/>
      <c r="Z655" s="243"/>
    </row>
    <row r="656" spans="1:26">
      <c r="A656" s="150">
        <v>45185</v>
      </c>
      <c r="B656" s="154" t="s">
        <v>107</v>
      </c>
      <c r="C656" s="46">
        <v>2668324</v>
      </c>
      <c r="D656" s="322">
        <f t="shared" si="85"/>
        <v>0</v>
      </c>
      <c r="E656" s="39"/>
      <c r="F656" s="46">
        <v>6571646</v>
      </c>
      <c r="G656" s="273">
        <f t="shared" si="88"/>
        <v>0</v>
      </c>
      <c r="H656" s="156">
        <f t="shared" ref="H656:H675" si="93">(G656+D656-1595)/362</f>
        <v>-4.4060773480662982</v>
      </c>
      <c r="I656" s="39"/>
      <c r="J656" s="46">
        <v>3736489</v>
      </c>
      <c r="K656" s="2">
        <f t="shared" si="86"/>
        <v>0</v>
      </c>
      <c r="L656" s="160">
        <f t="shared" si="84"/>
        <v>0</v>
      </c>
      <c r="M656" s="39"/>
      <c r="N656" s="46">
        <v>654551</v>
      </c>
      <c r="O656" s="12">
        <f t="shared" si="92"/>
        <v>0</v>
      </c>
      <c r="P656" s="166"/>
      <c r="Q656" s="42">
        <v>620993</v>
      </c>
      <c r="R656" s="44">
        <f t="shared" si="91"/>
        <v>0</v>
      </c>
      <c r="S656" s="358"/>
      <c r="T656" s="46">
        <v>15951</v>
      </c>
      <c r="U656" s="166">
        <f t="shared" si="90"/>
        <v>0</v>
      </c>
      <c r="V656" s="39"/>
      <c r="W656" s="46">
        <v>46207</v>
      </c>
      <c r="X656" s="12">
        <f t="shared" si="83"/>
        <v>0</v>
      </c>
      <c r="Y656" s="39"/>
      <c r="Z656" s="243"/>
    </row>
    <row r="657" spans="1:26">
      <c r="A657" s="150">
        <v>45186</v>
      </c>
      <c r="B657" s="154" t="s">
        <v>36</v>
      </c>
      <c r="C657" s="46">
        <v>2668324</v>
      </c>
      <c r="D657" s="322">
        <f t="shared" si="85"/>
        <v>0</v>
      </c>
      <c r="E657" s="39"/>
      <c r="F657" s="46">
        <v>6571646</v>
      </c>
      <c r="G657" s="273">
        <f t="shared" si="88"/>
        <v>0</v>
      </c>
      <c r="H657" s="156">
        <f t="shared" si="93"/>
        <v>-4.4060773480662982</v>
      </c>
      <c r="I657" s="39"/>
      <c r="J657" s="46">
        <v>3736489</v>
      </c>
      <c r="K657" s="2">
        <f t="shared" si="86"/>
        <v>0</v>
      </c>
      <c r="L657" s="160">
        <f t="shared" si="84"/>
        <v>0</v>
      </c>
      <c r="M657" s="39"/>
      <c r="N657" s="46">
        <v>654551</v>
      </c>
      <c r="O657" s="12">
        <f t="shared" si="92"/>
        <v>0</v>
      </c>
      <c r="P657" s="166"/>
      <c r="Q657" s="42">
        <v>620993</v>
      </c>
      <c r="R657" s="44">
        <f t="shared" si="91"/>
        <v>0</v>
      </c>
      <c r="S657" s="358"/>
      <c r="T657" s="46">
        <v>15951</v>
      </c>
      <c r="U657" s="166">
        <f t="shared" si="90"/>
        <v>0</v>
      </c>
      <c r="V657" s="39"/>
      <c r="W657" s="46">
        <v>46207</v>
      </c>
      <c r="X657" s="12">
        <f t="shared" si="83"/>
        <v>0</v>
      </c>
      <c r="Y657" s="39"/>
      <c r="Z657" s="243"/>
    </row>
    <row r="658" spans="1:26">
      <c r="A658" s="150">
        <v>45187</v>
      </c>
      <c r="B658" s="154" t="s">
        <v>108</v>
      </c>
      <c r="C658" s="46">
        <v>2668324</v>
      </c>
      <c r="D658" s="322">
        <f t="shared" si="85"/>
        <v>6421</v>
      </c>
      <c r="E658" s="39"/>
      <c r="F658" s="46">
        <v>6571646</v>
      </c>
      <c r="G658" s="273">
        <f t="shared" si="88"/>
        <v>89</v>
      </c>
      <c r="H658" s="156">
        <f t="shared" si="93"/>
        <v>13.577348066298342</v>
      </c>
      <c r="I658" s="39"/>
      <c r="J658" s="46">
        <v>3736489</v>
      </c>
      <c r="K658" s="2">
        <f t="shared" si="86"/>
        <v>5182</v>
      </c>
      <c r="L658" s="160">
        <f t="shared" si="84"/>
        <v>38.385185185185186</v>
      </c>
      <c r="M658" s="39"/>
      <c r="N658" s="46">
        <v>654551</v>
      </c>
      <c r="O658" s="12">
        <f t="shared" si="92"/>
        <v>873</v>
      </c>
      <c r="P658" s="166"/>
      <c r="Q658" s="42">
        <v>620993</v>
      </c>
      <c r="R658" s="44">
        <f t="shared" si="91"/>
        <v>5</v>
      </c>
      <c r="S658" s="358"/>
      <c r="T658" s="46">
        <v>15951</v>
      </c>
      <c r="U658" s="166">
        <f t="shared" si="90"/>
        <v>0</v>
      </c>
      <c r="V658" s="39"/>
      <c r="W658" s="46">
        <v>46207</v>
      </c>
      <c r="X658" s="12">
        <f t="shared" si="83"/>
        <v>0</v>
      </c>
      <c r="Y658" s="39"/>
      <c r="Z658" s="243"/>
    </row>
    <row r="659" spans="1:26">
      <c r="A659" s="150">
        <v>45188</v>
      </c>
      <c r="B659" s="154" t="s">
        <v>109</v>
      </c>
      <c r="C659" s="46">
        <v>2674745</v>
      </c>
      <c r="D659" s="322">
        <f t="shared" si="85"/>
        <v>6286</v>
      </c>
      <c r="E659" s="39"/>
      <c r="F659" s="46">
        <v>6571735</v>
      </c>
      <c r="G659" s="273">
        <f t="shared" si="88"/>
        <v>81</v>
      </c>
      <c r="H659" s="156">
        <f t="shared" si="93"/>
        <v>13.182320441988951</v>
      </c>
      <c r="I659" s="39"/>
      <c r="J659" s="46">
        <v>3741671</v>
      </c>
      <c r="K659" s="2">
        <f t="shared" si="86"/>
        <v>9574</v>
      </c>
      <c r="L659" s="160">
        <f t="shared" si="84"/>
        <v>70.918518518518525</v>
      </c>
      <c r="M659" s="39"/>
      <c r="N659" s="46">
        <v>655424</v>
      </c>
      <c r="O659" s="12">
        <f t="shared" si="92"/>
        <v>928</v>
      </c>
      <c r="P659" s="166"/>
      <c r="Q659" s="42">
        <v>620998</v>
      </c>
      <c r="R659" s="44">
        <f t="shared" si="91"/>
        <v>204</v>
      </c>
      <c r="S659" s="358"/>
      <c r="T659" s="46">
        <v>15951</v>
      </c>
      <c r="U659" s="166">
        <f t="shared" si="90"/>
        <v>0</v>
      </c>
      <c r="V659" s="39"/>
      <c r="W659" s="46">
        <v>46207</v>
      </c>
      <c r="X659" s="12">
        <f t="shared" si="83"/>
        <v>0</v>
      </c>
      <c r="Y659" s="39"/>
      <c r="Z659" s="243"/>
    </row>
    <row r="660" spans="1:26">
      <c r="A660" s="150">
        <v>45189</v>
      </c>
      <c r="B660" s="154" t="s">
        <v>110</v>
      </c>
      <c r="C660" s="46">
        <v>2681031</v>
      </c>
      <c r="D660" s="322">
        <f t="shared" si="85"/>
        <v>17196</v>
      </c>
      <c r="E660" s="39"/>
      <c r="F660" s="46">
        <v>6571816</v>
      </c>
      <c r="G660" s="273">
        <f t="shared" si="88"/>
        <v>48</v>
      </c>
      <c r="H660" s="156">
        <f t="shared" si="93"/>
        <v>43.229281767955804</v>
      </c>
      <c r="I660" s="39"/>
      <c r="J660" s="46">
        <v>3751245</v>
      </c>
      <c r="K660" s="2">
        <f t="shared" si="86"/>
        <v>4887</v>
      </c>
      <c r="L660" s="160">
        <f t="shared" si="84"/>
        <v>36.200000000000003</v>
      </c>
      <c r="M660" s="39"/>
      <c r="N660" s="46">
        <v>656352</v>
      </c>
      <c r="O660" s="12">
        <f t="shared" si="92"/>
        <v>895</v>
      </c>
      <c r="P660" s="166"/>
      <c r="Q660" s="42">
        <v>621202</v>
      </c>
      <c r="R660" s="44">
        <f t="shared" si="91"/>
        <v>197</v>
      </c>
      <c r="S660" s="358"/>
      <c r="T660" s="46">
        <v>15951</v>
      </c>
      <c r="U660" s="166">
        <f t="shared" si="90"/>
        <v>0</v>
      </c>
      <c r="V660" s="39"/>
      <c r="W660" s="46">
        <v>46207</v>
      </c>
      <c r="X660" s="12">
        <f t="shared" si="83"/>
        <v>0</v>
      </c>
      <c r="Y660" s="39"/>
      <c r="Z660" s="243"/>
    </row>
    <row r="661" spans="1:26">
      <c r="A661" s="150">
        <v>45190</v>
      </c>
      <c r="B661" s="154" t="s">
        <v>111</v>
      </c>
      <c r="C661" s="46">
        <v>2698227</v>
      </c>
      <c r="D661" s="322">
        <f t="shared" si="85"/>
        <v>15319</v>
      </c>
      <c r="E661" s="39"/>
      <c r="F661" s="46">
        <v>6571864</v>
      </c>
      <c r="G661" s="273">
        <f t="shared" si="88"/>
        <v>88</v>
      </c>
      <c r="H661" s="156">
        <f t="shared" si="93"/>
        <v>38.154696132596683</v>
      </c>
      <c r="I661" s="39"/>
      <c r="J661" s="46">
        <v>3756132</v>
      </c>
      <c r="K661" s="2">
        <f t="shared" si="86"/>
        <v>5229</v>
      </c>
      <c r="L661" s="160">
        <f t="shared" si="84"/>
        <v>38.733333333333334</v>
      </c>
      <c r="M661" s="39"/>
      <c r="N661" s="46">
        <v>657247</v>
      </c>
      <c r="O661" s="12">
        <f t="shared" si="92"/>
        <v>1465</v>
      </c>
      <c r="P661" s="166"/>
      <c r="Q661" s="42">
        <v>621399</v>
      </c>
      <c r="R661" s="44">
        <f t="shared" si="91"/>
        <v>173</v>
      </c>
      <c r="S661" s="358"/>
      <c r="T661" s="46">
        <v>15951</v>
      </c>
      <c r="U661" s="166">
        <f t="shared" si="90"/>
        <v>0</v>
      </c>
      <c r="V661" s="39"/>
      <c r="W661" s="46">
        <v>46207</v>
      </c>
      <c r="X661" s="12">
        <f t="shared" ref="X661:X724" si="94">W662-W661</f>
        <v>0</v>
      </c>
      <c r="Y661" s="39"/>
      <c r="Z661" s="243"/>
    </row>
    <row r="662" spans="1:26">
      <c r="A662" s="150">
        <v>45191</v>
      </c>
      <c r="B662" s="154" t="s">
        <v>106</v>
      </c>
      <c r="C662" s="46">
        <v>2713546</v>
      </c>
      <c r="D662" s="322">
        <f t="shared" si="85"/>
        <v>38193</v>
      </c>
      <c r="E662" s="39"/>
      <c r="F662" s="46">
        <v>6571952</v>
      </c>
      <c r="G662" s="273">
        <f>IF(F663&gt;0,F663-F662," ")</f>
        <v>0</v>
      </c>
      <c r="H662" s="156">
        <f t="shared" si="93"/>
        <v>101.09944751381215</v>
      </c>
      <c r="I662" s="39"/>
      <c r="J662" s="46">
        <v>3761361</v>
      </c>
      <c r="K662" s="2">
        <f t="shared" si="86"/>
        <v>0</v>
      </c>
      <c r="L662" s="160">
        <f t="shared" si="84"/>
        <v>0</v>
      </c>
      <c r="M662" s="39"/>
      <c r="N662" s="46">
        <v>658712</v>
      </c>
      <c r="O662" s="12">
        <f t="shared" si="92"/>
        <v>839</v>
      </c>
      <c r="P662" s="166"/>
      <c r="Q662" s="42">
        <v>621572</v>
      </c>
      <c r="R662" s="44">
        <f t="shared" si="91"/>
        <v>0</v>
      </c>
      <c r="S662" s="358"/>
      <c r="T662" s="46">
        <v>15951</v>
      </c>
      <c r="U662" s="166">
        <f t="shared" si="90"/>
        <v>0</v>
      </c>
      <c r="V662" s="39"/>
      <c r="W662" s="46">
        <v>46207</v>
      </c>
      <c r="X662" s="12">
        <f t="shared" si="94"/>
        <v>0</v>
      </c>
      <c r="Y662" s="39"/>
      <c r="Z662" s="243"/>
    </row>
    <row r="663" spans="1:26">
      <c r="A663" s="150">
        <v>45192</v>
      </c>
      <c r="B663" s="154" t="s">
        <v>107</v>
      </c>
      <c r="C663" s="46">
        <v>2751739</v>
      </c>
      <c r="D663" s="322">
        <f t="shared" si="85"/>
        <v>0</v>
      </c>
      <c r="E663" s="39"/>
      <c r="F663" s="46">
        <v>6571952</v>
      </c>
      <c r="G663" s="273">
        <f t="shared" ref="G663:G722" si="95">IF(F664&gt;0,F664-F663," ")</f>
        <v>0</v>
      </c>
      <c r="H663" s="156">
        <f t="shared" si="93"/>
        <v>-4.4060773480662982</v>
      </c>
      <c r="I663" s="39"/>
      <c r="J663" s="46">
        <v>3761361</v>
      </c>
      <c r="K663" s="2">
        <f t="shared" si="86"/>
        <v>0</v>
      </c>
      <c r="L663" s="160">
        <f t="shared" si="84"/>
        <v>0</v>
      </c>
      <c r="M663" s="39"/>
      <c r="N663" s="46">
        <v>659551</v>
      </c>
      <c r="O663" s="12">
        <f t="shared" si="92"/>
        <v>0</v>
      </c>
      <c r="P663" s="166"/>
      <c r="Q663" s="42">
        <v>621572</v>
      </c>
      <c r="R663" s="44">
        <f t="shared" si="91"/>
        <v>0</v>
      </c>
      <c r="S663" s="358"/>
      <c r="T663" s="46">
        <v>15951</v>
      </c>
      <c r="U663" s="166">
        <f t="shared" si="90"/>
        <v>0</v>
      </c>
      <c r="V663" s="39"/>
      <c r="W663" s="46">
        <v>46207</v>
      </c>
      <c r="X663" s="12">
        <f t="shared" si="94"/>
        <v>0</v>
      </c>
      <c r="Y663" s="39"/>
      <c r="Z663" s="243"/>
    </row>
    <row r="664" spans="1:26">
      <c r="A664" s="150">
        <v>45193</v>
      </c>
      <c r="B664" s="154" t="s">
        <v>36</v>
      </c>
      <c r="C664" s="46">
        <v>2751739</v>
      </c>
      <c r="D664" s="322">
        <f t="shared" si="85"/>
        <v>0</v>
      </c>
      <c r="E664" s="39"/>
      <c r="F664" s="46">
        <v>6571952</v>
      </c>
      <c r="G664" s="273">
        <f t="shared" si="95"/>
        <v>145</v>
      </c>
      <c r="H664" s="156">
        <f t="shared" si="93"/>
        <v>-4.0055248618784534</v>
      </c>
      <c r="I664" s="39"/>
      <c r="J664" s="46">
        <v>3761361</v>
      </c>
      <c r="K664" s="2">
        <f t="shared" si="86"/>
        <v>8949</v>
      </c>
      <c r="L664" s="160">
        <f t="shared" si="84"/>
        <v>66.288888888888891</v>
      </c>
      <c r="M664" s="39"/>
      <c r="N664" s="46">
        <v>659551</v>
      </c>
      <c r="O664" s="12">
        <f t="shared" si="92"/>
        <v>847</v>
      </c>
      <c r="P664" s="166"/>
      <c r="Q664" s="42">
        <v>621572</v>
      </c>
      <c r="R664" s="44">
        <f t="shared" si="91"/>
        <v>312</v>
      </c>
      <c r="S664" s="358"/>
      <c r="T664" s="46">
        <v>15951</v>
      </c>
      <c r="U664" s="166">
        <f t="shared" si="90"/>
        <v>0</v>
      </c>
      <c r="V664" s="39"/>
      <c r="W664" s="46">
        <v>46207</v>
      </c>
      <c r="X664" s="12">
        <f t="shared" si="94"/>
        <v>0</v>
      </c>
      <c r="Y664" s="39"/>
      <c r="Z664" s="243"/>
    </row>
    <row r="665" spans="1:26">
      <c r="A665" s="150">
        <v>45194</v>
      </c>
      <c r="B665" s="154" t="s">
        <v>108</v>
      </c>
      <c r="C665" s="46">
        <v>2751739</v>
      </c>
      <c r="D665" s="322">
        <f t="shared" si="85"/>
        <v>7778</v>
      </c>
      <c r="E665" s="39"/>
      <c r="F665" s="46">
        <v>6572097</v>
      </c>
      <c r="G665" s="273">
        <f t="shared" si="95"/>
        <v>72</v>
      </c>
      <c r="H665" s="156">
        <f t="shared" si="93"/>
        <v>17.27900552486188</v>
      </c>
      <c r="I665" s="39"/>
      <c r="J665" s="46">
        <v>3770310</v>
      </c>
      <c r="K665" s="2">
        <f t="shared" si="86"/>
        <v>4866</v>
      </c>
      <c r="L665" s="160">
        <f t="shared" si="84"/>
        <v>36.044444444444444</v>
      </c>
      <c r="M665" s="39"/>
      <c r="N665" s="46">
        <v>660398</v>
      </c>
      <c r="O665" s="12">
        <f t="shared" si="92"/>
        <v>961</v>
      </c>
      <c r="P665" s="166"/>
      <c r="Q665" s="42">
        <v>621884</v>
      </c>
      <c r="R665" s="44">
        <f t="shared" si="91"/>
        <v>181</v>
      </c>
      <c r="S665" s="358"/>
      <c r="T665" s="46">
        <v>15951</v>
      </c>
      <c r="U665" s="166">
        <f t="shared" si="90"/>
        <v>0</v>
      </c>
      <c r="V665" s="39"/>
      <c r="W665" s="46">
        <v>46207</v>
      </c>
      <c r="X665" s="12">
        <f t="shared" si="94"/>
        <v>0</v>
      </c>
      <c r="Y665" s="39"/>
      <c r="Z665" s="243"/>
    </row>
    <row r="666" spans="1:26">
      <c r="A666" s="150">
        <v>45195</v>
      </c>
      <c r="B666" s="154" t="s">
        <v>109</v>
      </c>
      <c r="C666" s="46">
        <v>2759517</v>
      </c>
      <c r="D666" s="322">
        <f t="shared" si="85"/>
        <v>13986</v>
      </c>
      <c r="E666" s="39"/>
      <c r="F666" s="46">
        <v>6572169</v>
      </c>
      <c r="G666" s="273">
        <f t="shared" si="95"/>
        <v>46</v>
      </c>
      <c r="H666" s="156">
        <f t="shared" si="93"/>
        <v>34.356353591160222</v>
      </c>
      <c r="I666" s="39"/>
      <c r="J666" s="46">
        <v>3775176</v>
      </c>
      <c r="K666" s="2">
        <f t="shared" si="86"/>
        <v>8674</v>
      </c>
      <c r="L666" s="160">
        <f t="shared" si="84"/>
        <v>64.251851851851853</v>
      </c>
      <c r="M666" s="39"/>
      <c r="N666" s="46">
        <v>661359</v>
      </c>
      <c r="O666" s="12">
        <f t="shared" si="92"/>
        <v>1023</v>
      </c>
      <c r="P666" s="166"/>
      <c r="Q666" s="42">
        <v>622065</v>
      </c>
      <c r="R666" s="44">
        <f t="shared" si="91"/>
        <v>168</v>
      </c>
      <c r="S666" s="358"/>
      <c r="T666" s="46">
        <v>15951</v>
      </c>
      <c r="U666" s="166">
        <f t="shared" si="90"/>
        <v>0</v>
      </c>
      <c r="V666" s="39"/>
      <c r="W666" s="46">
        <v>46207</v>
      </c>
      <c r="X666" s="12">
        <f t="shared" si="94"/>
        <v>0</v>
      </c>
      <c r="Y666" s="39"/>
      <c r="Z666" s="243"/>
    </row>
    <row r="667" spans="1:26">
      <c r="A667" s="150">
        <v>45196</v>
      </c>
      <c r="B667" s="154" t="s">
        <v>110</v>
      </c>
      <c r="C667" s="46">
        <v>2773503</v>
      </c>
      <c r="D667" s="322">
        <f t="shared" si="85"/>
        <v>18998</v>
      </c>
      <c r="E667" s="39"/>
      <c r="F667" s="46">
        <v>6572215</v>
      </c>
      <c r="G667" s="273">
        <f t="shared" si="95"/>
        <v>30</v>
      </c>
      <c r="H667" s="156">
        <f t="shared" si="93"/>
        <v>48.157458563535911</v>
      </c>
      <c r="I667" s="39"/>
      <c r="J667" s="46">
        <v>3783850</v>
      </c>
      <c r="K667" s="2">
        <f t="shared" si="86"/>
        <v>4946</v>
      </c>
      <c r="L667" s="160">
        <f t="shared" si="84"/>
        <v>36.63703703703704</v>
      </c>
      <c r="M667" s="39"/>
      <c r="N667" s="46">
        <v>662382</v>
      </c>
      <c r="O667" s="12">
        <f>N668-N667</f>
        <v>958</v>
      </c>
      <c r="P667" s="166"/>
      <c r="Q667" s="42">
        <v>622233</v>
      </c>
      <c r="R667" s="44">
        <f t="shared" si="91"/>
        <v>86</v>
      </c>
      <c r="S667" s="358"/>
      <c r="T667" s="46">
        <v>15951</v>
      </c>
      <c r="U667" s="166">
        <f t="shared" si="90"/>
        <v>0</v>
      </c>
      <c r="V667" s="39"/>
      <c r="W667" s="46">
        <v>46207</v>
      </c>
      <c r="X667" s="12">
        <f t="shared" si="94"/>
        <v>0</v>
      </c>
      <c r="Y667" s="39"/>
      <c r="Z667" s="243"/>
    </row>
    <row r="668" spans="1:26">
      <c r="A668" s="150">
        <v>45197</v>
      </c>
      <c r="B668" s="154" t="s">
        <v>111</v>
      </c>
      <c r="C668" s="46">
        <v>2792501</v>
      </c>
      <c r="D668" s="322">
        <f t="shared" si="85"/>
        <v>7288</v>
      </c>
      <c r="E668" s="39"/>
      <c r="F668" s="46">
        <v>6572245</v>
      </c>
      <c r="G668" s="273">
        <f t="shared" si="95"/>
        <v>57</v>
      </c>
      <c r="H668" s="156">
        <f t="shared" si="93"/>
        <v>15.883977900552486</v>
      </c>
      <c r="I668" s="39"/>
      <c r="J668" s="46">
        <v>3788796</v>
      </c>
      <c r="K668" s="2">
        <f t="shared" si="86"/>
        <v>5231</v>
      </c>
      <c r="L668" s="160">
        <f t="shared" si="84"/>
        <v>38.748148148148147</v>
      </c>
      <c r="M668" s="39"/>
      <c r="N668" s="46">
        <v>663340</v>
      </c>
      <c r="O668" s="12">
        <f>N669-N668</f>
        <v>1013</v>
      </c>
      <c r="P668" s="166"/>
      <c r="Q668" s="42">
        <v>622319</v>
      </c>
      <c r="R668" s="44">
        <f t="shared" si="91"/>
        <v>60</v>
      </c>
      <c r="S668" s="358"/>
      <c r="T668" s="46">
        <v>15951</v>
      </c>
      <c r="U668" s="166">
        <f t="shared" si="90"/>
        <v>0</v>
      </c>
      <c r="V668" s="39"/>
      <c r="W668" s="46">
        <v>46207</v>
      </c>
      <c r="X668" s="12">
        <f t="shared" si="94"/>
        <v>0</v>
      </c>
      <c r="Y668" s="39"/>
      <c r="Z668" s="243"/>
    </row>
    <row r="669" spans="1:26">
      <c r="A669" s="150">
        <v>45198</v>
      </c>
      <c r="B669" s="154" t="s">
        <v>106</v>
      </c>
      <c r="C669" s="46">
        <v>2799789</v>
      </c>
      <c r="D669" s="322">
        <f t="shared" si="85"/>
        <v>17925</v>
      </c>
      <c r="E669" s="39"/>
      <c r="F669" s="46">
        <v>6572302</v>
      </c>
      <c r="G669" s="273">
        <f t="shared" si="95"/>
        <v>21</v>
      </c>
      <c r="H669" s="156">
        <f t="shared" si="93"/>
        <v>45.168508287292816</v>
      </c>
      <c r="I669" s="39"/>
      <c r="J669" s="46">
        <v>3794027</v>
      </c>
      <c r="K669" s="2">
        <f t="shared" si="86"/>
        <v>5322</v>
      </c>
      <c r="L669" s="160">
        <f t="shared" si="84"/>
        <v>39.422222222222224</v>
      </c>
      <c r="M669" s="39"/>
      <c r="N669" s="46">
        <v>664353</v>
      </c>
      <c r="O669" s="12">
        <f t="shared" ref="O669:O688" si="96">N670-N669</f>
        <v>893</v>
      </c>
      <c r="P669" s="166"/>
      <c r="Q669" s="42">
        <v>622379</v>
      </c>
      <c r="R669" s="44">
        <f t="shared" si="91"/>
        <v>210</v>
      </c>
      <c r="S669" s="358"/>
      <c r="T669" s="46">
        <v>15951</v>
      </c>
      <c r="U669" s="166">
        <f t="shared" si="90"/>
        <v>0</v>
      </c>
      <c r="V669" s="39"/>
      <c r="W669" s="46">
        <v>46207</v>
      </c>
      <c r="X669" s="12">
        <f t="shared" si="94"/>
        <v>0</v>
      </c>
      <c r="Y669" s="39"/>
      <c r="Z669" s="243"/>
    </row>
    <row r="670" spans="1:26">
      <c r="A670" s="150">
        <v>45199</v>
      </c>
      <c r="B670" s="154" t="s">
        <v>107</v>
      </c>
      <c r="C670" s="46">
        <v>2817714</v>
      </c>
      <c r="D670" s="322">
        <f t="shared" si="85"/>
        <v>20537</v>
      </c>
      <c r="E670" s="39"/>
      <c r="F670" s="46">
        <v>6572323</v>
      </c>
      <c r="G670" s="273">
        <f t="shared" si="95"/>
        <v>22</v>
      </c>
      <c r="H670" s="156">
        <f t="shared" si="93"/>
        <v>52.386740331491715</v>
      </c>
      <c r="I670" s="39"/>
      <c r="J670" s="46">
        <v>3799349</v>
      </c>
      <c r="K670" s="2">
        <f t="shared" si="86"/>
        <v>0</v>
      </c>
      <c r="L670" s="160">
        <f t="shared" si="84"/>
        <v>0</v>
      </c>
      <c r="M670" s="39"/>
      <c r="N670" s="46">
        <v>665246</v>
      </c>
      <c r="O670" s="12">
        <f t="shared" si="96"/>
        <v>1043</v>
      </c>
      <c r="P670" s="166"/>
      <c r="Q670" s="42">
        <v>622589</v>
      </c>
      <c r="R670" s="44">
        <f t="shared" si="91"/>
        <v>0</v>
      </c>
      <c r="S670" s="358"/>
      <c r="T670" s="46">
        <v>15951</v>
      </c>
      <c r="U670" s="166">
        <f t="shared" si="90"/>
        <v>0</v>
      </c>
      <c r="V670" s="39"/>
      <c r="W670" s="46">
        <v>46207</v>
      </c>
      <c r="X670" s="12">
        <f t="shared" si="94"/>
        <v>0</v>
      </c>
      <c r="Y670" s="39"/>
      <c r="Z670" s="243"/>
    </row>
    <row r="671" spans="1:26">
      <c r="A671" s="150">
        <v>45200</v>
      </c>
      <c r="B671" s="154" t="s">
        <v>36</v>
      </c>
      <c r="C671" s="46">
        <v>2838251</v>
      </c>
      <c r="D671" s="322">
        <f t="shared" si="85"/>
        <v>8559</v>
      </c>
      <c r="E671" s="39"/>
      <c r="F671" s="46">
        <v>6572345</v>
      </c>
      <c r="G671" s="273">
        <f t="shared" si="95"/>
        <v>34</v>
      </c>
      <c r="H671" s="156">
        <f t="shared" si="93"/>
        <v>19.331491712707184</v>
      </c>
      <c r="I671" s="39"/>
      <c r="J671" s="46">
        <v>3799349</v>
      </c>
      <c r="K671" s="2">
        <f t="shared" si="86"/>
        <v>0</v>
      </c>
      <c r="L671" s="160">
        <f t="shared" si="84"/>
        <v>0</v>
      </c>
      <c r="M671" s="39"/>
      <c r="N671" s="46">
        <v>666289</v>
      </c>
      <c r="O671" s="12">
        <f t="shared" si="96"/>
        <v>0</v>
      </c>
      <c r="P671" s="166"/>
      <c r="Q671" s="42">
        <v>622589</v>
      </c>
      <c r="R671" s="44">
        <f>Q672-Q671</f>
        <v>0</v>
      </c>
      <c r="S671" s="358"/>
      <c r="T671" s="46">
        <v>15951</v>
      </c>
      <c r="U671" s="166">
        <f t="shared" si="90"/>
        <v>0</v>
      </c>
      <c r="V671" s="39"/>
      <c r="W671" s="46">
        <v>46207</v>
      </c>
      <c r="X671" s="12">
        <f t="shared" si="94"/>
        <v>0</v>
      </c>
      <c r="Y671" s="39"/>
      <c r="Z671" s="243"/>
    </row>
    <row r="672" spans="1:26">
      <c r="A672" s="150">
        <v>45201</v>
      </c>
      <c r="B672" s="154" t="s">
        <v>108</v>
      </c>
      <c r="C672" s="46">
        <v>2846810</v>
      </c>
      <c r="D672" s="322">
        <f t="shared" si="85"/>
        <v>8416</v>
      </c>
      <c r="E672" s="39"/>
      <c r="F672" s="46">
        <v>6572379</v>
      </c>
      <c r="G672" s="273">
        <f t="shared" si="95"/>
        <v>77</v>
      </c>
      <c r="H672" s="156">
        <f t="shared" si="93"/>
        <v>19.055248618784532</v>
      </c>
      <c r="I672" s="39"/>
      <c r="J672" s="46">
        <v>3799349</v>
      </c>
      <c r="K672" s="2">
        <f t="shared" si="86"/>
        <v>9215</v>
      </c>
      <c r="L672" s="160">
        <f t="shared" si="84"/>
        <v>68.259259259259252</v>
      </c>
      <c r="M672" s="39"/>
      <c r="N672" s="46">
        <v>666289</v>
      </c>
      <c r="O672" s="12">
        <f t="shared" si="96"/>
        <v>831</v>
      </c>
      <c r="P672" s="166"/>
      <c r="Q672" s="42">
        <v>622589</v>
      </c>
      <c r="R672" s="44">
        <f>Q673-Q672</f>
        <v>46</v>
      </c>
      <c r="S672" s="358"/>
      <c r="T672" s="46">
        <v>15951</v>
      </c>
      <c r="U672" s="166">
        <f t="shared" si="90"/>
        <v>0</v>
      </c>
      <c r="V672" s="39"/>
      <c r="W672" s="46">
        <v>46207</v>
      </c>
      <c r="X672" s="12">
        <f t="shared" si="94"/>
        <v>0</v>
      </c>
      <c r="Y672" s="39"/>
      <c r="Z672" s="243"/>
    </row>
    <row r="673" spans="1:26">
      <c r="A673" s="150">
        <v>45202</v>
      </c>
      <c r="B673" s="154" t="s">
        <v>109</v>
      </c>
      <c r="C673" s="46">
        <v>2855226</v>
      </c>
      <c r="D673" s="322">
        <f t="shared" si="85"/>
        <v>5681</v>
      </c>
      <c r="E673" s="39"/>
      <c r="F673" s="46">
        <v>6572456</v>
      </c>
      <c r="G673" s="273">
        <f t="shared" si="95"/>
        <v>56</v>
      </c>
      <c r="H673" s="156">
        <f t="shared" si="93"/>
        <v>11.441988950276244</v>
      </c>
      <c r="I673" s="39"/>
      <c r="J673" s="46">
        <v>3808564</v>
      </c>
      <c r="K673" s="2">
        <f t="shared" si="86"/>
        <v>4742</v>
      </c>
      <c r="L673" s="160">
        <f t="shared" ref="L673:L739" si="97">K673/135</f>
        <v>35.125925925925927</v>
      </c>
      <c r="M673" s="39"/>
      <c r="N673" s="46">
        <v>667120</v>
      </c>
      <c r="O673" s="12">
        <f t="shared" si="96"/>
        <v>898</v>
      </c>
      <c r="P673" s="166"/>
      <c r="Q673" s="42">
        <v>622635</v>
      </c>
      <c r="R673" s="44">
        <f>Q674-Q673</f>
        <v>114</v>
      </c>
      <c r="S673" s="358"/>
      <c r="T673" s="46">
        <v>15951</v>
      </c>
      <c r="U673" s="166">
        <f t="shared" si="90"/>
        <v>0</v>
      </c>
      <c r="V673" s="39"/>
      <c r="W673" s="46">
        <v>46207</v>
      </c>
      <c r="X673" s="12">
        <f t="shared" si="94"/>
        <v>0</v>
      </c>
      <c r="Y673" s="39"/>
      <c r="Z673" s="243"/>
    </row>
    <row r="674" spans="1:26">
      <c r="A674" s="150">
        <v>45203</v>
      </c>
      <c r="B674" s="154" t="s">
        <v>110</v>
      </c>
      <c r="C674" s="46">
        <v>2860907</v>
      </c>
      <c r="D674" s="322">
        <f t="shared" si="85"/>
        <v>11730</v>
      </c>
      <c r="E674" s="39"/>
      <c r="F674" s="46">
        <v>6572512</v>
      </c>
      <c r="G674" s="273">
        <f t="shared" si="95"/>
        <v>79</v>
      </c>
      <c r="H674" s="156">
        <f t="shared" si="93"/>
        <v>28.215469613259668</v>
      </c>
      <c r="I674" s="39"/>
      <c r="J674" s="46">
        <v>3813306</v>
      </c>
      <c r="K674" s="2">
        <f t="shared" si="86"/>
        <v>4822</v>
      </c>
      <c r="L674" s="160">
        <f t="shared" si="97"/>
        <v>35.718518518518522</v>
      </c>
      <c r="M674" s="39"/>
      <c r="N674" s="46">
        <v>668018</v>
      </c>
      <c r="O674" s="12">
        <f t="shared" si="96"/>
        <v>880</v>
      </c>
      <c r="P674" s="166"/>
      <c r="Q674" s="42">
        <v>622749</v>
      </c>
      <c r="R674" s="44">
        <f>Q675-Q674</f>
        <v>183</v>
      </c>
      <c r="S674" s="358"/>
      <c r="T674" s="46">
        <v>15951</v>
      </c>
      <c r="U674" s="166">
        <f t="shared" si="90"/>
        <v>0</v>
      </c>
      <c r="V674" s="39"/>
      <c r="W674" s="46">
        <v>46207</v>
      </c>
      <c r="X674" s="12">
        <f t="shared" si="94"/>
        <v>0</v>
      </c>
      <c r="Y674" s="39"/>
      <c r="Z674" s="243"/>
    </row>
    <row r="675" spans="1:26">
      <c r="A675" s="150">
        <v>45204</v>
      </c>
      <c r="B675" s="154" t="s">
        <v>111</v>
      </c>
      <c r="C675" s="46">
        <v>2872637</v>
      </c>
      <c r="D675" s="322">
        <f t="shared" si="85"/>
        <v>13089</v>
      </c>
      <c r="E675" s="39"/>
      <c r="F675" s="46">
        <v>6572591</v>
      </c>
      <c r="G675" s="273">
        <f t="shared" si="95"/>
        <v>75</v>
      </c>
      <c r="H675" s="156">
        <f t="shared" si="93"/>
        <v>31.958563535911601</v>
      </c>
      <c r="I675" s="39"/>
      <c r="J675" s="46">
        <v>3818128</v>
      </c>
      <c r="K675" s="2">
        <f t="shared" si="86"/>
        <v>5944</v>
      </c>
      <c r="L675" s="160">
        <f t="shared" si="97"/>
        <v>44.029629629629632</v>
      </c>
      <c r="M675" s="39"/>
      <c r="N675" s="46">
        <v>668898</v>
      </c>
      <c r="O675" s="12">
        <f t="shared" si="96"/>
        <v>873</v>
      </c>
      <c r="P675" s="365" t="s">
        <v>78</v>
      </c>
      <c r="Q675" s="42">
        <v>622932</v>
      </c>
      <c r="R675" s="44">
        <f>Q676-Q675</f>
        <v>90</v>
      </c>
      <c r="S675" s="358"/>
      <c r="T675" s="46">
        <v>15951</v>
      </c>
      <c r="U675" s="166">
        <f t="shared" si="90"/>
        <v>0</v>
      </c>
      <c r="V675" s="39"/>
      <c r="W675" s="46">
        <v>46207</v>
      </c>
      <c r="X675" s="12">
        <f t="shared" si="94"/>
        <v>0</v>
      </c>
      <c r="Y675" s="39"/>
      <c r="Z675" s="243"/>
    </row>
    <row r="676" spans="1:26">
      <c r="A676" s="150">
        <v>45205</v>
      </c>
      <c r="B676" s="154" t="s">
        <v>106</v>
      </c>
      <c r="C676" s="46">
        <v>2885726</v>
      </c>
      <c r="D676" s="322">
        <f t="shared" si="85"/>
        <v>12549</v>
      </c>
      <c r="E676" s="39"/>
      <c r="F676" s="46">
        <v>6572666</v>
      </c>
      <c r="G676" s="273">
        <f t="shared" si="95"/>
        <v>80</v>
      </c>
      <c r="H676" s="156">
        <f t="shared" ref="H676:H693" si="98">(G676+D676-1595)/362</f>
        <v>30.480662983425415</v>
      </c>
      <c r="I676" s="39"/>
      <c r="J676" s="46">
        <v>3824072</v>
      </c>
      <c r="K676" s="2">
        <f t="shared" si="86"/>
        <v>8080</v>
      </c>
      <c r="L676" s="160">
        <f t="shared" si="97"/>
        <v>59.851851851851855</v>
      </c>
      <c r="M676" s="39"/>
      <c r="N676" s="227">
        <v>669771</v>
      </c>
      <c r="O676" s="232">
        <f t="shared" si="96"/>
        <v>977</v>
      </c>
      <c r="P676" s="233"/>
      <c r="Q676" s="42">
        <v>623022</v>
      </c>
      <c r="R676" s="44">
        <f t="shared" ref="R676:R739" si="99">Q677-Q676</f>
        <v>307</v>
      </c>
      <c r="S676" s="358"/>
      <c r="T676" s="46">
        <v>15951</v>
      </c>
      <c r="U676" s="166">
        <f t="shared" si="90"/>
        <v>0</v>
      </c>
      <c r="V676" s="39"/>
      <c r="W676" s="46">
        <v>46207</v>
      </c>
      <c r="X676" s="12">
        <f t="shared" si="94"/>
        <v>0</v>
      </c>
      <c r="Y676" s="39"/>
      <c r="Z676" s="243"/>
    </row>
    <row r="677" spans="1:26">
      <c r="A677" s="150">
        <v>45206</v>
      </c>
      <c r="B677" s="154" t="s">
        <v>107</v>
      </c>
      <c r="C677" s="46">
        <v>2898275</v>
      </c>
      <c r="D677" s="322">
        <f t="shared" si="85"/>
        <v>11910</v>
      </c>
      <c r="E677" s="39"/>
      <c r="F677" s="46">
        <v>6572746</v>
      </c>
      <c r="G677" s="273">
        <f t="shared" si="95"/>
        <v>89</v>
      </c>
      <c r="H677" s="156">
        <f t="shared" si="98"/>
        <v>28.740331491712706</v>
      </c>
      <c r="I677" s="39"/>
      <c r="J677" s="46">
        <v>3832152</v>
      </c>
      <c r="K677" s="2">
        <f t="shared" si="86"/>
        <v>0</v>
      </c>
      <c r="L677" s="160">
        <f t="shared" si="97"/>
        <v>0</v>
      </c>
      <c r="M677" s="39"/>
      <c r="N677" s="227">
        <v>670748</v>
      </c>
      <c r="O677" s="232">
        <f t="shared" si="96"/>
        <v>938</v>
      </c>
      <c r="P677" s="233"/>
      <c r="Q677" s="42">
        <v>623329</v>
      </c>
      <c r="R677" s="44">
        <f t="shared" si="99"/>
        <v>0</v>
      </c>
      <c r="S677" s="358"/>
      <c r="T677" s="46">
        <v>15951</v>
      </c>
      <c r="U677" s="166">
        <f t="shared" si="90"/>
        <v>0</v>
      </c>
      <c r="V677" s="39"/>
      <c r="W677" s="46">
        <v>46207</v>
      </c>
      <c r="X677" s="12">
        <f t="shared" si="94"/>
        <v>0</v>
      </c>
      <c r="Y677" s="39"/>
      <c r="Z677" s="243"/>
    </row>
    <row r="678" spans="1:26">
      <c r="A678" s="150">
        <v>45207</v>
      </c>
      <c r="B678" s="154" t="s">
        <v>36</v>
      </c>
      <c r="C678" s="46">
        <v>2910185</v>
      </c>
      <c r="D678" s="322">
        <f t="shared" si="85"/>
        <v>5150</v>
      </c>
      <c r="E678" s="39"/>
      <c r="F678" s="46">
        <v>6572835</v>
      </c>
      <c r="G678" s="273">
        <f t="shared" si="95"/>
        <v>37</v>
      </c>
      <c r="H678" s="156">
        <f t="shared" si="98"/>
        <v>9.9226519337016583</v>
      </c>
      <c r="I678" s="39"/>
      <c r="J678" s="46">
        <v>3832152</v>
      </c>
      <c r="K678" s="2">
        <f t="shared" ref="K678:K745" si="100">IF(J679&gt;0,J679-J678," ")</f>
        <v>0</v>
      </c>
      <c r="L678" s="160">
        <f t="shared" si="97"/>
        <v>0</v>
      </c>
      <c r="M678" s="39"/>
      <c r="N678" s="227">
        <v>671686</v>
      </c>
      <c r="O678" s="232">
        <f t="shared" si="96"/>
        <v>0</v>
      </c>
      <c r="P678" s="233"/>
      <c r="Q678" s="42">
        <v>623329</v>
      </c>
      <c r="R678" s="44">
        <f t="shared" si="99"/>
        <v>0</v>
      </c>
      <c r="S678" s="358"/>
      <c r="T678" s="46">
        <v>15951</v>
      </c>
      <c r="U678" s="166">
        <f t="shared" si="90"/>
        <v>0</v>
      </c>
      <c r="V678" s="39"/>
      <c r="W678" s="46">
        <v>46207</v>
      </c>
      <c r="X678" s="12">
        <f t="shared" si="94"/>
        <v>0</v>
      </c>
      <c r="Y678" s="39"/>
      <c r="Z678" s="243"/>
    </row>
    <row r="679" spans="1:26">
      <c r="A679" s="150">
        <v>45208</v>
      </c>
      <c r="B679" s="154" t="s">
        <v>108</v>
      </c>
      <c r="C679" s="46">
        <v>2915335</v>
      </c>
      <c r="D679" s="322">
        <f t="shared" si="85"/>
        <v>12369</v>
      </c>
      <c r="E679" s="39"/>
      <c r="F679" s="46">
        <v>6572872</v>
      </c>
      <c r="G679" s="273">
        <f t="shared" si="95"/>
        <v>68</v>
      </c>
      <c r="H679" s="156">
        <f t="shared" si="98"/>
        <v>29.950276243093924</v>
      </c>
      <c r="I679" s="39"/>
      <c r="J679" s="46">
        <v>3832152</v>
      </c>
      <c r="K679" s="2">
        <f t="shared" si="100"/>
        <v>5758</v>
      </c>
      <c r="L679" s="160">
        <f t="shared" si="97"/>
        <v>42.651851851851852</v>
      </c>
      <c r="M679" s="39"/>
      <c r="N679" s="227">
        <v>671686</v>
      </c>
      <c r="O679" s="232">
        <f t="shared" si="96"/>
        <v>789</v>
      </c>
      <c r="P679" s="233"/>
      <c r="Q679" s="42">
        <v>623329</v>
      </c>
      <c r="R679" s="44">
        <f t="shared" si="99"/>
        <v>165</v>
      </c>
      <c r="S679" s="358"/>
      <c r="T679" s="46">
        <v>15951</v>
      </c>
      <c r="U679" s="166">
        <f t="shared" si="90"/>
        <v>0</v>
      </c>
      <c r="V679" s="39"/>
      <c r="W679" s="46">
        <v>46207</v>
      </c>
      <c r="X679" s="12">
        <f t="shared" si="94"/>
        <v>0</v>
      </c>
      <c r="Y679" s="39"/>
      <c r="Z679" s="243"/>
    </row>
    <row r="680" spans="1:26">
      <c r="A680" s="150">
        <v>45209</v>
      </c>
      <c r="B680" s="154" t="s">
        <v>109</v>
      </c>
      <c r="C680" s="46">
        <v>2927704</v>
      </c>
      <c r="D680" s="322">
        <f t="shared" si="85"/>
        <v>12492</v>
      </c>
      <c r="E680" s="39"/>
      <c r="F680" s="46">
        <v>6572940</v>
      </c>
      <c r="G680" s="273">
        <f t="shared" si="95"/>
        <v>65</v>
      </c>
      <c r="H680" s="156">
        <f t="shared" si="98"/>
        <v>30.281767955801104</v>
      </c>
      <c r="I680" s="39"/>
      <c r="J680" s="46">
        <v>3837910</v>
      </c>
      <c r="K680" s="2">
        <f t="shared" si="100"/>
        <v>5431</v>
      </c>
      <c r="L680" s="160">
        <f t="shared" si="97"/>
        <v>40.229629629629628</v>
      </c>
      <c r="M680" s="39"/>
      <c r="N680" s="227">
        <v>672475</v>
      </c>
      <c r="O680" s="232">
        <f t="shared" si="96"/>
        <v>937</v>
      </c>
      <c r="P680" s="233"/>
      <c r="Q680" s="42">
        <v>623494</v>
      </c>
      <c r="R680" s="44">
        <f t="shared" si="99"/>
        <v>133</v>
      </c>
      <c r="S680" s="358"/>
      <c r="T680" s="46">
        <v>15951</v>
      </c>
      <c r="U680" s="166">
        <f t="shared" si="90"/>
        <v>0</v>
      </c>
      <c r="V680" s="39"/>
      <c r="W680" s="46">
        <v>46207</v>
      </c>
      <c r="X680" s="12">
        <f t="shared" si="94"/>
        <v>0</v>
      </c>
      <c r="Y680" s="39"/>
      <c r="Z680" s="243"/>
    </row>
    <row r="681" spans="1:26">
      <c r="A681" s="150">
        <v>45210</v>
      </c>
      <c r="B681" s="154" t="s">
        <v>110</v>
      </c>
      <c r="C681" s="46">
        <v>2940196</v>
      </c>
      <c r="D681" s="322">
        <f t="shared" si="85"/>
        <v>14210</v>
      </c>
      <c r="E681" s="39"/>
      <c r="F681" s="46">
        <v>6573005</v>
      </c>
      <c r="G681" s="273">
        <f t="shared" si="95"/>
        <v>75</v>
      </c>
      <c r="H681" s="156">
        <f t="shared" si="98"/>
        <v>35.055248618784532</v>
      </c>
      <c r="I681" s="39"/>
      <c r="J681" s="46">
        <v>3843341</v>
      </c>
      <c r="K681" s="2">
        <f t="shared" si="100"/>
        <v>18934</v>
      </c>
      <c r="L681" s="160">
        <f t="shared" si="97"/>
        <v>140.25185185185185</v>
      </c>
      <c r="M681" s="39"/>
      <c r="N681" s="227">
        <v>673412</v>
      </c>
      <c r="O681" s="232">
        <f t="shared" si="96"/>
        <v>1703</v>
      </c>
      <c r="P681" s="233"/>
      <c r="Q681" s="42">
        <v>623627</v>
      </c>
      <c r="R681" s="44">
        <f t="shared" si="99"/>
        <v>218</v>
      </c>
      <c r="S681" s="358"/>
      <c r="T681" s="46">
        <v>15951</v>
      </c>
      <c r="U681" s="166">
        <f t="shared" si="90"/>
        <v>0</v>
      </c>
      <c r="V681" s="39"/>
      <c r="W681" s="46">
        <v>46207</v>
      </c>
      <c r="X681" s="12">
        <f t="shared" si="94"/>
        <v>0</v>
      </c>
      <c r="Y681" s="39"/>
      <c r="Z681" s="243"/>
    </row>
    <row r="682" spans="1:26">
      <c r="A682" s="150">
        <v>45211</v>
      </c>
      <c r="B682" s="154" t="s">
        <v>111</v>
      </c>
      <c r="C682" s="46">
        <v>2954406</v>
      </c>
      <c r="D682" s="322">
        <f t="shared" si="85"/>
        <v>8394</v>
      </c>
      <c r="E682" s="40" t="s">
        <v>78</v>
      </c>
      <c r="F682" s="46">
        <v>6573080</v>
      </c>
      <c r="G682" s="273">
        <f t="shared" si="95"/>
        <v>54</v>
      </c>
      <c r="H682" s="156">
        <f t="shared" si="98"/>
        <v>18.930939226519335</v>
      </c>
      <c r="I682" s="40" t="s">
        <v>78</v>
      </c>
      <c r="J682" s="46">
        <v>3862275</v>
      </c>
      <c r="K682" s="2">
        <f t="shared" si="100"/>
        <v>0</v>
      </c>
      <c r="L682" s="160">
        <f t="shared" si="97"/>
        <v>0</v>
      </c>
      <c r="M682" s="40" t="s">
        <v>78</v>
      </c>
      <c r="N682" s="227">
        <v>675115</v>
      </c>
      <c r="O682" s="232">
        <f t="shared" si="96"/>
        <v>0</v>
      </c>
      <c r="P682" s="233"/>
      <c r="Q682" s="42">
        <v>623845</v>
      </c>
      <c r="R682" s="44">
        <f t="shared" si="99"/>
        <v>0</v>
      </c>
      <c r="S682" s="358"/>
      <c r="T682" s="46">
        <v>15951</v>
      </c>
      <c r="U682" s="166">
        <f t="shared" si="90"/>
        <v>0</v>
      </c>
      <c r="V682" s="39"/>
      <c r="W682" s="46">
        <v>46207</v>
      </c>
      <c r="X682" s="12">
        <f t="shared" si="94"/>
        <v>0</v>
      </c>
      <c r="Y682" s="39"/>
      <c r="Z682" s="243"/>
    </row>
    <row r="683" spans="1:26">
      <c r="A683" s="150">
        <v>45212</v>
      </c>
      <c r="B683" s="154" t="s">
        <v>106</v>
      </c>
      <c r="C683" s="227">
        <v>2962800</v>
      </c>
      <c r="D683" s="324">
        <f t="shared" si="85"/>
        <v>9946</v>
      </c>
      <c r="E683" s="228"/>
      <c r="F683" s="227">
        <v>6573134</v>
      </c>
      <c r="G683" s="275">
        <f t="shared" si="95"/>
        <v>53</v>
      </c>
      <c r="H683" s="230">
        <f t="shared" si="98"/>
        <v>23.215469613259668</v>
      </c>
      <c r="I683" s="228"/>
      <c r="J683" s="227">
        <v>3862275</v>
      </c>
      <c r="K683" s="229">
        <f t="shared" si="100"/>
        <v>0</v>
      </c>
      <c r="L683" s="231">
        <f t="shared" si="97"/>
        <v>0</v>
      </c>
      <c r="M683" s="228"/>
      <c r="N683" s="227">
        <v>675115</v>
      </c>
      <c r="O683" s="232">
        <f t="shared" si="96"/>
        <v>860</v>
      </c>
      <c r="P683" s="233"/>
      <c r="Q683" s="42">
        <v>623845</v>
      </c>
      <c r="R683" s="44">
        <f t="shared" si="99"/>
        <v>413</v>
      </c>
      <c r="S683" s="358"/>
      <c r="T683" s="42">
        <v>15951</v>
      </c>
      <c r="U683" s="44">
        <f t="shared" si="90"/>
        <v>0</v>
      </c>
      <c r="V683" s="41"/>
      <c r="W683" s="42">
        <v>46207</v>
      </c>
      <c r="X683" s="3">
        <f t="shared" si="94"/>
        <v>0</v>
      </c>
      <c r="Y683" s="41"/>
      <c r="Z683" s="243"/>
    </row>
    <row r="684" spans="1:26">
      <c r="A684" s="150">
        <v>45213</v>
      </c>
      <c r="B684" s="154" t="s">
        <v>107</v>
      </c>
      <c r="C684" s="227">
        <v>2972746</v>
      </c>
      <c r="D684" s="324">
        <f t="shared" si="85"/>
        <v>1879</v>
      </c>
      <c r="E684" s="228"/>
      <c r="F684" s="227">
        <v>6573187</v>
      </c>
      <c r="G684" s="275">
        <f t="shared" si="95"/>
        <v>0</v>
      </c>
      <c r="H684" s="230">
        <f t="shared" si="98"/>
        <v>0.78453038674033149</v>
      </c>
      <c r="I684" s="228"/>
      <c r="J684" s="227">
        <v>3862275</v>
      </c>
      <c r="K684" s="229">
        <f t="shared" si="100"/>
        <v>0</v>
      </c>
      <c r="L684" s="231">
        <f t="shared" si="97"/>
        <v>0</v>
      </c>
      <c r="M684" s="228"/>
      <c r="N684" s="227">
        <v>675975</v>
      </c>
      <c r="O684" s="232">
        <f t="shared" si="96"/>
        <v>0</v>
      </c>
      <c r="P684" s="233"/>
      <c r="Q684" s="42">
        <v>624258</v>
      </c>
      <c r="R684" s="44">
        <f t="shared" si="99"/>
        <v>0</v>
      </c>
      <c r="S684" s="358"/>
      <c r="T684" s="42">
        <v>15951</v>
      </c>
      <c r="U684" s="44">
        <f t="shared" si="90"/>
        <v>0</v>
      </c>
      <c r="V684" s="41"/>
      <c r="W684" s="42">
        <v>46207</v>
      </c>
      <c r="X684" s="3">
        <f t="shared" si="94"/>
        <v>0</v>
      </c>
      <c r="Y684" s="41"/>
      <c r="Z684" s="243"/>
    </row>
    <row r="685" spans="1:26">
      <c r="A685" s="150">
        <v>45214</v>
      </c>
      <c r="B685" s="154" t="s">
        <v>36</v>
      </c>
      <c r="C685" s="227">
        <v>2974625</v>
      </c>
      <c r="D685" s="324">
        <f t="shared" si="85"/>
        <v>0</v>
      </c>
      <c r="E685" s="228"/>
      <c r="F685" s="227">
        <v>6573187</v>
      </c>
      <c r="G685" s="275">
        <f t="shared" si="95"/>
        <v>0</v>
      </c>
      <c r="H685" s="230">
        <f t="shared" si="98"/>
        <v>-4.4060773480662982</v>
      </c>
      <c r="I685" s="228"/>
      <c r="J685" s="227">
        <v>3862275</v>
      </c>
      <c r="K685" s="229">
        <f t="shared" si="100"/>
        <v>0</v>
      </c>
      <c r="L685" s="231">
        <f t="shared" si="97"/>
        <v>0</v>
      </c>
      <c r="M685" s="228"/>
      <c r="N685" s="227">
        <v>675975</v>
      </c>
      <c r="O685" s="232">
        <f t="shared" si="96"/>
        <v>0</v>
      </c>
      <c r="P685" s="233"/>
      <c r="Q685" s="42">
        <v>624258</v>
      </c>
      <c r="R685" s="44">
        <f t="shared" si="99"/>
        <v>0</v>
      </c>
      <c r="S685" s="358"/>
      <c r="T685" s="42">
        <v>15951</v>
      </c>
      <c r="U685" s="44">
        <f t="shared" si="90"/>
        <v>0</v>
      </c>
      <c r="V685" s="41"/>
      <c r="W685" s="42">
        <v>46207</v>
      </c>
      <c r="X685" s="3">
        <f t="shared" si="94"/>
        <v>0</v>
      </c>
      <c r="Y685" s="41"/>
      <c r="Z685" s="243"/>
    </row>
    <row r="686" spans="1:26">
      <c r="A686" s="150">
        <v>45215</v>
      </c>
      <c r="B686" s="154" t="s">
        <v>108</v>
      </c>
      <c r="C686" s="227">
        <v>2974625</v>
      </c>
      <c r="D686" s="324">
        <f t="shared" ref="D686:D693" si="101">IF(C687&gt;0,C687-C686," ")</f>
        <v>10938</v>
      </c>
      <c r="E686" s="228"/>
      <c r="F686" s="227">
        <v>6573187</v>
      </c>
      <c r="G686" s="275">
        <f t="shared" si="95"/>
        <v>47</v>
      </c>
      <c r="H686" s="230">
        <f t="shared" si="98"/>
        <v>25.939226519337016</v>
      </c>
      <c r="I686" s="228"/>
      <c r="J686" s="227">
        <v>3862275</v>
      </c>
      <c r="K686" s="229">
        <f t="shared" si="100"/>
        <v>0</v>
      </c>
      <c r="L686" s="231">
        <f t="shared" si="97"/>
        <v>0</v>
      </c>
      <c r="M686" s="228"/>
      <c r="N686" s="227">
        <v>675975</v>
      </c>
      <c r="O686" s="232">
        <f t="shared" si="96"/>
        <v>977</v>
      </c>
      <c r="P686" s="233"/>
      <c r="Q686" s="42">
        <v>624258</v>
      </c>
      <c r="R686" s="44">
        <f t="shared" si="99"/>
        <v>169</v>
      </c>
      <c r="S686" s="358"/>
      <c r="T686" s="42">
        <v>15951</v>
      </c>
      <c r="U686" s="44">
        <f t="shared" si="90"/>
        <v>0</v>
      </c>
      <c r="V686" s="41"/>
      <c r="W686" s="42">
        <v>46207</v>
      </c>
      <c r="X686" s="3">
        <f t="shared" si="94"/>
        <v>0</v>
      </c>
      <c r="Y686" s="41"/>
      <c r="Z686" s="243"/>
    </row>
    <row r="687" spans="1:26">
      <c r="A687" s="150">
        <v>45216</v>
      </c>
      <c r="B687" s="154" t="s">
        <v>109</v>
      </c>
      <c r="C687" s="227">
        <v>2985563</v>
      </c>
      <c r="D687" s="324">
        <f t="shared" si="101"/>
        <v>11680</v>
      </c>
      <c r="E687" s="228"/>
      <c r="F687" s="227">
        <v>6573234</v>
      </c>
      <c r="G687" s="275">
        <f t="shared" si="95"/>
        <v>77</v>
      </c>
      <c r="H687" s="230">
        <f t="shared" si="98"/>
        <v>28.071823204419889</v>
      </c>
      <c r="I687" s="228"/>
      <c r="J687" s="227">
        <v>3862275</v>
      </c>
      <c r="K687" s="229">
        <f t="shared" si="100"/>
        <v>5029</v>
      </c>
      <c r="L687" s="231">
        <f t="shared" si="97"/>
        <v>37.251851851851853</v>
      </c>
      <c r="M687" s="228"/>
      <c r="N687" s="227">
        <v>676952</v>
      </c>
      <c r="O687" s="232">
        <f t="shared" si="96"/>
        <v>752</v>
      </c>
      <c r="P687" s="233"/>
      <c r="Q687" s="42">
        <v>624427</v>
      </c>
      <c r="R687" s="44">
        <f t="shared" si="99"/>
        <v>137</v>
      </c>
      <c r="S687" s="358"/>
      <c r="T687" s="42">
        <v>15951</v>
      </c>
      <c r="U687" s="44">
        <f t="shared" si="90"/>
        <v>0</v>
      </c>
      <c r="V687" s="41"/>
      <c r="W687" s="42">
        <v>46207</v>
      </c>
      <c r="X687" s="3">
        <f t="shared" si="94"/>
        <v>0</v>
      </c>
      <c r="Y687" s="41"/>
      <c r="Z687" s="243"/>
    </row>
    <row r="688" spans="1:26">
      <c r="A688" s="150">
        <v>45217</v>
      </c>
      <c r="B688" s="154" t="s">
        <v>110</v>
      </c>
      <c r="C688" s="227">
        <v>2997243</v>
      </c>
      <c r="D688" s="324">
        <f t="shared" si="101"/>
        <v>3287</v>
      </c>
      <c r="E688" s="228"/>
      <c r="F688" s="227">
        <v>6573311</v>
      </c>
      <c r="G688" s="275">
        <f t="shared" si="95"/>
        <v>8726</v>
      </c>
      <c r="H688" s="230">
        <f t="shared" si="98"/>
        <v>28.77900552486188</v>
      </c>
      <c r="I688" s="228"/>
      <c r="J688" s="227">
        <v>3867304</v>
      </c>
      <c r="K688" s="229">
        <f t="shared" si="100"/>
        <v>5462</v>
      </c>
      <c r="L688" s="231">
        <f t="shared" si="97"/>
        <v>40.459259259259262</v>
      </c>
      <c r="M688" s="228"/>
      <c r="N688" s="227">
        <v>677704</v>
      </c>
      <c r="O688" s="232">
        <f t="shared" si="96"/>
        <v>878</v>
      </c>
      <c r="P688" s="233"/>
      <c r="Q688" s="42">
        <v>624564</v>
      </c>
      <c r="R688" s="44">
        <f t="shared" si="99"/>
        <v>113</v>
      </c>
      <c r="S688" s="358"/>
      <c r="T688" s="42">
        <v>15951</v>
      </c>
      <c r="U688" s="44">
        <f t="shared" si="90"/>
        <v>0</v>
      </c>
      <c r="V688" s="41"/>
      <c r="W688" s="42">
        <v>46207</v>
      </c>
      <c r="X688" s="3">
        <f t="shared" si="94"/>
        <v>0</v>
      </c>
      <c r="Y688" s="41"/>
      <c r="Z688" s="243"/>
    </row>
    <row r="689" spans="1:26">
      <c r="A689" s="150">
        <v>45218</v>
      </c>
      <c r="B689" s="154" t="s">
        <v>111</v>
      </c>
      <c r="C689" s="227">
        <v>3000530</v>
      </c>
      <c r="D689" s="324">
        <f t="shared" si="101"/>
        <v>2087</v>
      </c>
      <c r="E689" s="228"/>
      <c r="F689" s="227">
        <v>6582037</v>
      </c>
      <c r="G689" s="275">
        <f t="shared" si="95"/>
        <v>10857</v>
      </c>
      <c r="H689" s="230">
        <f t="shared" si="98"/>
        <v>31.350828729281769</v>
      </c>
      <c r="I689" s="228"/>
      <c r="J689" s="227">
        <v>3872766</v>
      </c>
      <c r="K689" s="229">
        <f t="shared" si="100"/>
        <v>5350</v>
      </c>
      <c r="L689" s="231">
        <f t="shared" si="97"/>
        <v>39.629629629629626</v>
      </c>
      <c r="M689" s="228"/>
      <c r="N689" s="227">
        <v>678582</v>
      </c>
      <c r="O689" s="232">
        <f>N690-N689</f>
        <v>932</v>
      </c>
      <c r="P689" s="233"/>
      <c r="Q689" s="42">
        <v>624677</v>
      </c>
      <c r="R689" s="44">
        <f t="shared" si="99"/>
        <v>110</v>
      </c>
      <c r="S689" s="358"/>
      <c r="T689" s="42">
        <v>15951</v>
      </c>
      <c r="U689" s="44">
        <f t="shared" si="90"/>
        <v>0</v>
      </c>
      <c r="V689" s="41"/>
      <c r="W689" s="42">
        <v>46207</v>
      </c>
      <c r="X689" s="3">
        <f t="shared" si="94"/>
        <v>0</v>
      </c>
      <c r="Y689" s="41"/>
      <c r="Z689" s="243"/>
    </row>
    <row r="690" spans="1:26">
      <c r="A690" s="150">
        <v>45219</v>
      </c>
      <c r="B690" s="154" t="s">
        <v>106</v>
      </c>
      <c r="C690" s="227">
        <v>3002617</v>
      </c>
      <c r="D690" s="324">
        <f t="shared" si="101"/>
        <v>1178</v>
      </c>
      <c r="E690" s="228"/>
      <c r="F690" s="227">
        <v>6592894</v>
      </c>
      <c r="G690" s="275">
        <f t="shared" si="95"/>
        <v>10030</v>
      </c>
      <c r="H690" s="230">
        <f t="shared" si="98"/>
        <v>26.555248618784532</v>
      </c>
      <c r="I690" s="228"/>
      <c r="J690" s="227">
        <v>3878116</v>
      </c>
      <c r="K690" s="229">
        <f t="shared" si="100"/>
        <v>0</v>
      </c>
      <c r="L690" s="231">
        <f t="shared" si="97"/>
        <v>0</v>
      </c>
      <c r="M690" s="228"/>
      <c r="N690" s="227">
        <v>679514</v>
      </c>
      <c r="O690" s="232">
        <f>N691-N690</f>
        <v>1574</v>
      </c>
      <c r="P690" s="233"/>
      <c r="Q690" s="42">
        <v>624787</v>
      </c>
      <c r="R690" s="44">
        <f t="shared" si="99"/>
        <v>0</v>
      </c>
      <c r="S690" s="358"/>
      <c r="T690" s="42">
        <v>15951</v>
      </c>
      <c r="U690" s="44">
        <f t="shared" si="90"/>
        <v>0</v>
      </c>
      <c r="V690" s="41"/>
      <c r="W690" s="42">
        <v>46207</v>
      </c>
      <c r="X690" s="3">
        <f t="shared" si="94"/>
        <v>0</v>
      </c>
      <c r="Y690" s="41"/>
      <c r="Z690" s="243"/>
    </row>
    <row r="691" spans="1:26">
      <c r="A691" s="150">
        <v>45220</v>
      </c>
      <c r="B691" s="154" t="s">
        <v>107</v>
      </c>
      <c r="C691" s="227">
        <v>3003795</v>
      </c>
      <c r="D691" s="324">
        <f t="shared" si="101"/>
        <v>579</v>
      </c>
      <c r="E691" s="228"/>
      <c r="F691" s="227">
        <v>6602924</v>
      </c>
      <c r="G691" s="275">
        <f t="shared" si="95"/>
        <v>8088</v>
      </c>
      <c r="H691" s="230">
        <f t="shared" si="98"/>
        <v>19.535911602209946</v>
      </c>
      <c r="I691" s="228"/>
      <c r="J691" s="227">
        <v>3878116</v>
      </c>
      <c r="K691" s="229">
        <f t="shared" si="100"/>
        <v>0</v>
      </c>
      <c r="L691" s="231">
        <f t="shared" si="97"/>
        <v>0</v>
      </c>
      <c r="M691" s="228"/>
      <c r="N691" s="227">
        <v>681088</v>
      </c>
      <c r="O691" s="232">
        <f t="shared" ref="O691:O754" si="102">N692-N691</f>
        <v>0</v>
      </c>
      <c r="P691" s="233"/>
      <c r="Q691" s="42">
        <v>624787</v>
      </c>
      <c r="R691" s="44">
        <f t="shared" si="99"/>
        <v>0</v>
      </c>
      <c r="S691" s="358"/>
      <c r="T691" s="42">
        <v>15951</v>
      </c>
      <c r="U691" s="44">
        <f t="shared" si="90"/>
        <v>0</v>
      </c>
      <c r="V691" s="41"/>
      <c r="W691" s="42">
        <v>46207</v>
      </c>
      <c r="X691" s="3">
        <f t="shared" si="94"/>
        <v>0</v>
      </c>
      <c r="Y691" s="41"/>
      <c r="Z691" s="243"/>
    </row>
    <row r="692" spans="1:26">
      <c r="A692" s="150">
        <v>45221</v>
      </c>
      <c r="B692" s="154" t="s">
        <v>36</v>
      </c>
      <c r="C692" s="227">
        <v>3004374</v>
      </c>
      <c r="D692" s="324">
        <f t="shared" si="101"/>
        <v>226</v>
      </c>
      <c r="E692" s="228"/>
      <c r="F692" s="227">
        <v>6611012</v>
      </c>
      <c r="G692" s="275">
        <f t="shared" si="95"/>
        <v>6103</v>
      </c>
      <c r="H692" s="230">
        <f t="shared" si="98"/>
        <v>13.077348066298342</v>
      </c>
      <c r="I692" s="228"/>
      <c r="J692" s="227">
        <v>3878116</v>
      </c>
      <c r="K692" s="229">
        <f t="shared" si="100"/>
        <v>6674</v>
      </c>
      <c r="L692" s="231">
        <f t="shared" si="97"/>
        <v>49.437037037037037</v>
      </c>
      <c r="M692" s="228"/>
      <c r="N692" s="227">
        <v>681088</v>
      </c>
      <c r="O692" s="232">
        <f t="shared" si="102"/>
        <v>724</v>
      </c>
      <c r="P692" s="233"/>
      <c r="Q692" s="42">
        <v>624787</v>
      </c>
      <c r="R692" s="44">
        <f t="shared" si="99"/>
        <v>216</v>
      </c>
      <c r="S692" s="358"/>
      <c r="T692" s="42">
        <v>15951</v>
      </c>
      <c r="U692" s="44">
        <f t="shared" si="90"/>
        <v>0</v>
      </c>
      <c r="V692" s="41"/>
      <c r="W692" s="42">
        <v>46207</v>
      </c>
      <c r="X692" s="3">
        <f t="shared" si="94"/>
        <v>0</v>
      </c>
      <c r="Y692" s="41"/>
      <c r="Z692" s="243"/>
    </row>
    <row r="693" spans="1:26">
      <c r="A693" s="150">
        <v>45222</v>
      </c>
      <c r="B693" s="154" t="s">
        <v>108</v>
      </c>
      <c r="C693" s="227">
        <v>3004600</v>
      </c>
      <c r="D693" s="324">
        <f t="shared" si="101"/>
        <v>455</v>
      </c>
      <c r="E693" s="228"/>
      <c r="F693" s="227">
        <v>6617115</v>
      </c>
      <c r="G693" s="275">
        <f t="shared" si="95"/>
        <v>7839</v>
      </c>
      <c r="H693" s="230">
        <f t="shared" si="98"/>
        <v>18.505524861878452</v>
      </c>
      <c r="I693" s="228"/>
      <c r="J693" s="227">
        <v>3884790</v>
      </c>
      <c r="K693" s="229">
        <f t="shared" si="100"/>
        <v>5496</v>
      </c>
      <c r="L693" s="231">
        <f t="shared" si="97"/>
        <v>40.711111111111109</v>
      </c>
      <c r="M693" s="228"/>
      <c r="N693" s="227">
        <v>681812</v>
      </c>
      <c r="O693" s="232">
        <f t="shared" si="102"/>
        <v>893</v>
      </c>
      <c r="P693" s="233"/>
      <c r="Q693" s="42">
        <v>625003</v>
      </c>
      <c r="R693" s="44">
        <f t="shared" si="99"/>
        <v>181</v>
      </c>
      <c r="S693" s="358"/>
      <c r="T693" s="42">
        <v>15951</v>
      </c>
      <c r="U693" s="44">
        <f t="shared" si="90"/>
        <v>0</v>
      </c>
      <c r="V693" s="41"/>
      <c r="W693" s="42">
        <v>46207</v>
      </c>
      <c r="X693" s="3">
        <f t="shared" si="94"/>
        <v>0</v>
      </c>
      <c r="Y693" s="41"/>
      <c r="Z693" s="243"/>
    </row>
    <row r="694" spans="1:26">
      <c r="A694" s="150">
        <v>45223</v>
      </c>
      <c r="B694" s="154" t="s">
        <v>109</v>
      </c>
      <c r="C694" s="227">
        <v>3005055</v>
      </c>
      <c r="D694" s="324">
        <f>IF(C695&gt;0,C695-C694," ")</f>
        <v>640</v>
      </c>
      <c r="E694" s="228"/>
      <c r="F694" s="227">
        <v>6624954</v>
      </c>
      <c r="G694" s="275">
        <f t="shared" si="95"/>
        <v>8076</v>
      </c>
      <c r="H694" s="230">
        <f t="shared" ref="H694:H700" si="103">(G694+D694-1595)/362</f>
        <v>19.671270718232044</v>
      </c>
      <c r="I694" s="228"/>
      <c r="J694" s="227">
        <v>3890286</v>
      </c>
      <c r="K694" s="229">
        <f t="shared" si="100"/>
        <v>5027</v>
      </c>
      <c r="L694" s="231">
        <f t="shared" si="97"/>
        <v>37.237037037037034</v>
      </c>
      <c r="M694" s="228"/>
      <c r="N694" s="227">
        <v>682705</v>
      </c>
      <c r="O694" s="232">
        <f t="shared" si="102"/>
        <v>778</v>
      </c>
      <c r="P694" s="233"/>
      <c r="Q694" s="42">
        <v>625184</v>
      </c>
      <c r="R694" s="44">
        <f t="shared" si="99"/>
        <v>133</v>
      </c>
      <c r="S694" s="358"/>
      <c r="T694" s="42">
        <v>15951</v>
      </c>
      <c r="U694" s="44">
        <f t="shared" si="90"/>
        <v>0</v>
      </c>
      <c r="V694" s="41"/>
      <c r="W694" s="42">
        <v>46207</v>
      </c>
      <c r="X694" s="3">
        <f t="shared" si="94"/>
        <v>0</v>
      </c>
      <c r="Y694" s="41"/>
      <c r="Z694" s="243"/>
    </row>
    <row r="695" spans="1:26">
      <c r="A695" s="150">
        <v>45224</v>
      </c>
      <c r="B695" s="154" t="s">
        <v>110</v>
      </c>
      <c r="C695" s="227">
        <v>3005695</v>
      </c>
      <c r="D695" s="324">
        <f t="shared" ref="D695:D758" si="104">IF(C696&gt;0,C696-C695," ")</f>
        <v>1185</v>
      </c>
      <c r="E695" s="228"/>
      <c r="F695" s="227">
        <v>6633030</v>
      </c>
      <c r="G695" s="275">
        <f t="shared" si="95"/>
        <v>9738</v>
      </c>
      <c r="H695" s="230">
        <f t="shared" si="103"/>
        <v>25.767955801104971</v>
      </c>
      <c r="I695" s="228"/>
      <c r="J695" s="227">
        <v>3895313</v>
      </c>
      <c r="K695" s="229">
        <f t="shared" si="100"/>
        <v>9975</v>
      </c>
      <c r="L695" s="231">
        <f t="shared" si="97"/>
        <v>73.888888888888886</v>
      </c>
      <c r="M695" s="228"/>
      <c r="N695" s="227">
        <v>683483</v>
      </c>
      <c r="O695" s="232">
        <f t="shared" si="102"/>
        <v>772</v>
      </c>
      <c r="P695" s="233"/>
      <c r="Q695" s="42">
        <v>625317</v>
      </c>
      <c r="R695" s="44">
        <f t="shared" si="99"/>
        <v>102</v>
      </c>
      <c r="S695" s="358"/>
      <c r="T695" s="42">
        <v>15951</v>
      </c>
      <c r="U695" s="44">
        <f t="shared" si="90"/>
        <v>0</v>
      </c>
      <c r="V695" s="41"/>
      <c r="W695" s="42">
        <v>46207</v>
      </c>
      <c r="X695" s="3">
        <f t="shared" si="94"/>
        <v>0</v>
      </c>
      <c r="Y695" s="41"/>
      <c r="Z695" s="243"/>
    </row>
    <row r="696" spans="1:26">
      <c r="A696" s="150">
        <v>45225</v>
      </c>
      <c r="B696" s="154" t="s">
        <v>111</v>
      </c>
      <c r="C696" s="227">
        <v>3006880</v>
      </c>
      <c r="D696" s="324">
        <f t="shared" si="104"/>
        <v>639</v>
      </c>
      <c r="E696" s="228"/>
      <c r="F696" s="227">
        <v>6642768</v>
      </c>
      <c r="G696" s="275">
        <f t="shared" si="95"/>
        <v>7042</v>
      </c>
      <c r="H696" s="230">
        <f t="shared" si="103"/>
        <v>16.812154696132598</v>
      </c>
      <c r="I696" s="228"/>
      <c r="J696" s="227">
        <v>3905288</v>
      </c>
      <c r="K696" s="229">
        <f t="shared" si="100"/>
        <v>5307</v>
      </c>
      <c r="L696" s="231">
        <f t="shared" si="97"/>
        <v>39.31111111111111</v>
      </c>
      <c r="M696" s="228"/>
      <c r="N696" s="227">
        <v>684255</v>
      </c>
      <c r="O696" s="232">
        <f t="shared" si="102"/>
        <v>811</v>
      </c>
      <c r="P696" s="233"/>
      <c r="Q696" s="42">
        <v>625419</v>
      </c>
      <c r="R696" s="44">
        <f t="shared" si="99"/>
        <v>75</v>
      </c>
      <c r="S696" s="358"/>
      <c r="T696" s="42">
        <v>15951</v>
      </c>
      <c r="U696" s="44">
        <f t="shared" si="90"/>
        <v>0</v>
      </c>
      <c r="V696" s="41"/>
      <c r="W696" s="42">
        <v>46207</v>
      </c>
      <c r="X696" s="3">
        <f t="shared" si="94"/>
        <v>0</v>
      </c>
      <c r="Y696" s="41"/>
      <c r="Z696" s="243"/>
    </row>
    <row r="697" spans="1:26">
      <c r="A697" s="150">
        <v>45226</v>
      </c>
      <c r="B697" s="154" t="s">
        <v>106</v>
      </c>
      <c r="C697" s="227">
        <v>3007519</v>
      </c>
      <c r="D697" s="324">
        <f t="shared" si="104"/>
        <v>1784</v>
      </c>
      <c r="E697" s="228"/>
      <c r="F697" s="227">
        <v>6649810</v>
      </c>
      <c r="G697" s="275">
        <f t="shared" si="95"/>
        <v>18889</v>
      </c>
      <c r="H697" s="230">
        <f t="shared" si="103"/>
        <v>52.701657458563538</v>
      </c>
      <c r="I697" s="228"/>
      <c r="J697" s="227">
        <v>3910595</v>
      </c>
      <c r="K697" s="229">
        <f t="shared" si="100"/>
        <v>5792</v>
      </c>
      <c r="L697" s="231">
        <f t="shared" si="97"/>
        <v>42.903703703703705</v>
      </c>
      <c r="M697" s="228"/>
      <c r="N697" s="227">
        <v>685066</v>
      </c>
      <c r="O697" s="232">
        <f t="shared" si="102"/>
        <v>965</v>
      </c>
      <c r="P697" s="233"/>
      <c r="Q697" s="42">
        <v>625494</v>
      </c>
      <c r="R697" s="44">
        <f t="shared" si="99"/>
        <v>0</v>
      </c>
      <c r="S697" s="358"/>
      <c r="T697" s="42">
        <v>15951</v>
      </c>
      <c r="U697" s="44">
        <f t="shared" si="90"/>
        <v>0</v>
      </c>
      <c r="V697" s="41"/>
      <c r="W697" s="42">
        <v>46207</v>
      </c>
      <c r="X697" s="3">
        <f t="shared" si="94"/>
        <v>0</v>
      </c>
      <c r="Y697" s="41"/>
      <c r="Z697" s="243"/>
    </row>
    <row r="698" spans="1:26">
      <c r="A698" s="150">
        <v>45227</v>
      </c>
      <c r="B698" s="154" t="s">
        <v>107</v>
      </c>
      <c r="C698" s="227">
        <v>3009303</v>
      </c>
      <c r="D698" s="324">
        <f t="shared" si="104"/>
        <v>0</v>
      </c>
      <c r="E698" s="228"/>
      <c r="F698" s="227">
        <v>6668699</v>
      </c>
      <c r="G698" s="275">
        <f t="shared" si="95"/>
        <v>0</v>
      </c>
      <c r="H698" s="230">
        <f t="shared" si="103"/>
        <v>-4.4060773480662982</v>
      </c>
      <c r="I698" s="228"/>
      <c r="J698" s="227">
        <v>3916387</v>
      </c>
      <c r="K698" s="229">
        <f t="shared" si="100"/>
        <v>0</v>
      </c>
      <c r="L698" s="231">
        <f t="shared" si="97"/>
        <v>0</v>
      </c>
      <c r="M698" s="228"/>
      <c r="N698" s="227">
        <v>686031</v>
      </c>
      <c r="O698" s="232">
        <f t="shared" si="102"/>
        <v>0</v>
      </c>
      <c r="P698" s="233"/>
      <c r="Q698" s="42">
        <v>625494</v>
      </c>
      <c r="R698" s="44">
        <f t="shared" si="99"/>
        <v>0</v>
      </c>
      <c r="S698" s="358"/>
      <c r="T698" s="42">
        <v>15951</v>
      </c>
      <c r="U698" s="44">
        <f t="shared" si="90"/>
        <v>0</v>
      </c>
      <c r="V698" s="41"/>
      <c r="W698" s="42">
        <v>46207</v>
      </c>
      <c r="X698" s="3">
        <f t="shared" si="94"/>
        <v>0</v>
      </c>
      <c r="Y698" s="41"/>
      <c r="Z698" s="243"/>
    </row>
    <row r="699" spans="1:26">
      <c r="A699" s="150">
        <v>45228</v>
      </c>
      <c r="B699" s="154" t="s">
        <v>36</v>
      </c>
      <c r="C699" s="227">
        <v>3009303</v>
      </c>
      <c r="D699" s="324">
        <f t="shared" si="104"/>
        <v>707</v>
      </c>
      <c r="E699" s="228"/>
      <c r="F699" s="227">
        <v>6668699</v>
      </c>
      <c r="G699" s="275">
        <f t="shared" si="95"/>
        <v>5896</v>
      </c>
      <c r="H699" s="230">
        <f t="shared" si="103"/>
        <v>13.834254143646408</v>
      </c>
      <c r="I699" s="228"/>
      <c r="J699" s="227">
        <v>3916387</v>
      </c>
      <c r="K699" s="229">
        <f t="shared" si="100"/>
        <v>0</v>
      </c>
      <c r="L699" s="231">
        <f t="shared" si="97"/>
        <v>0</v>
      </c>
      <c r="M699" s="228"/>
      <c r="N699" s="227">
        <v>686031</v>
      </c>
      <c r="O699" s="232">
        <f t="shared" si="102"/>
        <v>940</v>
      </c>
      <c r="P699" s="233"/>
      <c r="Q699" s="42">
        <v>625494</v>
      </c>
      <c r="R699" s="44">
        <f t="shared" si="99"/>
        <v>223</v>
      </c>
      <c r="S699" s="358"/>
      <c r="T699" s="42">
        <v>15951</v>
      </c>
      <c r="U699" s="44">
        <f t="shared" si="90"/>
        <v>0</v>
      </c>
      <c r="V699" s="41"/>
      <c r="W699" s="42">
        <v>46207</v>
      </c>
      <c r="X699" s="3">
        <f t="shared" si="94"/>
        <v>0</v>
      </c>
      <c r="Y699" s="41"/>
      <c r="Z699" s="243"/>
    </row>
    <row r="700" spans="1:26">
      <c r="A700" s="150">
        <v>45229</v>
      </c>
      <c r="B700" s="154" t="s">
        <v>108</v>
      </c>
      <c r="C700" s="227">
        <v>3010010</v>
      </c>
      <c r="D700" s="324">
        <f t="shared" si="104"/>
        <v>538</v>
      </c>
      <c r="E700" s="228"/>
      <c r="F700" s="227">
        <v>6674595</v>
      </c>
      <c r="G700" s="275">
        <f t="shared" si="95"/>
        <v>7960</v>
      </c>
      <c r="H700" s="230">
        <f t="shared" si="103"/>
        <v>19.069060773480665</v>
      </c>
      <c r="I700" s="228"/>
      <c r="J700" s="227">
        <v>3916387</v>
      </c>
      <c r="K700" s="229">
        <f t="shared" si="100"/>
        <v>5300</v>
      </c>
      <c r="L700" s="231">
        <f t="shared" si="97"/>
        <v>39.25925925925926</v>
      </c>
      <c r="M700" s="228"/>
      <c r="N700" s="227">
        <v>686971</v>
      </c>
      <c r="O700" s="232">
        <f t="shared" si="102"/>
        <v>921</v>
      </c>
      <c r="P700" s="233"/>
      <c r="Q700" s="42">
        <v>625717</v>
      </c>
      <c r="R700" s="44">
        <f t="shared" si="99"/>
        <v>59</v>
      </c>
      <c r="S700" s="358"/>
      <c r="T700" s="42">
        <v>15951</v>
      </c>
      <c r="U700" s="44">
        <f t="shared" si="90"/>
        <v>0</v>
      </c>
      <c r="V700" s="41"/>
      <c r="W700" s="42">
        <v>46207</v>
      </c>
      <c r="X700" s="3">
        <f t="shared" si="94"/>
        <v>0</v>
      </c>
      <c r="Y700" s="41"/>
      <c r="Z700" s="243"/>
    </row>
    <row r="701" spans="1:26">
      <c r="A701" s="150">
        <v>45230</v>
      </c>
      <c r="B701" s="154" t="s">
        <v>109</v>
      </c>
      <c r="C701" s="227">
        <v>3010548</v>
      </c>
      <c r="D701" s="324">
        <f t="shared" si="104"/>
        <v>542</v>
      </c>
      <c r="E701" s="228"/>
      <c r="F701" s="227">
        <v>6682555</v>
      </c>
      <c r="G701" s="275">
        <f t="shared" si="95"/>
        <v>7965</v>
      </c>
      <c r="H701" s="230">
        <f>(G701+D701-1595)/362</f>
        <v>19.093922651933703</v>
      </c>
      <c r="I701" s="228"/>
      <c r="J701" s="227">
        <v>3921687</v>
      </c>
      <c r="K701" s="229">
        <f t="shared" si="100"/>
        <v>5418</v>
      </c>
      <c r="L701" s="231">
        <f t="shared" si="97"/>
        <v>40.133333333333333</v>
      </c>
      <c r="M701" s="228"/>
      <c r="N701" s="227">
        <v>687892</v>
      </c>
      <c r="O701" s="232">
        <f t="shared" si="102"/>
        <v>897</v>
      </c>
      <c r="P701" s="233"/>
      <c r="Q701" s="42">
        <v>625776</v>
      </c>
      <c r="R701" s="44">
        <f t="shared" si="99"/>
        <v>99</v>
      </c>
      <c r="S701" s="358"/>
      <c r="T701" s="42">
        <v>15951</v>
      </c>
      <c r="U701" s="44">
        <f t="shared" si="90"/>
        <v>0</v>
      </c>
      <c r="V701" s="41"/>
      <c r="W701" s="42">
        <v>46207</v>
      </c>
      <c r="X701" s="3">
        <f t="shared" si="94"/>
        <v>0</v>
      </c>
      <c r="Y701" s="41"/>
      <c r="Z701" s="243"/>
    </row>
    <row r="702" spans="1:26">
      <c r="A702" s="150">
        <v>45231</v>
      </c>
      <c r="B702" s="154" t="s">
        <v>110</v>
      </c>
      <c r="C702" s="227">
        <v>3011090</v>
      </c>
      <c r="D702" s="324">
        <f t="shared" si="104"/>
        <v>7580</v>
      </c>
      <c r="E702" s="228"/>
      <c r="F702" s="227">
        <v>6690520</v>
      </c>
      <c r="G702" s="275">
        <f t="shared" si="95"/>
        <v>10879</v>
      </c>
      <c r="H702" s="230">
        <f t="shared" ref="H702:H767" si="105">(G702+D702-1595)/362</f>
        <v>46.585635359116019</v>
      </c>
      <c r="I702" s="228"/>
      <c r="J702" s="227">
        <v>3927105</v>
      </c>
      <c r="K702" s="229">
        <f t="shared" si="100"/>
        <v>0</v>
      </c>
      <c r="L702" s="231">
        <f t="shared" si="97"/>
        <v>0</v>
      </c>
      <c r="M702" s="228"/>
      <c r="N702" s="227">
        <v>688789</v>
      </c>
      <c r="O702" s="232">
        <f t="shared" si="102"/>
        <v>0</v>
      </c>
      <c r="P702" s="233"/>
      <c r="Q702" s="42">
        <v>625875</v>
      </c>
      <c r="R702" s="44">
        <f t="shared" si="99"/>
        <v>0</v>
      </c>
      <c r="S702" s="358"/>
      <c r="T702" s="42">
        <v>15951</v>
      </c>
      <c r="U702" s="44">
        <f t="shared" si="90"/>
        <v>0</v>
      </c>
      <c r="V702" s="41"/>
      <c r="W702" s="42">
        <v>46207</v>
      </c>
      <c r="X702" s="3">
        <f t="shared" si="94"/>
        <v>0</v>
      </c>
      <c r="Y702" s="41"/>
      <c r="Z702" s="243"/>
    </row>
    <row r="703" spans="1:26">
      <c r="A703" s="150">
        <v>45232</v>
      </c>
      <c r="B703" s="154" t="s">
        <v>111</v>
      </c>
      <c r="C703" s="227">
        <v>3018670</v>
      </c>
      <c r="D703" s="324">
        <f t="shared" si="104"/>
        <v>4781</v>
      </c>
      <c r="E703" s="228"/>
      <c r="F703" s="227">
        <v>6701399</v>
      </c>
      <c r="G703" s="275">
        <f t="shared" si="95"/>
        <v>7957</v>
      </c>
      <c r="H703" s="230">
        <f t="shared" si="105"/>
        <v>30.781767955801104</v>
      </c>
      <c r="I703" s="228"/>
      <c r="J703" s="227">
        <v>3927105</v>
      </c>
      <c r="K703" s="229">
        <f t="shared" si="100"/>
        <v>0</v>
      </c>
      <c r="L703" s="231">
        <f t="shared" si="97"/>
        <v>0</v>
      </c>
      <c r="M703" s="228"/>
      <c r="N703" s="227">
        <v>688789</v>
      </c>
      <c r="O703" s="232">
        <f t="shared" si="102"/>
        <v>1237</v>
      </c>
      <c r="P703" s="233"/>
      <c r="Q703" s="42">
        <v>625875</v>
      </c>
      <c r="R703" s="44">
        <f t="shared" si="99"/>
        <v>168</v>
      </c>
      <c r="S703" s="358"/>
      <c r="T703" s="42">
        <v>15951</v>
      </c>
      <c r="U703" s="44">
        <f t="shared" si="90"/>
        <v>0</v>
      </c>
      <c r="V703" s="41"/>
      <c r="W703" s="42">
        <v>46207</v>
      </c>
      <c r="X703" s="3">
        <f t="shared" si="94"/>
        <v>0</v>
      </c>
      <c r="Y703" s="41"/>
      <c r="Z703" s="243"/>
    </row>
    <row r="704" spans="1:26">
      <c r="A704" s="150">
        <v>45233</v>
      </c>
      <c r="B704" s="154" t="s">
        <v>106</v>
      </c>
      <c r="C704" s="227">
        <v>3023451</v>
      </c>
      <c r="D704" s="324">
        <f t="shared" si="104"/>
        <v>11931</v>
      </c>
      <c r="E704" s="228"/>
      <c r="F704" s="227">
        <v>6709356</v>
      </c>
      <c r="G704" s="275">
        <f t="shared" si="95"/>
        <v>8747</v>
      </c>
      <c r="H704" s="230">
        <f t="shared" si="105"/>
        <v>52.715469613259671</v>
      </c>
      <c r="I704" s="228"/>
      <c r="J704" s="227">
        <v>3927105</v>
      </c>
      <c r="K704" s="229">
        <f t="shared" si="100"/>
        <v>0</v>
      </c>
      <c r="L704" s="231">
        <f t="shared" si="97"/>
        <v>0</v>
      </c>
      <c r="M704" s="228"/>
      <c r="N704" s="227">
        <v>690026</v>
      </c>
      <c r="O704" s="232">
        <f t="shared" si="102"/>
        <v>918</v>
      </c>
      <c r="P704" s="233"/>
      <c r="Q704" s="42">
        <v>626043</v>
      </c>
      <c r="R704" s="44">
        <f t="shared" si="99"/>
        <v>0</v>
      </c>
      <c r="S704" s="358"/>
      <c r="T704" s="42">
        <v>15951</v>
      </c>
      <c r="U704" s="44">
        <f t="shared" si="90"/>
        <v>0</v>
      </c>
      <c r="V704" s="41"/>
      <c r="W704" s="42">
        <v>46207</v>
      </c>
      <c r="X704" s="3">
        <f t="shared" si="94"/>
        <v>0</v>
      </c>
      <c r="Y704" s="41"/>
      <c r="Z704" s="243"/>
    </row>
    <row r="705" spans="1:26">
      <c r="A705" s="150">
        <v>45234</v>
      </c>
      <c r="B705" s="154" t="s">
        <v>107</v>
      </c>
      <c r="C705" s="227">
        <v>3035382</v>
      </c>
      <c r="D705" s="324">
        <f t="shared" si="104"/>
        <v>0</v>
      </c>
      <c r="E705" s="228"/>
      <c r="F705" s="227">
        <v>6718103</v>
      </c>
      <c r="G705" s="275">
        <f t="shared" si="95"/>
        <v>0</v>
      </c>
      <c r="H705" s="230">
        <f t="shared" si="105"/>
        <v>-4.4060773480662982</v>
      </c>
      <c r="I705" s="228"/>
      <c r="J705" s="227">
        <v>3927105</v>
      </c>
      <c r="K705" s="229">
        <f t="shared" si="100"/>
        <v>0</v>
      </c>
      <c r="L705" s="231">
        <f t="shared" si="97"/>
        <v>0</v>
      </c>
      <c r="M705" s="228"/>
      <c r="N705" s="227">
        <v>690944</v>
      </c>
      <c r="O705" s="232">
        <f t="shared" si="102"/>
        <v>0</v>
      </c>
      <c r="P705" s="233"/>
      <c r="Q705" s="42">
        <v>626043</v>
      </c>
      <c r="R705" s="44">
        <f t="shared" si="99"/>
        <v>0</v>
      </c>
      <c r="S705" s="358"/>
      <c r="T705" s="42">
        <v>15951</v>
      </c>
      <c r="U705" s="44">
        <f t="shared" si="90"/>
        <v>0</v>
      </c>
      <c r="V705" s="41"/>
      <c r="W705" s="42">
        <v>46207</v>
      </c>
      <c r="X705" s="3">
        <f t="shared" si="94"/>
        <v>0</v>
      </c>
      <c r="Y705" s="41"/>
      <c r="Z705" s="243"/>
    </row>
    <row r="706" spans="1:26">
      <c r="A706" s="150">
        <v>45235</v>
      </c>
      <c r="B706" s="154" t="s">
        <v>36</v>
      </c>
      <c r="C706" s="227">
        <v>3035382</v>
      </c>
      <c r="D706" s="324">
        <f t="shared" si="104"/>
        <v>968</v>
      </c>
      <c r="E706" s="228"/>
      <c r="F706" s="227">
        <v>6718103</v>
      </c>
      <c r="G706" s="275">
        <f t="shared" si="95"/>
        <v>4792</v>
      </c>
      <c r="H706" s="230">
        <f t="shared" si="105"/>
        <v>11.505524861878452</v>
      </c>
      <c r="I706" s="228"/>
      <c r="J706" s="227">
        <v>3927105</v>
      </c>
      <c r="K706" s="229">
        <f t="shared" si="100"/>
        <v>13939</v>
      </c>
      <c r="L706" s="231">
        <f t="shared" si="97"/>
        <v>103.25185185185185</v>
      </c>
      <c r="M706" s="228"/>
      <c r="N706" s="227">
        <v>690944</v>
      </c>
      <c r="O706" s="232">
        <f t="shared" si="102"/>
        <v>928</v>
      </c>
      <c r="P706" s="233"/>
      <c r="Q706" s="42">
        <v>626043</v>
      </c>
      <c r="R706" s="44">
        <f t="shared" si="99"/>
        <v>218</v>
      </c>
      <c r="S706" s="358"/>
      <c r="T706" s="42">
        <v>15951</v>
      </c>
      <c r="U706" s="44">
        <f t="shared" si="90"/>
        <v>0</v>
      </c>
      <c r="V706" s="41"/>
      <c r="W706" s="42">
        <v>46207</v>
      </c>
      <c r="X706" s="3">
        <f t="shared" si="94"/>
        <v>0</v>
      </c>
      <c r="Y706" s="41"/>
      <c r="Z706" s="243"/>
    </row>
    <row r="707" spans="1:26">
      <c r="A707" s="150">
        <v>45236</v>
      </c>
      <c r="B707" s="154" t="s">
        <v>108</v>
      </c>
      <c r="C707" s="227">
        <v>3036350</v>
      </c>
      <c r="D707" s="324">
        <f t="shared" si="104"/>
        <v>776</v>
      </c>
      <c r="E707" s="228"/>
      <c r="F707" s="227">
        <v>6722895</v>
      </c>
      <c r="G707" s="275">
        <f t="shared" si="95"/>
        <v>7742</v>
      </c>
      <c r="H707" s="230">
        <f t="shared" si="105"/>
        <v>19.124309392265193</v>
      </c>
      <c r="I707" s="228"/>
      <c r="J707" s="227">
        <v>3941044</v>
      </c>
      <c r="K707" s="229">
        <f t="shared" si="100"/>
        <v>5458</v>
      </c>
      <c r="L707" s="231">
        <f t="shared" si="97"/>
        <v>40.42962962962963</v>
      </c>
      <c r="M707" s="228"/>
      <c r="N707" s="227">
        <v>691872</v>
      </c>
      <c r="O707" s="232">
        <f t="shared" si="102"/>
        <v>1068</v>
      </c>
      <c r="P707" s="365" t="s">
        <v>78</v>
      </c>
      <c r="Q707" s="42">
        <v>626261</v>
      </c>
      <c r="R707" s="44">
        <f t="shared" si="99"/>
        <v>149</v>
      </c>
      <c r="S707" s="358"/>
      <c r="T707" s="42">
        <v>15951</v>
      </c>
      <c r="U707" s="44">
        <f t="shared" si="90"/>
        <v>0</v>
      </c>
      <c r="V707" s="41"/>
      <c r="W707" s="42">
        <v>46207</v>
      </c>
      <c r="X707" s="3">
        <f t="shared" si="94"/>
        <v>0</v>
      </c>
      <c r="Y707" s="41"/>
      <c r="Z707" s="243"/>
    </row>
    <row r="708" spans="1:26">
      <c r="A708" s="150">
        <v>45237</v>
      </c>
      <c r="B708" s="154" t="s">
        <v>109</v>
      </c>
      <c r="C708" s="227">
        <v>3037126</v>
      </c>
      <c r="D708" s="324">
        <f t="shared" si="104"/>
        <v>713</v>
      </c>
      <c r="E708" s="228"/>
      <c r="F708" s="227">
        <v>6730637</v>
      </c>
      <c r="G708" s="275">
        <f t="shared" si="95"/>
        <v>8069</v>
      </c>
      <c r="H708" s="230">
        <f t="shared" si="105"/>
        <v>19.853591160220994</v>
      </c>
      <c r="I708" s="228"/>
      <c r="J708" s="227">
        <v>3946502</v>
      </c>
      <c r="K708" s="229">
        <f t="shared" si="100"/>
        <v>9259</v>
      </c>
      <c r="L708" s="231">
        <f t="shared" si="97"/>
        <v>68.585185185185182</v>
      </c>
      <c r="M708" s="228"/>
      <c r="N708" s="42">
        <v>692940</v>
      </c>
      <c r="O708" s="3">
        <f t="shared" si="102"/>
        <v>1251</v>
      </c>
      <c r="P708" s="358"/>
      <c r="Q708" s="42">
        <v>626410</v>
      </c>
      <c r="R708" s="44">
        <f t="shared" si="99"/>
        <v>116</v>
      </c>
      <c r="S708" s="358"/>
      <c r="T708" s="42">
        <v>15951</v>
      </c>
      <c r="U708" s="44">
        <f t="shared" ref="U708:U774" si="106">T709-T708</f>
        <v>0</v>
      </c>
      <c r="V708" s="41"/>
      <c r="W708" s="42">
        <v>46207</v>
      </c>
      <c r="X708" s="3">
        <f t="shared" si="94"/>
        <v>0</v>
      </c>
      <c r="Y708" s="41"/>
      <c r="Z708" s="243"/>
    </row>
    <row r="709" spans="1:26">
      <c r="A709" s="150">
        <v>45238</v>
      </c>
      <c r="B709" s="154" t="s">
        <v>110</v>
      </c>
      <c r="C709" s="227">
        <v>3037839</v>
      </c>
      <c r="D709" s="324">
        <f t="shared" si="104"/>
        <v>584</v>
      </c>
      <c r="E709" s="228"/>
      <c r="F709" s="227">
        <v>6738706</v>
      </c>
      <c r="G709" s="275">
        <f t="shared" si="95"/>
        <v>7785</v>
      </c>
      <c r="H709" s="230">
        <f t="shared" si="105"/>
        <v>18.712707182320443</v>
      </c>
      <c r="I709" s="228"/>
      <c r="J709" s="227">
        <v>3955761</v>
      </c>
      <c r="K709" s="229">
        <f t="shared" si="100"/>
        <v>5549</v>
      </c>
      <c r="L709" s="231">
        <f t="shared" si="97"/>
        <v>41.103703703703701</v>
      </c>
      <c r="M709" s="228"/>
      <c r="N709" s="42">
        <v>694191</v>
      </c>
      <c r="O709" s="3">
        <f t="shared" si="102"/>
        <v>1077</v>
      </c>
      <c r="P709" s="358"/>
      <c r="Q709" s="42">
        <v>626526</v>
      </c>
      <c r="R709" s="44">
        <f t="shared" si="99"/>
        <v>162</v>
      </c>
      <c r="S709" s="358"/>
      <c r="T709" s="42">
        <v>15951</v>
      </c>
      <c r="U709" s="44">
        <f t="shared" si="106"/>
        <v>0</v>
      </c>
      <c r="V709" s="41"/>
      <c r="W709" s="42">
        <v>46207</v>
      </c>
      <c r="X709" s="3">
        <f t="shared" si="94"/>
        <v>0</v>
      </c>
      <c r="Y709" s="41"/>
      <c r="Z709" s="243"/>
    </row>
    <row r="710" spans="1:26">
      <c r="A710" s="150">
        <v>45239</v>
      </c>
      <c r="B710" s="154" t="s">
        <v>111</v>
      </c>
      <c r="C710" s="227">
        <v>3038423</v>
      </c>
      <c r="D710" s="324">
        <f t="shared" si="104"/>
        <v>482</v>
      </c>
      <c r="E710" s="228"/>
      <c r="F710" s="227">
        <v>6746491</v>
      </c>
      <c r="G710" s="275">
        <f t="shared" si="95"/>
        <v>7788</v>
      </c>
      <c r="H710" s="230">
        <f t="shared" si="105"/>
        <v>18.439226519337016</v>
      </c>
      <c r="I710" s="228"/>
      <c r="J710" s="227">
        <v>3961310</v>
      </c>
      <c r="K710" s="229">
        <f t="shared" si="100"/>
        <v>5152</v>
      </c>
      <c r="L710" s="231">
        <f t="shared" si="97"/>
        <v>38.162962962962965</v>
      </c>
      <c r="M710" s="228"/>
      <c r="N710" s="42">
        <v>695268</v>
      </c>
      <c r="O710" s="3">
        <f t="shared" si="102"/>
        <v>923</v>
      </c>
      <c r="P710" s="358"/>
      <c r="Q710" s="42">
        <v>626688</v>
      </c>
      <c r="R710" s="44">
        <f t="shared" si="99"/>
        <v>153</v>
      </c>
      <c r="S710" s="358"/>
      <c r="T710" s="42">
        <v>15951</v>
      </c>
      <c r="U710" s="44">
        <f t="shared" si="106"/>
        <v>0</v>
      </c>
      <c r="V710" s="41"/>
      <c r="W710" s="42">
        <v>46207</v>
      </c>
      <c r="X710" s="3">
        <f t="shared" si="94"/>
        <v>0</v>
      </c>
      <c r="Y710" s="41"/>
      <c r="Z710" s="243"/>
    </row>
    <row r="711" spans="1:26">
      <c r="A711" s="150">
        <v>45240</v>
      </c>
      <c r="B711" s="154" t="s">
        <v>106</v>
      </c>
      <c r="C711" s="227">
        <v>3038905</v>
      </c>
      <c r="D711" s="324">
        <f t="shared" si="104"/>
        <v>1487</v>
      </c>
      <c r="E711" s="40" t="s">
        <v>78</v>
      </c>
      <c r="F711" s="227">
        <v>6754279</v>
      </c>
      <c r="G711" s="275">
        <f t="shared" si="95"/>
        <v>23335</v>
      </c>
      <c r="H711" s="230">
        <f t="shared" si="105"/>
        <v>64.162983425414367</v>
      </c>
      <c r="I711" s="40" t="s">
        <v>78</v>
      </c>
      <c r="J711" s="227">
        <v>3966462</v>
      </c>
      <c r="K711" s="229">
        <f t="shared" si="100"/>
        <v>5453</v>
      </c>
      <c r="L711" s="231">
        <f t="shared" si="97"/>
        <v>40.392592592592592</v>
      </c>
      <c r="M711" s="40" t="s">
        <v>78</v>
      </c>
      <c r="N711" s="42">
        <v>696191</v>
      </c>
      <c r="O711" s="3">
        <f t="shared" si="102"/>
        <v>2077</v>
      </c>
      <c r="P711" s="358"/>
      <c r="Q711" s="42">
        <v>626841</v>
      </c>
      <c r="R711" s="44">
        <f t="shared" si="99"/>
        <v>0</v>
      </c>
      <c r="S711" s="358"/>
      <c r="T711" s="42">
        <v>15951</v>
      </c>
      <c r="U711" s="44">
        <f t="shared" si="106"/>
        <v>0</v>
      </c>
      <c r="V711" s="41"/>
      <c r="W711" s="42">
        <v>46207</v>
      </c>
      <c r="X711" s="3">
        <f t="shared" si="94"/>
        <v>0</v>
      </c>
      <c r="Y711" s="41"/>
      <c r="Z711" s="243"/>
    </row>
    <row r="712" spans="1:26">
      <c r="A712" s="150">
        <v>45241</v>
      </c>
      <c r="B712" s="154" t="s">
        <v>107</v>
      </c>
      <c r="C712" s="46">
        <v>3040392</v>
      </c>
      <c r="D712" s="322">
        <f t="shared" si="104"/>
        <v>0</v>
      </c>
      <c r="E712" s="39"/>
      <c r="F712" s="46">
        <v>6777614</v>
      </c>
      <c r="G712" s="273">
        <f t="shared" si="95"/>
        <v>0</v>
      </c>
      <c r="H712" s="156">
        <f t="shared" si="105"/>
        <v>-4.4060773480662982</v>
      </c>
      <c r="I712" s="39"/>
      <c r="J712" s="46">
        <v>3971915</v>
      </c>
      <c r="K712" s="2">
        <f t="shared" si="100"/>
        <v>0</v>
      </c>
      <c r="L712" s="160">
        <f t="shared" si="97"/>
        <v>0</v>
      </c>
      <c r="M712" s="39"/>
      <c r="N712" s="42">
        <v>698268</v>
      </c>
      <c r="O712" s="3">
        <f t="shared" si="102"/>
        <v>0</v>
      </c>
      <c r="P712" s="358"/>
      <c r="Q712" s="42">
        <v>626841</v>
      </c>
      <c r="R712" s="44">
        <f t="shared" si="99"/>
        <v>0</v>
      </c>
      <c r="S712" s="358"/>
      <c r="T712" s="46">
        <v>15951</v>
      </c>
      <c r="U712" s="166">
        <f t="shared" si="106"/>
        <v>0</v>
      </c>
      <c r="V712" s="39"/>
      <c r="W712" s="46">
        <v>46207</v>
      </c>
      <c r="X712" s="12">
        <f t="shared" si="94"/>
        <v>0</v>
      </c>
      <c r="Y712" s="39"/>
      <c r="Z712" s="243"/>
    </row>
    <row r="713" spans="1:26">
      <c r="A713" s="150">
        <v>45242</v>
      </c>
      <c r="B713" s="154" t="s">
        <v>36</v>
      </c>
      <c r="C713" s="46">
        <v>3040392</v>
      </c>
      <c r="D713" s="322">
        <f t="shared" si="104"/>
        <v>0</v>
      </c>
      <c r="E713" s="39"/>
      <c r="F713" s="46">
        <v>6777614</v>
      </c>
      <c r="G713" s="273">
        <f t="shared" si="95"/>
        <v>0</v>
      </c>
      <c r="H713" s="156">
        <f t="shared" si="105"/>
        <v>-4.4060773480662982</v>
      </c>
      <c r="I713" s="39"/>
      <c r="J713" s="46">
        <v>3971915</v>
      </c>
      <c r="K713" s="2">
        <f t="shared" si="100"/>
        <v>0</v>
      </c>
      <c r="L713" s="160">
        <f t="shared" si="97"/>
        <v>0</v>
      </c>
      <c r="M713" s="39"/>
      <c r="N713" s="42">
        <v>698268</v>
      </c>
      <c r="O713" s="3">
        <f t="shared" si="102"/>
        <v>0</v>
      </c>
      <c r="P713" s="358"/>
      <c r="Q713" s="42">
        <v>626841</v>
      </c>
      <c r="R713" s="44">
        <f t="shared" si="99"/>
        <v>344</v>
      </c>
      <c r="S713" s="358"/>
      <c r="T713" s="46">
        <v>15951</v>
      </c>
      <c r="U713" s="166">
        <f t="shared" si="106"/>
        <v>0</v>
      </c>
      <c r="V713" s="39"/>
      <c r="W713" s="46">
        <v>46207</v>
      </c>
      <c r="X713" s="12">
        <f t="shared" si="94"/>
        <v>0</v>
      </c>
      <c r="Y713" s="39"/>
      <c r="Z713" s="243"/>
    </row>
    <row r="714" spans="1:26">
      <c r="A714" s="150">
        <v>45243</v>
      </c>
      <c r="B714" s="154" t="s">
        <v>108</v>
      </c>
      <c r="C714" s="46">
        <v>3040392</v>
      </c>
      <c r="D714" s="322">
        <f t="shared" si="104"/>
        <v>314</v>
      </c>
      <c r="E714" s="39"/>
      <c r="F714" s="46">
        <v>6777614</v>
      </c>
      <c r="G714" s="273">
        <f t="shared" si="95"/>
        <v>7645</v>
      </c>
      <c r="H714" s="156">
        <f t="shared" si="105"/>
        <v>17.58011049723757</v>
      </c>
      <c r="I714" s="39"/>
      <c r="J714" s="46">
        <v>3971915</v>
      </c>
      <c r="K714" s="2">
        <f t="shared" si="100"/>
        <v>7014</v>
      </c>
      <c r="L714" s="160">
        <f t="shared" si="97"/>
        <v>51.955555555555556</v>
      </c>
      <c r="M714" s="39"/>
      <c r="N714" s="42">
        <v>698268</v>
      </c>
      <c r="O714" s="3">
        <f t="shared" si="102"/>
        <v>892</v>
      </c>
      <c r="P714" s="358"/>
      <c r="Q714" s="42">
        <v>627185</v>
      </c>
      <c r="R714" s="44">
        <f t="shared" si="99"/>
        <v>163</v>
      </c>
      <c r="S714" s="358"/>
      <c r="T714" s="46">
        <v>15951</v>
      </c>
      <c r="U714" s="166">
        <f t="shared" si="106"/>
        <v>0</v>
      </c>
      <c r="V714" s="39"/>
      <c r="W714" s="46">
        <v>46207</v>
      </c>
      <c r="X714" s="12">
        <f t="shared" si="94"/>
        <v>0</v>
      </c>
      <c r="Y714" s="39"/>
      <c r="Z714" s="243"/>
    </row>
    <row r="715" spans="1:26">
      <c r="A715" s="150">
        <v>45244</v>
      </c>
      <c r="B715" s="154" t="s">
        <v>109</v>
      </c>
      <c r="C715" s="46">
        <v>3040706</v>
      </c>
      <c r="D715" s="322">
        <f t="shared" si="104"/>
        <v>0</v>
      </c>
      <c r="E715" s="39"/>
      <c r="F715" s="46">
        <v>6785259</v>
      </c>
      <c r="G715" s="273">
        <f t="shared" si="95"/>
        <v>0</v>
      </c>
      <c r="H715" s="156">
        <f t="shared" si="105"/>
        <v>-4.4060773480662982</v>
      </c>
      <c r="I715" s="39"/>
      <c r="J715" s="46">
        <v>3978929</v>
      </c>
      <c r="K715" s="2">
        <f t="shared" si="100"/>
        <v>0</v>
      </c>
      <c r="L715" s="160">
        <f t="shared" si="97"/>
        <v>0</v>
      </c>
      <c r="M715" s="39"/>
      <c r="N715" s="42">
        <v>699160</v>
      </c>
      <c r="O715" s="3">
        <f t="shared" si="102"/>
        <v>0</v>
      </c>
      <c r="P715" s="358"/>
      <c r="Q715" s="42">
        <v>627348</v>
      </c>
      <c r="R715" s="44">
        <f t="shared" si="99"/>
        <v>0</v>
      </c>
      <c r="S715" s="358"/>
      <c r="T715" s="46">
        <v>15951</v>
      </c>
      <c r="U715" s="166">
        <f t="shared" si="106"/>
        <v>0</v>
      </c>
      <c r="V715" s="39"/>
      <c r="W715" s="46">
        <v>46207</v>
      </c>
      <c r="X715" s="12">
        <f t="shared" si="94"/>
        <v>0</v>
      </c>
      <c r="Y715" s="39"/>
      <c r="Z715" s="243"/>
    </row>
    <row r="716" spans="1:26">
      <c r="A716" s="150">
        <v>45245</v>
      </c>
      <c r="B716" s="154" t="s">
        <v>110</v>
      </c>
      <c r="C716" s="46">
        <v>3040706</v>
      </c>
      <c r="D716" s="322">
        <f t="shared" si="104"/>
        <v>589</v>
      </c>
      <c r="E716" s="39"/>
      <c r="F716" s="46">
        <v>6785259</v>
      </c>
      <c r="G716" s="273">
        <f t="shared" si="95"/>
        <v>15697</v>
      </c>
      <c r="H716" s="156">
        <f t="shared" si="105"/>
        <v>40.582872928176798</v>
      </c>
      <c r="I716" s="39"/>
      <c r="J716" s="46">
        <v>3978929</v>
      </c>
      <c r="K716" s="2">
        <f t="shared" si="100"/>
        <v>5534</v>
      </c>
      <c r="L716" s="160">
        <f t="shared" si="97"/>
        <v>40.992592592592594</v>
      </c>
      <c r="M716" s="39"/>
      <c r="N716" s="42">
        <v>699160</v>
      </c>
      <c r="O716" s="3">
        <f t="shared" si="102"/>
        <v>1150</v>
      </c>
      <c r="P716" s="358"/>
      <c r="Q716" s="42">
        <v>627348</v>
      </c>
      <c r="R716" s="44">
        <f t="shared" si="99"/>
        <v>193</v>
      </c>
      <c r="S716" s="358"/>
      <c r="T716" s="46">
        <v>15951</v>
      </c>
      <c r="U716" s="166">
        <f t="shared" si="106"/>
        <v>0</v>
      </c>
      <c r="V716" s="39"/>
      <c r="W716" s="46">
        <v>46207</v>
      </c>
      <c r="X716" s="12">
        <f t="shared" si="94"/>
        <v>0</v>
      </c>
      <c r="Y716" s="39"/>
      <c r="Z716" s="243"/>
    </row>
    <row r="717" spans="1:26">
      <c r="A717" s="150">
        <v>45246</v>
      </c>
      <c r="B717" s="154" t="s">
        <v>111</v>
      </c>
      <c r="C717" s="46">
        <v>3041295</v>
      </c>
      <c r="D717" s="322">
        <f t="shared" si="104"/>
        <v>9814</v>
      </c>
      <c r="E717" s="39"/>
      <c r="F717" s="46">
        <v>6800956</v>
      </c>
      <c r="G717" s="273">
        <f t="shared" si="95"/>
        <v>11515</v>
      </c>
      <c r="H717" s="156">
        <f t="shared" si="105"/>
        <v>54.513812154696133</v>
      </c>
      <c r="I717" s="39"/>
      <c r="J717" s="46">
        <v>3984463</v>
      </c>
      <c r="K717" s="2">
        <f t="shared" si="100"/>
        <v>9350</v>
      </c>
      <c r="L717" s="160">
        <f t="shared" si="97"/>
        <v>69.259259259259252</v>
      </c>
      <c r="M717" s="39"/>
      <c r="N717" s="42">
        <v>700310</v>
      </c>
      <c r="O717" s="3">
        <f t="shared" si="102"/>
        <v>989</v>
      </c>
      <c r="P717" s="358"/>
      <c r="Q717" s="42">
        <v>627541</v>
      </c>
      <c r="R717" s="44">
        <f t="shared" si="99"/>
        <v>145</v>
      </c>
      <c r="S717" s="358"/>
      <c r="T717" s="46">
        <v>15951</v>
      </c>
      <c r="U717" s="166">
        <f t="shared" si="106"/>
        <v>0</v>
      </c>
      <c r="V717" s="39"/>
      <c r="W717" s="46">
        <v>46207</v>
      </c>
      <c r="X717" s="12">
        <f t="shared" si="94"/>
        <v>0</v>
      </c>
      <c r="Y717" s="39"/>
      <c r="Z717" s="243"/>
    </row>
    <row r="718" spans="1:26">
      <c r="A718" s="150">
        <v>45247</v>
      </c>
      <c r="B718" s="154" t="s">
        <v>106</v>
      </c>
      <c r="C718" s="46">
        <v>3051109</v>
      </c>
      <c r="D718" s="322">
        <f t="shared" si="104"/>
        <v>10901</v>
      </c>
      <c r="E718" s="39"/>
      <c r="F718" s="46">
        <v>6812471</v>
      </c>
      <c r="G718" s="273">
        <f t="shared" si="95"/>
        <v>15312</v>
      </c>
      <c r="H718" s="156">
        <f t="shared" si="105"/>
        <v>68.005524861878456</v>
      </c>
      <c r="I718" s="39"/>
      <c r="J718" s="46">
        <v>3993813</v>
      </c>
      <c r="K718" s="2">
        <f t="shared" si="100"/>
        <v>0</v>
      </c>
      <c r="L718" s="160">
        <f t="shared" si="97"/>
        <v>0</v>
      </c>
      <c r="M718" s="39"/>
      <c r="N718" s="42">
        <v>701299</v>
      </c>
      <c r="O718" s="3">
        <f t="shared" si="102"/>
        <v>924</v>
      </c>
      <c r="P718" s="358"/>
      <c r="Q718" s="42">
        <v>627686</v>
      </c>
      <c r="R718" s="44">
        <f t="shared" si="99"/>
        <v>0</v>
      </c>
      <c r="S718" s="358"/>
      <c r="T718" s="46">
        <v>15951</v>
      </c>
      <c r="U718" s="166">
        <f t="shared" si="106"/>
        <v>0</v>
      </c>
      <c r="V718" s="39"/>
      <c r="W718" s="46">
        <v>46207</v>
      </c>
      <c r="X718" s="12">
        <f t="shared" si="94"/>
        <v>0</v>
      </c>
      <c r="Y718" s="39"/>
      <c r="Z718" s="243"/>
    </row>
    <row r="719" spans="1:26">
      <c r="A719" s="150">
        <v>45248</v>
      </c>
      <c r="B719" s="154" t="s">
        <v>107</v>
      </c>
      <c r="C719" s="46">
        <v>3062010</v>
      </c>
      <c r="D719" s="322">
        <f t="shared" si="104"/>
        <v>0</v>
      </c>
      <c r="E719" s="39"/>
      <c r="F719" s="46">
        <v>6827783</v>
      </c>
      <c r="G719" s="273">
        <f t="shared" si="95"/>
        <v>0</v>
      </c>
      <c r="H719" s="156">
        <f t="shared" si="105"/>
        <v>-4.4060773480662982</v>
      </c>
      <c r="I719" s="39"/>
      <c r="J719" s="46">
        <v>3993813</v>
      </c>
      <c r="K719" s="2">
        <f t="shared" si="100"/>
        <v>0</v>
      </c>
      <c r="L719" s="160">
        <f t="shared" si="97"/>
        <v>0</v>
      </c>
      <c r="M719" s="39"/>
      <c r="N719" s="42">
        <v>702223</v>
      </c>
      <c r="O719" s="3">
        <f t="shared" si="102"/>
        <v>1041</v>
      </c>
      <c r="P719" s="358"/>
      <c r="Q719" s="42">
        <v>627686</v>
      </c>
      <c r="R719" s="44">
        <f t="shared" si="99"/>
        <v>0</v>
      </c>
      <c r="S719" s="358"/>
      <c r="T719" s="46">
        <v>15951</v>
      </c>
      <c r="U719" s="166">
        <f t="shared" si="106"/>
        <v>0</v>
      </c>
      <c r="V719" s="39"/>
      <c r="W719" s="46">
        <v>46207</v>
      </c>
      <c r="X719" s="12">
        <f t="shared" si="94"/>
        <v>0</v>
      </c>
      <c r="Y719" s="39"/>
      <c r="Z719" s="243"/>
    </row>
    <row r="720" spans="1:26">
      <c r="A720" s="150">
        <v>45249</v>
      </c>
      <c r="B720" s="154" t="s">
        <v>36</v>
      </c>
      <c r="C720" s="46">
        <v>3062010</v>
      </c>
      <c r="D720" s="322">
        <f>IF(C721&gt;0,C721-C720," ")</f>
        <v>0</v>
      </c>
      <c r="E720" s="39"/>
      <c r="F720" s="46">
        <v>6827783</v>
      </c>
      <c r="G720" s="273">
        <f t="shared" si="95"/>
        <v>12077</v>
      </c>
      <c r="H720" s="156">
        <f t="shared" si="105"/>
        <v>28.955801104972377</v>
      </c>
      <c r="I720" s="39"/>
      <c r="J720" s="46">
        <v>3993813</v>
      </c>
      <c r="K720" s="2">
        <f t="shared" si="100"/>
        <v>0</v>
      </c>
      <c r="L720" s="160">
        <f t="shared" si="97"/>
        <v>0</v>
      </c>
      <c r="M720" s="39"/>
      <c r="N720" s="42">
        <v>703264</v>
      </c>
      <c r="O720" s="3">
        <f t="shared" si="102"/>
        <v>0</v>
      </c>
      <c r="P720" s="358"/>
      <c r="Q720" s="42">
        <v>627686</v>
      </c>
      <c r="R720" s="44">
        <f t="shared" si="99"/>
        <v>323</v>
      </c>
      <c r="S720" s="358"/>
      <c r="T720" s="46">
        <v>15951</v>
      </c>
      <c r="U720" s="166">
        <f t="shared" si="106"/>
        <v>0</v>
      </c>
      <c r="V720" s="39"/>
      <c r="W720" s="46">
        <v>46207</v>
      </c>
      <c r="X720" s="12">
        <f t="shared" si="94"/>
        <v>0</v>
      </c>
      <c r="Y720" s="39"/>
      <c r="Z720" s="243"/>
    </row>
    <row r="721" spans="1:26">
      <c r="A721" s="150">
        <v>45250</v>
      </c>
      <c r="B721" s="154" t="s">
        <v>108</v>
      </c>
      <c r="C721" s="46">
        <v>3062010</v>
      </c>
      <c r="D721" s="322">
        <f>IF(C722&gt;0,C722-C721," ")</f>
        <v>0</v>
      </c>
      <c r="E721" s="39"/>
      <c r="F721" s="46">
        <v>6839860</v>
      </c>
      <c r="G721" s="273">
        <f t="shared" si="95"/>
        <v>0</v>
      </c>
      <c r="H721" s="156">
        <f t="shared" si="105"/>
        <v>-4.4060773480662982</v>
      </c>
      <c r="I721" s="39"/>
      <c r="J721" s="46">
        <v>3993813</v>
      </c>
      <c r="K721" s="2">
        <f t="shared" si="100"/>
        <v>0</v>
      </c>
      <c r="L721" s="160">
        <f t="shared" si="97"/>
        <v>0</v>
      </c>
      <c r="M721" s="39"/>
      <c r="N721" s="42">
        <v>703264</v>
      </c>
      <c r="O721" s="3">
        <f t="shared" si="102"/>
        <v>0</v>
      </c>
      <c r="P721" s="358"/>
      <c r="Q721" s="42">
        <v>628009</v>
      </c>
      <c r="R721" s="44">
        <f t="shared" si="99"/>
        <v>58</v>
      </c>
      <c r="S721" s="358"/>
      <c r="T721" s="46">
        <v>15951</v>
      </c>
      <c r="U721" s="166">
        <f t="shared" si="106"/>
        <v>0</v>
      </c>
      <c r="V721" s="39"/>
      <c r="W721" s="46">
        <v>46207</v>
      </c>
      <c r="X721" s="12">
        <f t="shared" si="94"/>
        <v>0</v>
      </c>
      <c r="Y721" s="39"/>
      <c r="Z721" s="243"/>
    </row>
    <row r="722" spans="1:26">
      <c r="A722" s="150">
        <v>45251</v>
      </c>
      <c r="B722" s="154" t="s">
        <v>109</v>
      </c>
      <c r="C722" s="46">
        <v>3062010</v>
      </c>
      <c r="D722" s="322">
        <f>IF(C723&gt;0,C723-C722," ")</f>
        <v>13317</v>
      </c>
      <c r="E722" s="39"/>
      <c r="F722" s="46">
        <v>6839860</v>
      </c>
      <c r="G722" s="273">
        <f t="shared" si="95"/>
        <v>19013</v>
      </c>
      <c r="H722" s="156">
        <f t="shared" si="105"/>
        <v>84.903314917127076</v>
      </c>
      <c r="I722" s="39"/>
      <c r="J722" s="46">
        <v>3993813</v>
      </c>
      <c r="K722" s="2">
        <f t="shared" si="100"/>
        <v>10397</v>
      </c>
      <c r="L722" s="160">
        <f t="shared" si="97"/>
        <v>77.014814814814812</v>
      </c>
      <c r="M722" s="39"/>
      <c r="N722" s="42">
        <v>703264</v>
      </c>
      <c r="O722" s="3">
        <f t="shared" si="102"/>
        <v>988</v>
      </c>
      <c r="P722" s="358"/>
      <c r="Q722" s="42">
        <v>628067</v>
      </c>
      <c r="R722" s="44">
        <f t="shared" si="99"/>
        <v>47</v>
      </c>
      <c r="S722" s="358"/>
      <c r="T722" s="46">
        <v>15951</v>
      </c>
      <c r="U722" s="166">
        <f t="shared" si="106"/>
        <v>0</v>
      </c>
      <c r="V722" s="39"/>
      <c r="W722" s="46">
        <v>46207</v>
      </c>
      <c r="X722" s="12">
        <f t="shared" si="94"/>
        <v>0</v>
      </c>
      <c r="Y722" s="39"/>
      <c r="Z722" s="243"/>
    </row>
    <row r="723" spans="1:26">
      <c r="A723" s="150">
        <v>45252</v>
      </c>
      <c r="B723" s="154" t="s">
        <v>110</v>
      </c>
      <c r="C723" s="46">
        <v>3075327</v>
      </c>
      <c r="D723" s="322">
        <f t="shared" si="104"/>
        <v>642</v>
      </c>
      <c r="E723" s="39"/>
      <c r="F723" s="46">
        <v>6858873</v>
      </c>
      <c r="G723" s="273">
        <f>IF(F724&gt;0,F724-F723," ")</f>
        <v>7881</v>
      </c>
      <c r="H723" s="156">
        <f t="shared" si="105"/>
        <v>19.138121546961326</v>
      </c>
      <c r="I723" s="39"/>
      <c r="J723" s="46">
        <v>4004210</v>
      </c>
      <c r="K723" s="2">
        <f t="shared" si="100"/>
        <v>5034</v>
      </c>
      <c r="L723" s="160">
        <f t="shared" si="97"/>
        <v>37.288888888888891</v>
      </c>
      <c r="M723" s="39"/>
      <c r="N723" s="42">
        <v>704252</v>
      </c>
      <c r="O723" s="3">
        <f t="shared" si="102"/>
        <v>866</v>
      </c>
      <c r="P723" s="358"/>
      <c r="Q723" s="42">
        <v>628114</v>
      </c>
      <c r="R723" s="44">
        <f t="shared" si="99"/>
        <v>148</v>
      </c>
      <c r="S723" s="358"/>
      <c r="T723" s="46">
        <v>15951</v>
      </c>
      <c r="U723" s="166">
        <f t="shared" si="106"/>
        <v>0</v>
      </c>
      <c r="V723" s="39"/>
      <c r="W723" s="46">
        <v>46207</v>
      </c>
      <c r="X723" s="12">
        <f t="shared" si="94"/>
        <v>0</v>
      </c>
      <c r="Y723" s="39"/>
      <c r="Z723" s="243"/>
    </row>
    <row r="724" spans="1:26">
      <c r="A724" s="150">
        <v>45253</v>
      </c>
      <c r="B724" s="154" t="s">
        <v>111</v>
      </c>
      <c r="C724" s="46">
        <v>3075969</v>
      </c>
      <c r="D724" s="322">
        <f t="shared" si="104"/>
        <v>716</v>
      </c>
      <c r="E724" s="39"/>
      <c r="F724" s="46">
        <v>6866754</v>
      </c>
      <c r="G724" s="273">
        <f t="shared" ref="G724:G788" si="107">IF(F725&gt;0,F725-F724," ")</f>
        <v>8001</v>
      </c>
      <c r="H724" s="156">
        <f t="shared" si="105"/>
        <v>19.674033149171272</v>
      </c>
      <c r="I724" s="39"/>
      <c r="J724" s="46">
        <v>4009244</v>
      </c>
      <c r="K724" s="2">
        <f t="shared" si="100"/>
        <v>9200</v>
      </c>
      <c r="L724" s="160">
        <f t="shared" si="97"/>
        <v>68.148148148148152</v>
      </c>
      <c r="M724" s="39"/>
      <c r="N724" s="42">
        <v>705118</v>
      </c>
      <c r="O724" s="3">
        <f t="shared" si="102"/>
        <v>968</v>
      </c>
      <c r="P724" s="358"/>
      <c r="Q724" s="42">
        <v>628262</v>
      </c>
      <c r="R724" s="44">
        <f t="shared" si="99"/>
        <v>84</v>
      </c>
      <c r="S724" s="358"/>
      <c r="T724" s="46">
        <v>15951</v>
      </c>
      <c r="U724" s="166">
        <f t="shared" si="106"/>
        <v>14</v>
      </c>
      <c r="V724" s="39"/>
      <c r="W724" s="46">
        <v>46207</v>
      </c>
      <c r="X724" s="12">
        <f t="shared" si="94"/>
        <v>25</v>
      </c>
      <c r="Y724" s="39"/>
      <c r="Z724" s="243"/>
    </row>
    <row r="725" spans="1:26">
      <c r="A725" s="150">
        <v>45254</v>
      </c>
      <c r="B725" s="154" t="s">
        <v>106</v>
      </c>
      <c r="C725" s="46">
        <v>3076685</v>
      </c>
      <c r="D725" s="322">
        <f t="shared" si="104"/>
        <v>1696</v>
      </c>
      <c r="E725" s="39"/>
      <c r="F725" s="46">
        <v>6874755</v>
      </c>
      <c r="G725" s="273">
        <f t="shared" si="107"/>
        <v>11946</v>
      </c>
      <c r="H725" s="156">
        <f t="shared" si="105"/>
        <v>33.27900552486188</v>
      </c>
      <c r="I725" s="39"/>
      <c r="J725" s="46">
        <v>4018444</v>
      </c>
      <c r="K725" s="2">
        <f t="shared" si="100"/>
        <v>0</v>
      </c>
      <c r="L725" s="160">
        <f t="shared" si="97"/>
        <v>0</v>
      </c>
      <c r="M725" s="39"/>
      <c r="N725" s="42">
        <v>706086</v>
      </c>
      <c r="O725" s="3">
        <f t="shared" si="102"/>
        <v>0</v>
      </c>
      <c r="P725" s="358"/>
      <c r="Q725" s="42">
        <v>628346</v>
      </c>
      <c r="R725" s="44">
        <f t="shared" si="99"/>
        <v>0</v>
      </c>
      <c r="S725" s="358"/>
      <c r="T725" s="46">
        <v>15965</v>
      </c>
      <c r="U725" s="166">
        <f t="shared" si="106"/>
        <v>0</v>
      </c>
      <c r="V725" s="39"/>
      <c r="W725" s="46">
        <v>46232</v>
      </c>
      <c r="X725" s="12">
        <f t="shared" ref="X725:X784" si="108">W726-W725</f>
        <v>0</v>
      </c>
      <c r="Y725" s="39"/>
      <c r="Z725" s="243"/>
    </row>
    <row r="726" spans="1:26">
      <c r="A726" s="150">
        <v>45255</v>
      </c>
      <c r="B726" s="154" t="s">
        <v>107</v>
      </c>
      <c r="C726" s="46">
        <v>3078381</v>
      </c>
      <c r="D726" s="322">
        <f t="shared" si="104"/>
        <v>629</v>
      </c>
      <c r="E726" s="39"/>
      <c r="F726" s="46">
        <v>6886701</v>
      </c>
      <c r="G726" s="273">
        <f>IF(F727&gt;0,F727-F726," ")</f>
        <v>6671</v>
      </c>
      <c r="H726" s="156">
        <f t="shared" si="105"/>
        <v>15.759668508287293</v>
      </c>
      <c r="I726" s="39"/>
      <c r="J726" s="46">
        <v>4018444</v>
      </c>
      <c r="K726" s="2">
        <f t="shared" si="100"/>
        <v>0</v>
      </c>
      <c r="L726" s="160">
        <f t="shared" si="97"/>
        <v>0</v>
      </c>
      <c r="M726" s="39"/>
      <c r="N726" s="42">
        <v>706086</v>
      </c>
      <c r="O726" s="3">
        <f t="shared" si="102"/>
        <v>0</v>
      </c>
      <c r="P726" s="358"/>
      <c r="Q726" s="42">
        <v>628346</v>
      </c>
      <c r="R726" s="44">
        <f t="shared" si="99"/>
        <v>0</v>
      </c>
      <c r="S726" s="358"/>
      <c r="T726" s="46">
        <v>15965</v>
      </c>
      <c r="U726" s="166">
        <f t="shared" si="106"/>
        <v>0</v>
      </c>
      <c r="V726" s="39"/>
      <c r="W726" s="46">
        <v>46232</v>
      </c>
      <c r="X726" s="12">
        <f t="shared" si="108"/>
        <v>0</v>
      </c>
      <c r="Y726" s="39"/>
      <c r="Z726" s="243"/>
    </row>
    <row r="727" spans="1:26">
      <c r="A727" s="150">
        <v>45256</v>
      </c>
      <c r="B727" s="154" t="s">
        <v>36</v>
      </c>
      <c r="C727" s="46">
        <v>3079010</v>
      </c>
      <c r="D727" s="322">
        <f t="shared" si="104"/>
        <v>507</v>
      </c>
      <c r="E727" s="39"/>
      <c r="F727" s="46">
        <v>6893372</v>
      </c>
      <c r="G727" s="273">
        <f t="shared" si="107"/>
        <v>6045</v>
      </c>
      <c r="H727" s="156">
        <f t="shared" si="105"/>
        <v>13.693370165745856</v>
      </c>
      <c r="I727" s="39"/>
      <c r="J727" s="46">
        <v>4018444</v>
      </c>
      <c r="K727" s="2">
        <f t="shared" si="100"/>
        <v>5089</v>
      </c>
      <c r="L727" s="160">
        <f t="shared" si="97"/>
        <v>37.696296296296296</v>
      </c>
      <c r="M727" s="39"/>
      <c r="N727" s="42">
        <v>706086</v>
      </c>
      <c r="O727" s="3">
        <f t="shared" si="102"/>
        <v>2198</v>
      </c>
      <c r="P727" s="358"/>
      <c r="Q727" s="42">
        <v>628346</v>
      </c>
      <c r="R727" s="44">
        <f t="shared" si="99"/>
        <v>326</v>
      </c>
      <c r="S727" s="358"/>
      <c r="T727" s="46">
        <v>15965</v>
      </c>
      <c r="U727" s="166">
        <f t="shared" si="106"/>
        <v>10</v>
      </c>
      <c r="V727" s="39"/>
      <c r="W727" s="46">
        <v>46232</v>
      </c>
      <c r="X727" s="12">
        <f t="shared" si="108"/>
        <v>0</v>
      </c>
      <c r="Y727" s="39"/>
      <c r="Z727" s="243"/>
    </row>
    <row r="728" spans="1:26">
      <c r="A728" s="150">
        <v>45257</v>
      </c>
      <c r="B728" s="154" t="s">
        <v>108</v>
      </c>
      <c r="C728" s="46">
        <v>3079517</v>
      </c>
      <c r="D728" s="322">
        <f t="shared" si="104"/>
        <v>539</v>
      </c>
      <c r="E728" s="39"/>
      <c r="F728" s="46">
        <v>6899417</v>
      </c>
      <c r="G728" s="273">
        <f t="shared" si="107"/>
        <v>7771</v>
      </c>
      <c r="H728" s="156">
        <f t="shared" si="105"/>
        <v>18.549723756906076</v>
      </c>
      <c r="I728" s="39"/>
      <c r="J728" s="46">
        <v>4023533</v>
      </c>
      <c r="K728" s="2">
        <f t="shared" si="100"/>
        <v>4729</v>
      </c>
      <c r="L728" s="160">
        <f t="shared" si="97"/>
        <v>35.029629629629632</v>
      </c>
      <c r="M728" s="39"/>
      <c r="N728" s="42">
        <v>708284</v>
      </c>
      <c r="O728" s="3">
        <f t="shared" si="102"/>
        <v>764</v>
      </c>
      <c r="P728" s="358"/>
      <c r="Q728" s="42">
        <v>628672</v>
      </c>
      <c r="R728" s="44">
        <f t="shared" si="99"/>
        <v>149</v>
      </c>
      <c r="S728" s="358"/>
      <c r="T728" s="46">
        <v>15975</v>
      </c>
      <c r="U728" s="166">
        <f t="shared" si="106"/>
        <v>65</v>
      </c>
      <c r="V728" s="39"/>
      <c r="W728" s="46">
        <v>46232</v>
      </c>
      <c r="X728" s="12">
        <f t="shared" si="108"/>
        <v>2</v>
      </c>
      <c r="Y728" s="39"/>
      <c r="Z728" s="243"/>
    </row>
    <row r="729" spans="1:26">
      <c r="A729" s="150">
        <v>45258</v>
      </c>
      <c r="B729" s="154" t="s">
        <v>109</v>
      </c>
      <c r="C729" s="46">
        <v>3080056</v>
      </c>
      <c r="D729" s="322">
        <f t="shared" si="104"/>
        <v>580</v>
      </c>
      <c r="E729" s="39"/>
      <c r="F729" s="46">
        <v>6907188</v>
      </c>
      <c r="G729" s="273">
        <f t="shared" si="107"/>
        <v>7831</v>
      </c>
      <c r="H729" s="156">
        <f t="shared" si="105"/>
        <v>18.828729281767956</v>
      </c>
      <c r="I729" s="39"/>
      <c r="J729" s="46">
        <v>4028262</v>
      </c>
      <c r="K729" s="2">
        <f t="shared" si="100"/>
        <v>4887</v>
      </c>
      <c r="L729" s="160">
        <f t="shared" si="97"/>
        <v>36.200000000000003</v>
      </c>
      <c r="M729" s="39"/>
      <c r="N729" s="42">
        <v>709048</v>
      </c>
      <c r="O729" s="3">
        <f t="shared" si="102"/>
        <v>1017</v>
      </c>
      <c r="P729" s="358"/>
      <c r="Q729" s="42">
        <v>628821</v>
      </c>
      <c r="R729" s="44">
        <f t="shared" si="99"/>
        <v>121</v>
      </c>
      <c r="S729" s="358"/>
      <c r="T729" s="46">
        <v>16040</v>
      </c>
      <c r="U729" s="166">
        <f t="shared" si="106"/>
        <v>0</v>
      </c>
      <c r="V729" s="39"/>
      <c r="W729" s="46">
        <v>46234</v>
      </c>
      <c r="X729" s="12">
        <f t="shared" si="108"/>
        <v>0</v>
      </c>
      <c r="Y729" s="39"/>
      <c r="Z729" s="243"/>
    </row>
    <row r="730" spans="1:26">
      <c r="A730" s="150">
        <v>45259</v>
      </c>
      <c r="B730" s="154" t="s">
        <v>110</v>
      </c>
      <c r="C730" s="46">
        <v>3080636</v>
      </c>
      <c r="D730" s="322">
        <f t="shared" si="104"/>
        <v>437</v>
      </c>
      <c r="E730" s="39"/>
      <c r="F730" s="46">
        <v>6915019</v>
      </c>
      <c r="G730" s="273">
        <f t="shared" si="107"/>
        <v>7740</v>
      </c>
      <c r="H730" s="156">
        <f t="shared" si="105"/>
        <v>18.182320441988949</v>
      </c>
      <c r="I730" s="39"/>
      <c r="J730" s="46">
        <v>4033149</v>
      </c>
      <c r="K730" s="2">
        <f t="shared" si="100"/>
        <v>5416</v>
      </c>
      <c r="L730" s="160">
        <f t="shared" si="97"/>
        <v>40.11851851851852</v>
      </c>
      <c r="M730" s="39"/>
      <c r="N730" s="42">
        <v>710065</v>
      </c>
      <c r="O730" s="3">
        <f t="shared" si="102"/>
        <v>866</v>
      </c>
      <c r="P730" s="358"/>
      <c r="Q730" s="42">
        <v>628942</v>
      </c>
      <c r="R730" s="44">
        <f t="shared" si="99"/>
        <v>154</v>
      </c>
      <c r="S730" s="358"/>
      <c r="T730" s="46">
        <v>16040</v>
      </c>
      <c r="U730" s="166">
        <f>T731-T730</f>
        <v>3</v>
      </c>
      <c r="V730" s="39"/>
      <c r="W730" s="46">
        <v>46234</v>
      </c>
      <c r="X730" s="12">
        <f t="shared" si="108"/>
        <v>12</v>
      </c>
      <c r="Y730" s="39"/>
      <c r="Z730" s="243"/>
    </row>
    <row r="731" spans="1:26">
      <c r="A731" s="150">
        <v>45260</v>
      </c>
      <c r="B731" s="154" t="s">
        <v>111</v>
      </c>
      <c r="C731" s="46">
        <v>3081073</v>
      </c>
      <c r="D731" s="322">
        <f t="shared" si="104"/>
        <v>7001</v>
      </c>
      <c r="E731" s="39"/>
      <c r="F731" s="46">
        <v>6922759</v>
      </c>
      <c r="G731" s="273">
        <f t="shared" si="107"/>
        <v>10295</v>
      </c>
      <c r="H731" s="156">
        <f t="shared" si="105"/>
        <v>43.372928176795583</v>
      </c>
      <c r="I731" s="39"/>
      <c r="J731" s="46">
        <v>4038565</v>
      </c>
      <c r="K731" s="2">
        <f t="shared" si="100"/>
        <v>5670</v>
      </c>
      <c r="L731" s="160">
        <f t="shared" si="97"/>
        <v>42</v>
      </c>
      <c r="M731" s="39"/>
      <c r="N731" s="42">
        <v>710931</v>
      </c>
      <c r="O731" s="3">
        <f t="shared" si="102"/>
        <v>836</v>
      </c>
      <c r="P731" s="358"/>
      <c r="Q731" s="42">
        <v>629096</v>
      </c>
      <c r="R731" s="44">
        <f t="shared" si="99"/>
        <v>479</v>
      </c>
      <c r="S731" s="358"/>
      <c r="T731" s="46">
        <v>16043</v>
      </c>
      <c r="U731" s="166">
        <f t="shared" si="106"/>
        <v>0</v>
      </c>
      <c r="V731" s="39"/>
      <c r="W731" s="46">
        <v>46246</v>
      </c>
      <c r="X731" s="12">
        <f t="shared" si="108"/>
        <v>0</v>
      </c>
      <c r="Y731" s="39"/>
      <c r="Z731" s="243"/>
    </row>
    <row r="732" spans="1:26">
      <c r="A732" s="150">
        <v>45261</v>
      </c>
      <c r="B732" s="154" t="s">
        <v>106</v>
      </c>
      <c r="C732" s="46">
        <v>3088074</v>
      </c>
      <c r="D732" s="322">
        <f t="shared" si="104"/>
        <v>19949</v>
      </c>
      <c r="E732" s="39"/>
      <c r="F732" s="46">
        <v>6933054</v>
      </c>
      <c r="G732" s="273">
        <f t="shared" si="107"/>
        <v>0</v>
      </c>
      <c r="H732" s="156">
        <f t="shared" si="105"/>
        <v>50.701657458563538</v>
      </c>
      <c r="I732" s="39"/>
      <c r="J732" s="46">
        <v>4044235</v>
      </c>
      <c r="K732" s="2">
        <f t="shared" si="100"/>
        <v>3919</v>
      </c>
      <c r="L732" s="160">
        <f t="shared" si="97"/>
        <v>29.029629629629628</v>
      </c>
      <c r="M732" s="39"/>
      <c r="N732" s="42">
        <v>711767</v>
      </c>
      <c r="O732" s="3">
        <f t="shared" si="102"/>
        <v>830</v>
      </c>
      <c r="P732" s="358"/>
      <c r="Q732" s="42">
        <v>629575</v>
      </c>
      <c r="R732" s="44">
        <f t="shared" si="99"/>
        <v>0</v>
      </c>
      <c r="S732" s="358"/>
      <c r="T732" s="46">
        <v>16043</v>
      </c>
      <c r="U732" s="166">
        <f t="shared" si="106"/>
        <v>0</v>
      </c>
      <c r="V732" s="39"/>
      <c r="W732" s="46">
        <v>46246</v>
      </c>
      <c r="X732" s="12">
        <f t="shared" si="108"/>
        <v>0</v>
      </c>
      <c r="Y732" s="39"/>
      <c r="Z732" s="243"/>
    </row>
    <row r="733" spans="1:26">
      <c r="A733" s="150">
        <v>45262</v>
      </c>
      <c r="B733" s="154" t="s">
        <v>107</v>
      </c>
      <c r="C733" s="46">
        <v>3108023</v>
      </c>
      <c r="D733" s="322">
        <f t="shared" si="104"/>
        <v>0</v>
      </c>
      <c r="E733" s="39"/>
      <c r="F733" s="46">
        <v>6933054</v>
      </c>
      <c r="G733" s="273">
        <f t="shared" si="107"/>
        <v>16123</v>
      </c>
      <c r="H733" s="156">
        <f t="shared" si="105"/>
        <v>40.132596685082873</v>
      </c>
      <c r="I733" s="39"/>
      <c r="J733" s="46">
        <v>4048154</v>
      </c>
      <c r="K733" s="2">
        <f t="shared" si="100"/>
        <v>0</v>
      </c>
      <c r="L733" s="160">
        <f t="shared" si="97"/>
        <v>0</v>
      </c>
      <c r="M733" s="39"/>
      <c r="N733" s="42">
        <v>712597</v>
      </c>
      <c r="O733" s="3">
        <f t="shared" si="102"/>
        <v>1125</v>
      </c>
      <c r="P733" s="358"/>
      <c r="Q733" s="42">
        <v>629575</v>
      </c>
      <c r="R733" s="44">
        <f t="shared" si="99"/>
        <v>0</v>
      </c>
      <c r="S733" s="358"/>
      <c r="T733" s="46">
        <v>16043</v>
      </c>
      <c r="U733" s="166">
        <f t="shared" si="106"/>
        <v>0</v>
      </c>
      <c r="V733" s="39"/>
      <c r="W733" s="46">
        <v>46246</v>
      </c>
      <c r="X733" s="12">
        <f t="shared" si="108"/>
        <v>0</v>
      </c>
      <c r="Y733" s="39"/>
      <c r="Z733" s="243"/>
    </row>
    <row r="734" spans="1:26">
      <c r="A734" s="150">
        <v>45263</v>
      </c>
      <c r="B734" s="154" t="s">
        <v>36</v>
      </c>
      <c r="C734" s="46">
        <v>3108023</v>
      </c>
      <c r="D734" s="322">
        <f t="shared" si="104"/>
        <v>6977</v>
      </c>
      <c r="E734" s="39"/>
      <c r="F734" s="46">
        <v>6949177</v>
      </c>
      <c r="G734" s="273">
        <f t="shared" si="107"/>
        <v>5329</v>
      </c>
      <c r="H734" s="156">
        <f t="shared" si="105"/>
        <v>29.58839779005525</v>
      </c>
      <c r="I734" s="39"/>
      <c r="J734" s="46">
        <v>4048154</v>
      </c>
      <c r="K734" s="2">
        <f t="shared" si="100"/>
        <v>0</v>
      </c>
      <c r="L734" s="160">
        <f t="shared" si="97"/>
        <v>0</v>
      </c>
      <c r="M734" s="39"/>
      <c r="N734" s="42">
        <v>713722</v>
      </c>
      <c r="O734" s="3">
        <f t="shared" si="102"/>
        <v>0</v>
      </c>
      <c r="P734" s="358"/>
      <c r="Q734" s="42">
        <v>629575</v>
      </c>
      <c r="R734" s="44">
        <f t="shared" si="99"/>
        <v>0</v>
      </c>
      <c r="S734" s="358"/>
      <c r="T734" s="46">
        <v>16043</v>
      </c>
      <c r="U734" s="166">
        <f t="shared" si="106"/>
        <v>11</v>
      </c>
      <c r="V734" s="39"/>
      <c r="W734" s="46">
        <v>46246</v>
      </c>
      <c r="X734" s="12">
        <f t="shared" si="108"/>
        <v>1</v>
      </c>
      <c r="Y734" s="39"/>
      <c r="Z734" s="243"/>
    </row>
    <row r="735" spans="1:26">
      <c r="A735" s="150">
        <v>45264</v>
      </c>
      <c r="B735" s="154" t="s">
        <v>108</v>
      </c>
      <c r="C735" s="46">
        <v>3115000</v>
      </c>
      <c r="D735" s="322">
        <f t="shared" si="104"/>
        <v>6264</v>
      </c>
      <c r="E735" s="39"/>
      <c r="F735" s="46">
        <v>6954506</v>
      </c>
      <c r="G735" s="273">
        <f t="shared" si="107"/>
        <v>7576</v>
      </c>
      <c r="H735" s="156">
        <f t="shared" si="105"/>
        <v>33.825966850828728</v>
      </c>
      <c r="I735" s="39"/>
      <c r="J735" s="46">
        <v>4048154</v>
      </c>
      <c r="K735" s="2">
        <f t="shared" si="100"/>
        <v>6920</v>
      </c>
      <c r="L735" s="160">
        <f t="shared" si="97"/>
        <v>51.25925925925926</v>
      </c>
      <c r="M735" s="39"/>
      <c r="N735" s="42">
        <v>713722</v>
      </c>
      <c r="O735" s="3">
        <f t="shared" si="102"/>
        <v>912</v>
      </c>
      <c r="P735" s="358"/>
      <c r="Q735" s="42">
        <v>629575</v>
      </c>
      <c r="R735" s="44">
        <f t="shared" si="99"/>
        <v>298</v>
      </c>
      <c r="S735" s="358"/>
      <c r="T735" s="46">
        <v>16054</v>
      </c>
      <c r="U735" s="166">
        <f t="shared" si="106"/>
        <v>2</v>
      </c>
      <c r="V735" s="39"/>
      <c r="W735" s="46">
        <v>46247</v>
      </c>
      <c r="X735" s="12">
        <f t="shared" si="108"/>
        <v>1</v>
      </c>
      <c r="Y735" s="39"/>
      <c r="Z735" s="243"/>
    </row>
    <row r="736" spans="1:26">
      <c r="A736" s="150">
        <v>45265</v>
      </c>
      <c r="B736" s="154" t="s">
        <v>109</v>
      </c>
      <c r="C736" s="46">
        <v>3121264</v>
      </c>
      <c r="D736" s="322">
        <f t="shared" si="104"/>
        <v>99</v>
      </c>
      <c r="E736" s="39"/>
      <c r="F736" s="46">
        <v>6962082</v>
      </c>
      <c r="G736" s="273">
        <f t="shared" si="107"/>
        <v>7761</v>
      </c>
      <c r="H736" s="156">
        <f t="shared" si="105"/>
        <v>17.306629834254142</v>
      </c>
      <c r="I736" s="39"/>
      <c r="J736" s="46">
        <v>4055074</v>
      </c>
      <c r="K736" s="2">
        <f t="shared" si="100"/>
        <v>9172</v>
      </c>
      <c r="L736" s="160">
        <f t="shared" si="97"/>
        <v>67.940740740740736</v>
      </c>
      <c r="M736" s="39"/>
      <c r="N736" s="42">
        <v>714634</v>
      </c>
      <c r="O736" s="3">
        <f t="shared" si="102"/>
        <v>885</v>
      </c>
      <c r="P736" s="358"/>
      <c r="Q736" s="42">
        <v>629873</v>
      </c>
      <c r="R736" s="44">
        <f t="shared" si="99"/>
        <v>0</v>
      </c>
      <c r="S736" s="358"/>
      <c r="T736" s="277">
        <v>16056</v>
      </c>
      <c r="U736" s="166">
        <f t="shared" si="106"/>
        <v>3</v>
      </c>
      <c r="V736" s="39"/>
      <c r="W736" s="46">
        <v>46248</v>
      </c>
      <c r="X736" s="12">
        <f t="shared" si="108"/>
        <v>0</v>
      </c>
      <c r="Y736" s="39"/>
      <c r="Z736" s="243"/>
    </row>
    <row r="737" spans="1:26">
      <c r="A737" s="150">
        <v>45266</v>
      </c>
      <c r="B737" s="154" t="s">
        <v>110</v>
      </c>
      <c r="C737" s="46">
        <v>3121363</v>
      </c>
      <c r="D737" s="322">
        <f t="shared" si="104"/>
        <v>52</v>
      </c>
      <c r="E737" s="39"/>
      <c r="F737" s="46">
        <v>6969843</v>
      </c>
      <c r="G737" s="273">
        <f t="shared" si="107"/>
        <v>7729</v>
      </c>
      <c r="H737" s="156">
        <f t="shared" si="105"/>
        <v>17.08839779005525</v>
      </c>
      <c r="I737" s="39"/>
      <c r="J737" s="46">
        <v>4064246</v>
      </c>
      <c r="K737" s="2">
        <f t="shared" si="100"/>
        <v>4945</v>
      </c>
      <c r="L737" s="160">
        <f t="shared" si="97"/>
        <v>36.629629629629626</v>
      </c>
      <c r="M737" s="39"/>
      <c r="N737" s="45">
        <v>715519</v>
      </c>
      <c r="O737" s="8">
        <f t="shared" si="102"/>
        <v>907</v>
      </c>
      <c r="P737" s="9"/>
      <c r="Q737" s="42">
        <v>629873</v>
      </c>
      <c r="R737" s="44">
        <f t="shared" si="99"/>
        <v>255</v>
      </c>
      <c r="S737" s="358"/>
      <c r="T737" s="46">
        <v>16059</v>
      </c>
      <c r="U737" s="166">
        <f t="shared" si="106"/>
        <v>5</v>
      </c>
      <c r="V737" s="39"/>
      <c r="W737" s="46">
        <v>46248</v>
      </c>
      <c r="X737" s="12">
        <f t="shared" si="108"/>
        <v>0</v>
      </c>
      <c r="Y737" s="39"/>
      <c r="Z737" s="243"/>
    </row>
    <row r="738" spans="1:26">
      <c r="A738" s="150">
        <v>45267</v>
      </c>
      <c r="B738" s="154" t="s">
        <v>111</v>
      </c>
      <c r="C738" s="46">
        <v>3121415</v>
      </c>
      <c r="D738" s="322">
        <f t="shared" si="104"/>
        <v>4498</v>
      </c>
      <c r="E738" s="39"/>
      <c r="F738" s="46">
        <v>6977572</v>
      </c>
      <c r="G738" s="273">
        <f t="shared" si="107"/>
        <v>7673</v>
      </c>
      <c r="H738" s="156">
        <f t="shared" si="105"/>
        <v>29.215469613259668</v>
      </c>
      <c r="I738" s="39"/>
      <c r="J738" s="46">
        <v>4069191</v>
      </c>
      <c r="K738" s="2">
        <f t="shared" si="100"/>
        <v>4657</v>
      </c>
      <c r="L738" s="160">
        <f t="shared" si="97"/>
        <v>34.496296296296293</v>
      </c>
      <c r="M738" s="39"/>
      <c r="N738" s="45">
        <v>716426</v>
      </c>
      <c r="O738" s="8">
        <f t="shared" si="102"/>
        <v>791</v>
      </c>
      <c r="P738" s="9"/>
      <c r="Q738" s="42">
        <v>630128</v>
      </c>
      <c r="R738" s="44">
        <f t="shared" si="99"/>
        <v>230</v>
      </c>
      <c r="S738" s="358"/>
      <c r="T738" s="46">
        <v>16064</v>
      </c>
      <c r="U738" s="166">
        <f t="shared" si="106"/>
        <v>2</v>
      </c>
      <c r="V738" s="39"/>
      <c r="W738" s="46">
        <v>46248</v>
      </c>
      <c r="X738" s="12">
        <f t="shared" si="108"/>
        <v>1</v>
      </c>
      <c r="Y738" s="39"/>
      <c r="Z738" s="243"/>
    </row>
    <row r="739" spans="1:26">
      <c r="A739" s="150">
        <v>45268</v>
      </c>
      <c r="B739" s="154" t="s">
        <v>106</v>
      </c>
      <c r="C739" s="46">
        <v>3125913</v>
      </c>
      <c r="D739" s="322">
        <f t="shared" si="104"/>
        <v>20376</v>
      </c>
      <c r="E739" s="39"/>
      <c r="F739" s="46">
        <v>6985245</v>
      </c>
      <c r="G739" s="273">
        <f t="shared" si="107"/>
        <v>31024</v>
      </c>
      <c r="H739" s="156">
        <f t="shared" si="105"/>
        <v>137.58287292817678</v>
      </c>
      <c r="I739" s="39"/>
      <c r="J739" s="46">
        <v>4073848</v>
      </c>
      <c r="K739" s="2">
        <f t="shared" si="100"/>
        <v>10067</v>
      </c>
      <c r="L739" s="160">
        <f t="shared" si="97"/>
        <v>74.57037037037037</v>
      </c>
      <c r="M739" s="39"/>
      <c r="N739" s="45">
        <v>717217</v>
      </c>
      <c r="O739" s="8">
        <f t="shared" si="102"/>
        <v>944</v>
      </c>
      <c r="P739" s="9"/>
      <c r="Q739" s="42">
        <v>630358</v>
      </c>
      <c r="R739" s="44">
        <f t="shared" si="99"/>
        <v>325</v>
      </c>
      <c r="S739" s="358"/>
      <c r="T739" s="46">
        <v>16066</v>
      </c>
      <c r="U739" s="166">
        <f t="shared" si="106"/>
        <v>8</v>
      </c>
      <c r="V739" s="39"/>
      <c r="W739" s="46">
        <v>46249</v>
      </c>
      <c r="X739" s="12">
        <f t="shared" si="108"/>
        <v>1</v>
      </c>
      <c r="Y739" s="39"/>
      <c r="Z739" s="243"/>
    </row>
    <row r="740" spans="1:26">
      <c r="A740" s="150">
        <v>45269</v>
      </c>
      <c r="B740" s="154" t="s">
        <v>107</v>
      </c>
      <c r="C740" s="46">
        <v>3146289</v>
      </c>
      <c r="D740" s="322">
        <f t="shared" si="104"/>
        <v>0</v>
      </c>
      <c r="E740" s="39"/>
      <c r="F740" s="46">
        <v>7016269</v>
      </c>
      <c r="G740" s="273">
        <f t="shared" si="107"/>
        <v>0</v>
      </c>
      <c r="H740" s="156">
        <f t="shared" si="105"/>
        <v>-4.4060773480662982</v>
      </c>
      <c r="I740" s="39"/>
      <c r="J740" s="46">
        <v>4083915</v>
      </c>
      <c r="K740" s="2">
        <f t="shared" si="100"/>
        <v>0</v>
      </c>
      <c r="L740" s="160">
        <f t="shared" ref="L740:L803" si="109">K740/135</f>
        <v>0</v>
      </c>
      <c r="M740" s="39"/>
      <c r="N740" s="45">
        <v>718161</v>
      </c>
      <c r="O740" s="8">
        <f t="shared" si="102"/>
        <v>1120</v>
      </c>
      <c r="P740" s="9"/>
      <c r="Q740" s="42">
        <v>630683</v>
      </c>
      <c r="R740" s="44">
        <f t="shared" ref="R740:R765" si="110">Q741-Q740</f>
        <v>0</v>
      </c>
      <c r="S740" s="358"/>
      <c r="T740" s="46">
        <v>16074</v>
      </c>
      <c r="U740" s="166">
        <f t="shared" si="106"/>
        <v>0</v>
      </c>
      <c r="V740" s="39"/>
      <c r="W740" s="46">
        <v>46250</v>
      </c>
      <c r="X740" s="12">
        <f t="shared" si="108"/>
        <v>0</v>
      </c>
      <c r="Y740" s="39"/>
      <c r="Z740" s="243"/>
    </row>
    <row r="741" spans="1:26">
      <c r="A741" s="150">
        <v>45270</v>
      </c>
      <c r="B741" s="154" t="s">
        <v>36</v>
      </c>
      <c r="C741" s="46">
        <v>3146289</v>
      </c>
      <c r="D741" s="322">
        <f t="shared" si="104"/>
        <v>0</v>
      </c>
      <c r="E741" s="39"/>
      <c r="F741" s="46">
        <v>7016269</v>
      </c>
      <c r="G741" s="273">
        <f t="shared" si="107"/>
        <v>0</v>
      </c>
      <c r="H741" s="156">
        <f t="shared" si="105"/>
        <v>-4.4060773480662982</v>
      </c>
      <c r="I741" s="39"/>
      <c r="J741" s="46">
        <v>4083915</v>
      </c>
      <c r="K741" s="2">
        <f t="shared" si="100"/>
        <v>0</v>
      </c>
      <c r="L741" s="160">
        <f t="shared" si="109"/>
        <v>0</v>
      </c>
      <c r="M741" s="39"/>
      <c r="N741" s="45">
        <v>719281</v>
      </c>
      <c r="O741" s="8">
        <f t="shared" si="102"/>
        <v>0</v>
      </c>
      <c r="P741" s="9"/>
      <c r="Q741" s="42">
        <v>630683</v>
      </c>
      <c r="R741" s="44">
        <f t="shared" si="110"/>
        <v>0</v>
      </c>
      <c r="S741" s="358"/>
      <c r="T741" s="46">
        <v>16074</v>
      </c>
      <c r="U741" s="166">
        <f t="shared" si="106"/>
        <v>0</v>
      </c>
      <c r="V741" s="39"/>
      <c r="W741" s="46">
        <v>46250</v>
      </c>
      <c r="X741" s="12">
        <f t="shared" si="108"/>
        <v>0</v>
      </c>
      <c r="Y741" s="39"/>
      <c r="Z741" s="243"/>
    </row>
    <row r="742" spans="1:26">
      <c r="A742" s="150">
        <v>45271</v>
      </c>
      <c r="B742" s="154" t="s">
        <v>108</v>
      </c>
      <c r="C742" s="46">
        <v>3146289</v>
      </c>
      <c r="D742" s="322">
        <f t="shared" si="104"/>
        <v>0</v>
      </c>
      <c r="E742" s="40" t="s">
        <v>78</v>
      </c>
      <c r="F742" s="46">
        <v>7016269</v>
      </c>
      <c r="G742" s="273">
        <f t="shared" si="107"/>
        <v>0</v>
      </c>
      <c r="H742" s="156">
        <f t="shared" si="105"/>
        <v>-4.4060773480662982</v>
      </c>
      <c r="I742" s="40" t="s">
        <v>78</v>
      </c>
      <c r="J742" s="46">
        <v>4083915</v>
      </c>
      <c r="K742" s="2">
        <f t="shared" si="100"/>
        <v>0</v>
      </c>
      <c r="L742" s="160">
        <f t="shared" si="109"/>
        <v>0</v>
      </c>
      <c r="M742" s="39"/>
      <c r="N742" s="45">
        <v>719281</v>
      </c>
      <c r="O742" s="8">
        <f t="shared" si="102"/>
        <v>787</v>
      </c>
      <c r="P742" s="9"/>
      <c r="Q742" s="42">
        <v>630683</v>
      </c>
      <c r="R742" s="44">
        <f t="shared" si="110"/>
        <v>178</v>
      </c>
      <c r="S742" s="358"/>
      <c r="T742" s="46">
        <v>16074</v>
      </c>
      <c r="U742" s="166">
        <f t="shared" si="106"/>
        <v>0</v>
      </c>
      <c r="V742" s="278" t="s">
        <v>119</v>
      </c>
      <c r="W742" s="46">
        <v>46250</v>
      </c>
      <c r="X742" s="12">
        <f t="shared" si="108"/>
        <v>0</v>
      </c>
      <c r="Y742" s="278" t="s">
        <v>120</v>
      </c>
      <c r="Z742" s="243"/>
    </row>
    <row r="743" spans="1:26">
      <c r="A743" s="150">
        <v>45272</v>
      </c>
      <c r="B743" s="154" t="s">
        <v>109</v>
      </c>
      <c r="C743" s="305">
        <v>3146289</v>
      </c>
      <c r="D743" s="325">
        <f t="shared" si="104"/>
        <v>11</v>
      </c>
      <c r="E743" s="306"/>
      <c r="F743" s="305">
        <v>7016269</v>
      </c>
      <c r="G743" s="307">
        <f t="shared" si="107"/>
        <v>7733</v>
      </c>
      <c r="H743" s="308">
        <f t="shared" si="105"/>
        <v>16.986187845303867</v>
      </c>
      <c r="I743" s="306"/>
      <c r="J743" s="305">
        <v>4083915</v>
      </c>
      <c r="K743" s="309">
        <f t="shared" si="100"/>
        <v>4563</v>
      </c>
      <c r="L743" s="310">
        <f t="shared" si="109"/>
        <v>33.799999999999997</v>
      </c>
      <c r="M743" s="306"/>
      <c r="N743" s="45">
        <v>720068</v>
      </c>
      <c r="O743" s="8">
        <f t="shared" si="102"/>
        <v>936</v>
      </c>
      <c r="P743" s="9"/>
      <c r="Q743" s="42">
        <v>630861</v>
      </c>
      <c r="R743" s="44">
        <f t="shared" si="110"/>
        <v>80</v>
      </c>
      <c r="S743" s="358"/>
      <c r="T743" s="45">
        <v>16074</v>
      </c>
      <c r="U743" s="9">
        <f t="shared" si="106"/>
        <v>10</v>
      </c>
      <c r="V743" s="38"/>
      <c r="W743" s="45">
        <v>46250</v>
      </c>
      <c r="X743" s="8">
        <f t="shared" si="108"/>
        <v>45</v>
      </c>
      <c r="Y743" s="38"/>
      <c r="Z743" s="243"/>
    </row>
    <row r="744" spans="1:26">
      <c r="A744" s="150">
        <v>45273</v>
      </c>
      <c r="B744" s="154" t="s">
        <v>110</v>
      </c>
      <c r="C744" s="305">
        <v>3146300</v>
      </c>
      <c r="D744" s="325">
        <f t="shared" si="104"/>
        <v>76</v>
      </c>
      <c r="E744" s="306"/>
      <c r="F744" s="305">
        <v>7024002</v>
      </c>
      <c r="G744" s="307">
        <f t="shared" si="107"/>
        <v>9097</v>
      </c>
      <c r="H744" s="308">
        <f t="shared" si="105"/>
        <v>20.933701657458563</v>
      </c>
      <c r="I744" s="306"/>
      <c r="J744" s="305">
        <v>4088478</v>
      </c>
      <c r="K744" s="309">
        <f t="shared" si="100"/>
        <v>13225</v>
      </c>
      <c r="L744" s="310">
        <f t="shared" si="109"/>
        <v>97.962962962962962</v>
      </c>
      <c r="M744" s="306"/>
      <c r="N744" s="45">
        <v>721004</v>
      </c>
      <c r="O744" s="8">
        <f t="shared" si="102"/>
        <v>904</v>
      </c>
      <c r="P744" s="9"/>
      <c r="Q744" s="42">
        <v>630941</v>
      </c>
      <c r="R744" s="44">
        <f t="shared" si="110"/>
        <v>115</v>
      </c>
      <c r="S744" s="358"/>
      <c r="T744" s="45">
        <v>16084</v>
      </c>
      <c r="U744" s="9">
        <f t="shared" si="106"/>
        <v>0</v>
      </c>
      <c r="V744" s="38"/>
      <c r="W744" s="45">
        <v>46295</v>
      </c>
      <c r="X744" s="8">
        <f t="shared" si="108"/>
        <v>0</v>
      </c>
      <c r="Y744" s="38"/>
      <c r="Z744" s="243"/>
    </row>
    <row r="745" spans="1:26">
      <c r="A745" s="150">
        <v>45274</v>
      </c>
      <c r="B745" s="154" t="s">
        <v>111</v>
      </c>
      <c r="C745" s="305">
        <v>3146376</v>
      </c>
      <c r="D745" s="325">
        <f t="shared" si="104"/>
        <v>18854</v>
      </c>
      <c r="E745" s="306"/>
      <c r="F745" s="305">
        <v>7033099</v>
      </c>
      <c r="G745" s="307">
        <f t="shared" si="107"/>
        <v>24540</v>
      </c>
      <c r="H745" s="308">
        <f t="shared" si="105"/>
        <v>115.46685082872928</v>
      </c>
      <c r="I745" s="306"/>
      <c r="J745" s="305">
        <v>4101703</v>
      </c>
      <c r="K745" s="309">
        <f t="shared" si="100"/>
        <v>7604</v>
      </c>
      <c r="L745" s="310">
        <f t="shared" si="109"/>
        <v>56.325925925925922</v>
      </c>
      <c r="M745" s="306"/>
      <c r="N745" s="45">
        <v>721908</v>
      </c>
      <c r="O745" s="8">
        <f t="shared" si="102"/>
        <v>1059</v>
      </c>
      <c r="P745" s="9"/>
      <c r="Q745" s="42">
        <v>631056</v>
      </c>
      <c r="R745" s="44">
        <f t="shared" si="110"/>
        <v>138</v>
      </c>
      <c r="S745" s="358"/>
      <c r="T745" s="45">
        <v>16084</v>
      </c>
      <c r="U745" s="9">
        <f t="shared" si="106"/>
        <v>6</v>
      </c>
      <c r="V745" s="38"/>
      <c r="W745" s="45">
        <v>46295</v>
      </c>
      <c r="X745" s="8">
        <f t="shared" si="108"/>
        <v>0</v>
      </c>
      <c r="Y745" s="38"/>
      <c r="Z745" s="243"/>
    </row>
    <row r="746" spans="1:26">
      <c r="A746" s="150">
        <v>45275</v>
      </c>
      <c r="B746" s="154" t="s">
        <v>106</v>
      </c>
      <c r="C746" s="305">
        <v>3165230</v>
      </c>
      <c r="D746" s="325">
        <f t="shared" si="104"/>
        <v>0</v>
      </c>
      <c r="E746" s="306"/>
      <c r="F746" s="305">
        <v>7057639</v>
      </c>
      <c r="G746" s="307">
        <f t="shared" si="107"/>
        <v>0</v>
      </c>
      <c r="H746" s="308">
        <f t="shared" si="105"/>
        <v>-4.4060773480662982</v>
      </c>
      <c r="I746" s="306"/>
      <c r="J746" s="305">
        <v>4109307</v>
      </c>
      <c r="K746" s="309">
        <f t="shared" ref="K746:K809" si="111">IF(J747&gt;0,J747-J746," ")</f>
        <v>0</v>
      </c>
      <c r="L746" s="310">
        <f t="shared" si="109"/>
        <v>0</v>
      </c>
      <c r="M746" s="306"/>
      <c r="N746" s="45">
        <v>722967</v>
      </c>
      <c r="O746" s="8">
        <f t="shared" si="102"/>
        <v>929</v>
      </c>
      <c r="P746" s="9"/>
      <c r="Q746" s="42">
        <v>631194</v>
      </c>
      <c r="R746" s="44">
        <f t="shared" si="110"/>
        <v>359</v>
      </c>
      <c r="S746" s="358"/>
      <c r="T746" s="45">
        <v>16090</v>
      </c>
      <c r="U746" s="9">
        <f t="shared" si="106"/>
        <v>4</v>
      </c>
      <c r="V746" s="38"/>
      <c r="W746" s="45">
        <v>46295</v>
      </c>
      <c r="X746" s="8">
        <f t="shared" si="108"/>
        <v>3</v>
      </c>
      <c r="Y746" s="38"/>
      <c r="Z746" s="243"/>
    </row>
    <row r="747" spans="1:26">
      <c r="A747" s="150">
        <v>45276</v>
      </c>
      <c r="B747" s="154" t="s">
        <v>107</v>
      </c>
      <c r="C747" s="305">
        <v>3165230</v>
      </c>
      <c r="D747" s="325">
        <f t="shared" si="104"/>
        <v>0</v>
      </c>
      <c r="E747" s="306"/>
      <c r="F747" s="305">
        <v>7057639</v>
      </c>
      <c r="G747" s="307">
        <f t="shared" si="107"/>
        <v>0</v>
      </c>
      <c r="H747" s="308">
        <f t="shared" si="105"/>
        <v>-4.4060773480662982</v>
      </c>
      <c r="I747" s="306"/>
      <c r="J747" s="305">
        <v>4109307</v>
      </c>
      <c r="K747" s="309">
        <f t="shared" si="111"/>
        <v>0</v>
      </c>
      <c r="L747" s="310">
        <f t="shared" si="109"/>
        <v>0</v>
      </c>
      <c r="M747" s="306"/>
      <c r="N747" s="45">
        <v>723896</v>
      </c>
      <c r="O747" s="8">
        <f t="shared" si="102"/>
        <v>1127</v>
      </c>
      <c r="P747" s="9"/>
      <c r="Q747" s="42">
        <v>631553</v>
      </c>
      <c r="R747" s="44">
        <f t="shared" si="110"/>
        <v>0</v>
      </c>
      <c r="S747" s="358"/>
      <c r="T747" s="45">
        <v>16094</v>
      </c>
      <c r="U747" s="9">
        <f t="shared" si="106"/>
        <v>0</v>
      </c>
      <c r="V747" s="38"/>
      <c r="W747" s="45">
        <v>46298</v>
      </c>
      <c r="X747" s="8">
        <f t="shared" si="108"/>
        <v>0</v>
      </c>
      <c r="Y747" s="38"/>
      <c r="Z747" s="243"/>
    </row>
    <row r="748" spans="1:26">
      <c r="A748" s="150">
        <v>45277</v>
      </c>
      <c r="B748" s="154" t="s">
        <v>36</v>
      </c>
      <c r="C748" s="305">
        <v>3165230</v>
      </c>
      <c r="D748" s="325">
        <f t="shared" si="104"/>
        <v>0</v>
      </c>
      <c r="E748" s="306"/>
      <c r="F748" s="305">
        <v>7057639</v>
      </c>
      <c r="G748" s="307">
        <f t="shared" si="107"/>
        <v>0</v>
      </c>
      <c r="H748" s="308">
        <f t="shared" si="105"/>
        <v>-4.4060773480662982</v>
      </c>
      <c r="I748" s="306"/>
      <c r="J748" s="305">
        <v>4109307</v>
      </c>
      <c r="K748" s="309">
        <f t="shared" si="111"/>
        <v>0</v>
      </c>
      <c r="L748" s="310">
        <f t="shared" si="109"/>
        <v>0</v>
      </c>
      <c r="M748" s="306"/>
      <c r="N748" s="45">
        <v>725023</v>
      </c>
      <c r="O748" s="8">
        <f t="shared" si="102"/>
        <v>0</v>
      </c>
      <c r="P748" s="9"/>
      <c r="Q748" s="42">
        <v>631553</v>
      </c>
      <c r="R748" s="44">
        <f t="shared" si="110"/>
        <v>0</v>
      </c>
      <c r="S748" s="358"/>
      <c r="T748" s="45">
        <v>16094</v>
      </c>
      <c r="U748" s="9">
        <f t="shared" si="106"/>
        <v>0</v>
      </c>
      <c r="V748" s="38"/>
      <c r="W748" s="45">
        <v>46298</v>
      </c>
      <c r="X748" s="8">
        <f t="shared" si="108"/>
        <v>0</v>
      </c>
      <c r="Y748" s="38"/>
      <c r="Z748" s="243"/>
    </row>
    <row r="749" spans="1:26">
      <c r="A749" s="150">
        <v>45278</v>
      </c>
      <c r="B749" s="154" t="s">
        <v>108</v>
      </c>
      <c r="C749" s="305">
        <v>3165230</v>
      </c>
      <c r="D749" s="325">
        <f t="shared" si="104"/>
        <v>3439</v>
      </c>
      <c r="E749" s="306"/>
      <c r="F749" s="305">
        <v>7057639</v>
      </c>
      <c r="G749" s="307">
        <f t="shared" si="107"/>
        <v>6917</v>
      </c>
      <c r="H749" s="308">
        <f t="shared" si="105"/>
        <v>24.201657458563535</v>
      </c>
      <c r="I749" s="306"/>
      <c r="J749" s="305">
        <v>4109307</v>
      </c>
      <c r="K749" s="309">
        <f t="shared" si="111"/>
        <v>59</v>
      </c>
      <c r="L749" s="310">
        <f t="shared" si="109"/>
        <v>0.43703703703703706</v>
      </c>
      <c r="M749" s="306"/>
      <c r="N749" s="45">
        <v>725023</v>
      </c>
      <c r="O749" s="8">
        <f t="shared" si="102"/>
        <v>781</v>
      </c>
      <c r="P749" s="9"/>
      <c r="Q749" s="42">
        <v>631553</v>
      </c>
      <c r="R749" s="44">
        <f t="shared" si="110"/>
        <v>177</v>
      </c>
      <c r="S749" s="358"/>
      <c r="T749" s="45">
        <v>16094</v>
      </c>
      <c r="U749" s="9">
        <f t="shared" si="106"/>
        <v>1</v>
      </c>
      <c r="V749" s="38"/>
      <c r="W749" s="45">
        <v>46298</v>
      </c>
      <c r="X749" s="8">
        <f t="shared" si="108"/>
        <v>2</v>
      </c>
      <c r="Y749" s="38"/>
      <c r="Z749" s="243"/>
    </row>
    <row r="750" spans="1:26">
      <c r="A750" s="150">
        <v>45279</v>
      </c>
      <c r="B750" s="154" t="s">
        <v>109</v>
      </c>
      <c r="C750" s="305">
        <v>3168669</v>
      </c>
      <c r="D750" s="325">
        <f t="shared" si="104"/>
        <v>29</v>
      </c>
      <c r="E750" s="306"/>
      <c r="F750" s="305">
        <v>7064556</v>
      </c>
      <c r="G750" s="307">
        <f t="shared" si="107"/>
        <v>7387</v>
      </c>
      <c r="H750" s="308">
        <f t="shared" si="105"/>
        <v>16.08011049723757</v>
      </c>
      <c r="I750" s="306"/>
      <c r="J750" s="305">
        <v>4109366</v>
      </c>
      <c r="K750" s="309">
        <f t="shared" si="111"/>
        <v>3996</v>
      </c>
      <c r="L750" s="310">
        <f t="shared" si="109"/>
        <v>29.6</v>
      </c>
      <c r="M750" s="306"/>
      <c r="N750" s="45">
        <v>725804</v>
      </c>
      <c r="O750" s="8">
        <f t="shared" si="102"/>
        <v>800</v>
      </c>
      <c r="P750" s="9"/>
      <c r="Q750" s="42">
        <v>631730</v>
      </c>
      <c r="R750" s="44">
        <f t="shared" si="110"/>
        <v>138</v>
      </c>
      <c r="S750" s="358"/>
      <c r="T750" s="45">
        <v>16095</v>
      </c>
      <c r="U750" s="9">
        <f t="shared" si="106"/>
        <v>2</v>
      </c>
      <c r="V750" s="38"/>
      <c r="W750" s="45">
        <v>46300</v>
      </c>
      <c r="X750" s="8">
        <f t="shared" si="108"/>
        <v>2</v>
      </c>
      <c r="Y750" s="38"/>
      <c r="Z750" s="243"/>
    </row>
    <row r="751" spans="1:26">
      <c r="A751" s="150">
        <v>45280</v>
      </c>
      <c r="B751" s="154" t="s">
        <v>110</v>
      </c>
      <c r="C751" s="305">
        <v>3168698</v>
      </c>
      <c r="D751" s="325">
        <f t="shared" si="104"/>
        <v>5</v>
      </c>
      <c r="E751" s="306"/>
      <c r="F751" s="305">
        <v>7071943</v>
      </c>
      <c r="G751" s="307">
        <f t="shared" si="107"/>
        <v>7782</v>
      </c>
      <c r="H751" s="308">
        <f t="shared" si="105"/>
        <v>17.104972375690608</v>
      </c>
      <c r="I751" s="306"/>
      <c r="J751" s="305">
        <v>4113362</v>
      </c>
      <c r="K751" s="309">
        <f t="shared" si="111"/>
        <v>4780</v>
      </c>
      <c r="L751" s="310">
        <f t="shared" si="109"/>
        <v>35.407407407407405</v>
      </c>
      <c r="M751" s="306"/>
      <c r="N751" s="45">
        <v>726604</v>
      </c>
      <c r="O751" s="8">
        <f t="shared" si="102"/>
        <v>759</v>
      </c>
      <c r="P751" s="9"/>
      <c r="Q751" s="42">
        <v>631868</v>
      </c>
      <c r="R751" s="44">
        <f t="shared" si="110"/>
        <v>202</v>
      </c>
      <c r="S751" s="358"/>
      <c r="T751" s="45">
        <v>16097</v>
      </c>
      <c r="U751" s="9">
        <f t="shared" si="106"/>
        <v>1</v>
      </c>
      <c r="V751" s="38"/>
      <c r="W751" s="45">
        <v>46302</v>
      </c>
      <c r="X751" s="8">
        <f t="shared" si="108"/>
        <v>0</v>
      </c>
      <c r="Y751" s="38"/>
      <c r="Z751" s="243"/>
    </row>
    <row r="752" spans="1:26">
      <c r="A752" s="150">
        <v>45281</v>
      </c>
      <c r="B752" s="154" t="s">
        <v>111</v>
      </c>
      <c r="C752" s="305">
        <v>3168703</v>
      </c>
      <c r="D752" s="325">
        <f t="shared" si="104"/>
        <v>8</v>
      </c>
      <c r="E752" s="306"/>
      <c r="F752" s="305">
        <v>7079725</v>
      </c>
      <c r="G752" s="307">
        <f t="shared" si="107"/>
        <v>7801</v>
      </c>
      <c r="H752" s="308">
        <f t="shared" si="105"/>
        <v>17.165745856353592</v>
      </c>
      <c r="I752" s="306"/>
      <c r="J752" s="305">
        <v>4118142</v>
      </c>
      <c r="K752" s="309">
        <f t="shared" si="111"/>
        <v>70</v>
      </c>
      <c r="L752" s="310">
        <f t="shared" si="109"/>
        <v>0.51851851851851849</v>
      </c>
      <c r="M752" s="306"/>
      <c r="N752" s="45">
        <v>727363</v>
      </c>
      <c r="O752" s="8">
        <f t="shared" si="102"/>
        <v>871</v>
      </c>
      <c r="P752" s="9"/>
      <c r="Q752" s="42">
        <v>632070</v>
      </c>
      <c r="R752" s="44">
        <f t="shared" si="110"/>
        <v>0</v>
      </c>
      <c r="S752" s="358"/>
      <c r="T752" s="45">
        <v>16098</v>
      </c>
      <c r="U752" s="9">
        <f t="shared" si="106"/>
        <v>1</v>
      </c>
      <c r="V752" s="38"/>
      <c r="W752" s="45">
        <v>46302</v>
      </c>
      <c r="X752" s="8">
        <f t="shared" si="108"/>
        <v>1</v>
      </c>
      <c r="Y752" s="38"/>
      <c r="Z752" s="243"/>
    </row>
    <row r="753" spans="1:26">
      <c r="A753" s="150">
        <v>45282</v>
      </c>
      <c r="B753" s="154" t="s">
        <v>106</v>
      </c>
      <c r="C753" s="305">
        <v>3168711</v>
      </c>
      <c r="D753" s="325">
        <f t="shared" si="104"/>
        <v>8</v>
      </c>
      <c r="E753" s="306"/>
      <c r="F753" s="305">
        <v>7087526</v>
      </c>
      <c r="G753" s="307">
        <f t="shared" si="107"/>
        <v>29766</v>
      </c>
      <c r="H753" s="308">
        <f t="shared" si="105"/>
        <v>77.842541436464089</v>
      </c>
      <c r="I753" s="306"/>
      <c r="J753" s="305">
        <v>4118212</v>
      </c>
      <c r="K753" s="309">
        <f t="shared" si="111"/>
        <v>4129</v>
      </c>
      <c r="L753" s="310">
        <f t="shared" si="109"/>
        <v>30.585185185185185</v>
      </c>
      <c r="M753" s="306"/>
      <c r="N753" s="45">
        <v>728234</v>
      </c>
      <c r="O753" s="8">
        <f t="shared" si="102"/>
        <v>774</v>
      </c>
      <c r="P753" s="9"/>
      <c r="Q753" s="42">
        <v>632070</v>
      </c>
      <c r="R753" s="44">
        <f t="shared" si="110"/>
        <v>186</v>
      </c>
      <c r="S753" s="358"/>
      <c r="T753" s="45">
        <v>16099</v>
      </c>
      <c r="U753" s="9">
        <f t="shared" si="106"/>
        <v>5</v>
      </c>
      <c r="V753" s="38"/>
      <c r="W753" s="45">
        <v>46303</v>
      </c>
      <c r="X753" s="8">
        <f t="shared" si="108"/>
        <v>0</v>
      </c>
      <c r="Y753" s="38"/>
      <c r="Z753" s="243"/>
    </row>
    <row r="754" spans="1:26">
      <c r="A754" s="150">
        <v>45283</v>
      </c>
      <c r="B754" s="154" t="s">
        <v>107</v>
      </c>
      <c r="C754" s="305">
        <v>3168719</v>
      </c>
      <c r="D754" s="325">
        <f t="shared" si="104"/>
        <v>0</v>
      </c>
      <c r="E754" s="306"/>
      <c r="F754" s="305">
        <v>7117292</v>
      </c>
      <c r="G754" s="307">
        <f t="shared" si="107"/>
        <v>0</v>
      </c>
      <c r="H754" s="308">
        <f t="shared" si="105"/>
        <v>-4.4060773480662982</v>
      </c>
      <c r="I754" s="306"/>
      <c r="J754" s="305">
        <v>4122341</v>
      </c>
      <c r="K754" s="309">
        <f t="shared" si="111"/>
        <v>0</v>
      </c>
      <c r="L754" s="310">
        <f t="shared" si="109"/>
        <v>0</v>
      </c>
      <c r="M754" s="306"/>
      <c r="N754" s="45">
        <v>729008</v>
      </c>
      <c r="O754" s="8">
        <f t="shared" si="102"/>
        <v>1113</v>
      </c>
      <c r="P754" s="9"/>
      <c r="Q754" s="42">
        <v>632256</v>
      </c>
      <c r="R754" s="44">
        <f t="shared" si="110"/>
        <v>0</v>
      </c>
      <c r="S754" s="358"/>
      <c r="T754" s="45">
        <v>16104</v>
      </c>
      <c r="U754" s="9">
        <f t="shared" si="106"/>
        <v>0</v>
      </c>
      <c r="V754" s="38"/>
      <c r="W754" s="45">
        <v>46303</v>
      </c>
      <c r="X754" s="8">
        <f t="shared" si="108"/>
        <v>0</v>
      </c>
      <c r="Y754" s="38"/>
      <c r="Z754" s="243"/>
    </row>
    <row r="755" spans="1:26">
      <c r="A755" s="150">
        <v>45284</v>
      </c>
      <c r="B755" s="154" t="s">
        <v>36</v>
      </c>
      <c r="C755" s="305">
        <v>3168719</v>
      </c>
      <c r="D755" s="325">
        <f t="shared" si="104"/>
        <v>0</v>
      </c>
      <c r="E755" s="306"/>
      <c r="F755" s="305">
        <v>7117292</v>
      </c>
      <c r="G755" s="307">
        <f t="shared" si="107"/>
        <v>0</v>
      </c>
      <c r="H755" s="308">
        <f t="shared" si="105"/>
        <v>-4.4060773480662982</v>
      </c>
      <c r="I755" s="306"/>
      <c r="J755" s="305">
        <v>4122341</v>
      </c>
      <c r="K755" s="309">
        <f t="shared" si="111"/>
        <v>0</v>
      </c>
      <c r="L755" s="310">
        <f t="shared" si="109"/>
        <v>0</v>
      </c>
      <c r="M755" s="306"/>
      <c r="N755" s="45">
        <v>730121</v>
      </c>
      <c r="O755" s="8">
        <f t="shared" ref="O755:O778" si="112">N756-N755</f>
        <v>0</v>
      </c>
      <c r="P755" s="9"/>
      <c r="Q755" s="42">
        <v>632256</v>
      </c>
      <c r="R755" s="44">
        <f t="shared" si="110"/>
        <v>0</v>
      </c>
      <c r="S755" s="358"/>
      <c r="T755" s="45">
        <v>16104</v>
      </c>
      <c r="U755" s="9">
        <f t="shared" si="106"/>
        <v>0</v>
      </c>
      <c r="V755" s="38"/>
      <c r="W755" s="45">
        <v>46303</v>
      </c>
      <c r="X755" s="8">
        <f t="shared" si="108"/>
        <v>0</v>
      </c>
      <c r="Y755" s="38"/>
      <c r="Z755" s="243"/>
    </row>
    <row r="756" spans="1:26">
      <c r="A756" s="150">
        <v>45285</v>
      </c>
      <c r="B756" s="154" t="s">
        <v>108</v>
      </c>
      <c r="C756" s="305">
        <v>3168719</v>
      </c>
      <c r="D756" s="325">
        <f t="shared" si="104"/>
        <v>0</v>
      </c>
      <c r="E756" s="306"/>
      <c r="F756" s="305">
        <v>7117292</v>
      </c>
      <c r="G756" s="307">
        <f t="shared" si="107"/>
        <v>0</v>
      </c>
      <c r="H756" s="308">
        <f t="shared" si="105"/>
        <v>-4.4060773480662982</v>
      </c>
      <c r="I756" s="306"/>
      <c r="J756" s="305">
        <v>4122341</v>
      </c>
      <c r="K756" s="309">
        <f t="shared" si="111"/>
        <v>0</v>
      </c>
      <c r="L756" s="310">
        <f t="shared" si="109"/>
        <v>0</v>
      </c>
      <c r="M756" s="306"/>
      <c r="N756" s="45">
        <v>730121</v>
      </c>
      <c r="O756" s="8">
        <f t="shared" si="112"/>
        <v>0</v>
      </c>
      <c r="P756" s="9"/>
      <c r="Q756" s="42">
        <v>632256</v>
      </c>
      <c r="R756" s="44">
        <f t="shared" si="110"/>
        <v>0</v>
      </c>
      <c r="S756" s="358"/>
      <c r="T756" s="45">
        <v>16104</v>
      </c>
      <c r="U756" s="9">
        <f t="shared" si="106"/>
        <v>0</v>
      </c>
      <c r="V756" s="38"/>
      <c r="W756" s="45">
        <v>46303</v>
      </c>
      <c r="X756" s="8">
        <f t="shared" si="108"/>
        <v>0</v>
      </c>
      <c r="Y756" s="38"/>
      <c r="Z756" s="243"/>
    </row>
    <row r="757" spans="1:26">
      <c r="A757" s="150">
        <v>45286</v>
      </c>
      <c r="B757" s="154" t="s">
        <v>109</v>
      </c>
      <c r="C757" s="305">
        <v>3168719</v>
      </c>
      <c r="D757" s="325">
        <f t="shared" si="104"/>
        <v>2</v>
      </c>
      <c r="E757" s="306"/>
      <c r="F757" s="305">
        <v>7117292</v>
      </c>
      <c r="G757" s="307">
        <f t="shared" si="107"/>
        <v>7190</v>
      </c>
      <c r="H757" s="308">
        <f t="shared" si="105"/>
        <v>15.461325966850829</v>
      </c>
      <c r="I757" s="306"/>
      <c r="J757" s="305">
        <v>4122341</v>
      </c>
      <c r="K757" s="309">
        <f t="shared" si="111"/>
        <v>4012</v>
      </c>
      <c r="L757" s="310">
        <f t="shared" si="109"/>
        <v>29.718518518518518</v>
      </c>
      <c r="M757" s="306"/>
      <c r="N757" s="45">
        <v>730121</v>
      </c>
      <c r="O757" s="8">
        <f t="shared" si="112"/>
        <v>670</v>
      </c>
      <c r="P757" s="9"/>
      <c r="Q757" s="42">
        <v>632256</v>
      </c>
      <c r="R757" s="44">
        <f t="shared" si="110"/>
        <v>79</v>
      </c>
      <c r="S757" s="358"/>
      <c r="T757" s="45">
        <v>16104</v>
      </c>
      <c r="U757" s="9">
        <f t="shared" si="106"/>
        <v>1</v>
      </c>
      <c r="V757" s="38"/>
      <c r="W757" s="45">
        <v>46303</v>
      </c>
      <c r="X757" s="8">
        <f t="shared" si="108"/>
        <v>1</v>
      </c>
      <c r="Y757" s="38"/>
      <c r="Z757" s="243"/>
    </row>
    <row r="758" spans="1:26">
      <c r="A758" s="150">
        <v>45287</v>
      </c>
      <c r="B758" s="154" t="s">
        <v>110</v>
      </c>
      <c r="C758" s="305">
        <v>3168721</v>
      </c>
      <c r="D758" s="325">
        <f t="shared" si="104"/>
        <v>11</v>
      </c>
      <c r="E758" s="306"/>
      <c r="F758" s="305">
        <v>7124482</v>
      </c>
      <c r="G758" s="307">
        <f t="shared" si="107"/>
        <v>7947</v>
      </c>
      <c r="H758" s="308">
        <f t="shared" si="105"/>
        <v>17.577348066298342</v>
      </c>
      <c r="I758" s="306"/>
      <c r="J758" s="305">
        <v>4126353</v>
      </c>
      <c r="K758" s="309">
        <f t="shared" si="111"/>
        <v>227</v>
      </c>
      <c r="L758" s="310">
        <f t="shared" si="109"/>
        <v>1.6814814814814816</v>
      </c>
      <c r="M758" s="306"/>
      <c r="N758" s="45">
        <v>730791</v>
      </c>
      <c r="O758" s="8">
        <f t="shared" si="112"/>
        <v>786</v>
      </c>
      <c r="P758" s="9"/>
      <c r="Q758" s="42">
        <v>632335</v>
      </c>
      <c r="R758" s="44">
        <f t="shared" si="110"/>
        <v>59</v>
      </c>
      <c r="S758" s="358"/>
      <c r="T758" s="45">
        <v>16105</v>
      </c>
      <c r="U758" s="9">
        <f t="shared" si="106"/>
        <v>2</v>
      </c>
      <c r="V758" s="38"/>
      <c r="W758" s="45">
        <v>46304</v>
      </c>
      <c r="X758" s="8">
        <f t="shared" si="108"/>
        <v>0</v>
      </c>
      <c r="Y758" s="38"/>
      <c r="Z758" s="243"/>
    </row>
    <row r="759" spans="1:26">
      <c r="A759" s="150">
        <v>45288</v>
      </c>
      <c r="B759" s="154" t="s">
        <v>111</v>
      </c>
      <c r="C759" s="305">
        <v>3168732</v>
      </c>
      <c r="D759" s="325">
        <f t="shared" ref="D759:D822" si="113">IF(C760&gt;0,C760-C759," ")</f>
        <v>10</v>
      </c>
      <c r="E759" s="306"/>
      <c r="F759" s="305">
        <v>7132429</v>
      </c>
      <c r="G759" s="307">
        <f t="shared" si="107"/>
        <v>25026</v>
      </c>
      <c r="H759" s="308">
        <f t="shared" si="105"/>
        <v>64.754143646408835</v>
      </c>
      <c r="I759" s="306"/>
      <c r="J759" s="305">
        <v>4126580</v>
      </c>
      <c r="K759" s="309">
        <f t="shared" si="111"/>
        <v>3605</v>
      </c>
      <c r="L759" s="310">
        <f t="shared" si="109"/>
        <v>26.703703703703702</v>
      </c>
      <c r="M759" s="306"/>
      <c r="N759" s="45">
        <v>731577</v>
      </c>
      <c r="O759" s="8">
        <f t="shared" si="112"/>
        <v>724</v>
      </c>
      <c r="P759" s="9"/>
      <c r="Q759" s="42">
        <v>632394</v>
      </c>
      <c r="R759" s="44">
        <f t="shared" si="110"/>
        <v>352</v>
      </c>
      <c r="S759" s="358"/>
      <c r="T759" s="45">
        <v>16107</v>
      </c>
      <c r="U759" s="9">
        <f t="shared" si="106"/>
        <v>11</v>
      </c>
      <c r="V759" s="38"/>
      <c r="W759" s="45">
        <v>46304</v>
      </c>
      <c r="X759" s="8">
        <f t="shared" si="108"/>
        <v>0</v>
      </c>
      <c r="Y759" s="38"/>
      <c r="Z759" s="243"/>
    </row>
    <row r="760" spans="1:26">
      <c r="A760" s="150">
        <v>45289</v>
      </c>
      <c r="B760" s="154" t="s">
        <v>106</v>
      </c>
      <c r="C760" s="305">
        <v>3168742</v>
      </c>
      <c r="D760" s="325">
        <f t="shared" si="113"/>
        <v>0</v>
      </c>
      <c r="E760" s="306"/>
      <c r="F760" s="305">
        <v>7157455</v>
      </c>
      <c r="G760" s="307">
        <f t="shared" si="107"/>
        <v>0</v>
      </c>
      <c r="H760" s="308">
        <f t="shared" si="105"/>
        <v>-4.4060773480662982</v>
      </c>
      <c r="I760" s="306"/>
      <c r="J760" s="305">
        <v>4130185</v>
      </c>
      <c r="K760" s="309">
        <f t="shared" si="111"/>
        <v>0</v>
      </c>
      <c r="L760" s="310">
        <f t="shared" si="109"/>
        <v>0</v>
      </c>
      <c r="M760" s="306"/>
      <c r="N760" s="45">
        <v>732301</v>
      </c>
      <c r="O760" s="8">
        <f t="shared" si="112"/>
        <v>693</v>
      </c>
      <c r="P760" s="9"/>
      <c r="Q760" s="42">
        <v>632746</v>
      </c>
      <c r="R760" s="44">
        <f t="shared" si="110"/>
        <v>0</v>
      </c>
      <c r="S760" s="358"/>
      <c r="T760" s="45">
        <v>16118</v>
      </c>
      <c r="U760" s="9">
        <f t="shared" si="106"/>
        <v>0</v>
      </c>
      <c r="V760" s="38"/>
      <c r="W760" s="45">
        <v>46304</v>
      </c>
      <c r="X760" s="8">
        <f t="shared" si="108"/>
        <v>0</v>
      </c>
      <c r="Y760" s="38"/>
      <c r="Z760" s="243"/>
    </row>
    <row r="761" spans="1:26">
      <c r="A761" s="150">
        <v>45290</v>
      </c>
      <c r="B761" s="154" t="s">
        <v>107</v>
      </c>
      <c r="C761" s="305">
        <v>3168742</v>
      </c>
      <c r="D761" s="325">
        <f t="shared" si="113"/>
        <v>0</v>
      </c>
      <c r="E761" s="306"/>
      <c r="F761" s="305">
        <v>7157455</v>
      </c>
      <c r="G761" s="307">
        <f t="shared" si="107"/>
        <v>0</v>
      </c>
      <c r="H761" s="308">
        <f t="shared" si="105"/>
        <v>-4.4060773480662982</v>
      </c>
      <c r="I761" s="306"/>
      <c r="J761" s="305">
        <v>4130185</v>
      </c>
      <c r="K761" s="309">
        <f t="shared" si="111"/>
        <v>0</v>
      </c>
      <c r="L761" s="310">
        <f t="shared" si="109"/>
        <v>0</v>
      </c>
      <c r="M761" s="306"/>
      <c r="N761" s="45">
        <v>732994</v>
      </c>
      <c r="O761" s="8">
        <f t="shared" si="112"/>
        <v>625</v>
      </c>
      <c r="P761" s="9"/>
      <c r="Q761" s="42">
        <v>632746</v>
      </c>
      <c r="R761" s="44">
        <f t="shared" si="110"/>
        <v>0</v>
      </c>
      <c r="S761" s="358"/>
      <c r="T761" s="45">
        <v>16118</v>
      </c>
      <c r="U761" s="9">
        <f t="shared" si="106"/>
        <v>0</v>
      </c>
      <c r="V761" s="38"/>
      <c r="W761" s="45">
        <v>46304</v>
      </c>
      <c r="X761" s="8">
        <f t="shared" si="108"/>
        <v>0</v>
      </c>
      <c r="Y761" s="38"/>
      <c r="Z761" s="243"/>
    </row>
    <row r="762" spans="1:26">
      <c r="A762" s="150">
        <v>45291</v>
      </c>
      <c r="B762" s="154" t="s">
        <v>36</v>
      </c>
      <c r="C762" s="305">
        <v>3168742</v>
      </c>
      <c r="D762" s="325">
        <f t="shared" si="113"/>
        <v>0</v>
      </c>
      <c r="E762" s="306"/>
      <c r="F762" s="305">
        <v>7157455</v>
      </c>
      <c r="G762" s="307">
        <f t="shared" si="107"/>
        <v>0</v>
      </c>
      <c r="H762" s="308">
        <f t="shared" si="105"/>
        <v>-4.4060773480662982</v>
      </c>
      <c r="I762" s="306"/>
      <c r="J762" s="305">
        <v>4130185</v>
      </c>
      <c r="K762" s="309">
        <f t="shared" si="111"/>
        <v>0</v>
      </c>
      <c r="L762" s="310">
        <f t="shared" si="109"/>
        <v>0</v>
      </c>
      <c r="M762" s="306"/>
      <c r="N762" s="45">
        <v>733619</v>
      </c>
      <c r="O762" s="8">
        <f t="shared" si="112"/>
        <v>0</v>
      </c>
      <c r="P762" s="9"/>
      <c r="Q762" s="42">
        <v>632746</v>
      </c>
      <c r="R762" s="44">
        <f t="shared" si="110"/>
        <v>0</v>
      </c>
      <c r="S762" s="358"/>
      <c r="T762" s="45">
        <v>16118</v>
      </c>
      <c r="U762" s="9">
        <f t="shared" si="106"/>
        <v>0</v>
      </c>
      <c r="V762" s="38"/>
      <c r="W762" s="45">
        <v>46304</v>
      </c>
      <c r="X762" s="8">
        <f t="shared" si="108"/>
        <v>0</v>
      </c>
      <c r="Y762" s="38"/>
      <c r="Z762" s="243"/>
    </row>
    <row r="763" spans="1:26">
      <c r="A763" s="150">
        <v>45292</v>
      </c>
      <c r="B763" s="154" t="s">
        <v>108</v>
      </c>
      <c r="C763" s="305">
        <v>3168742</v>
      </c>
      <c r="D763" s="325">
        <f t="shared" si="113"/>
        <v>0</v>
      </c>
      <c r="E763" s="306"/>
      <c r="F763" s="305">
        <v>7157455</v>
      </c>
      <c r="G763" s="307">
        <f t="shared" si="107"/>
        <v>0</v>
      </c>
      <c r="H763" s="308">
        <f t="shared" si="105"/>
        <v>-4.4060773480662982</v>
      </c>
      <c r="I763" s="306"/>
      <c r="J763" s="305">
        <v>4130185</v>
      </c>
      <c r="K763" s="309">
        <f t="shared" si="111"/>
        <v>0</v>
      </c>
      <c r="L763" s="310">
        <f t="shared" si="109"/>
        <v>0</v>
      </c>
      <c r="M763" s="306"/>
      <c r="N763" s="45">
        <v>733619</v>
      </c>
      <c r="O763" s="8">
        <f t="shared" si="112"/>
        <v>0</v>
      </c>
      <c r="P763" s="9"/>
      <c r="Q763" s="42">
        <v>632746</v>
      </c>
      <c r="R763" s="44">
        <f t="shared" si="110"/>
        <v>0</v>
      </c>
      <c r="S763" s="358"/>
      <c r="T763" s="45">
        <v>16118</v>
      </c>
      <c r="U763" s="9">
        <f t="shared" si="106"/>
        <v>0</v>
      </c>
      <c r="V763" s="38"/>
      <c r="W763" s="45">
        <v>46304</v>
      </c>
      <c r="X763" s="8">
        <f t="shared" si="108"/>
        <v>0</v>
      </c>
      <c r="Y763" s="38"/>
      <c r="Z763" s="243"/>
    </row>
    <row r="764" spans="1:26">
      <c r="A764" s="150">
        <v>45293</v>
      </c>
      <c r="B764" s="154" t="s">
        <v>109</v>
      </c>
      <c r="C764" s="305">
        <v>3168742</v>
      </c>
      <c r="D764" s="325">
        <f t="shared" si="113"/>
        <v>9</v>
      </c>
      <c r="E764" s="306"/>
      <c r="F764" s="305">
        <v>7157455</v>
      </c>
      <c r="G764" s="307">
        <f t="shared" si="107"/>
        <v>7585</v>
      </c>
      <c r="H764" s="308">
        <f t="shared" si="105"/>
        <v>16.571823204419889</v>
      </c>
      <c r="I764" s="306"/>
      <c r="J764" s="305">
        <v>4130185</v>
      </c>
      <c r="K764" s="309">
        <f t="shared" si="111"/>
        <v>4278</v>
      </c>
      <c r="L764" s="310">
        <f t="shared" si="109"/>
        <v>31.68888888888889</v>
      </c>
      <c r="M764" s="306"/>
      <c r="N764" s="45">
        <v>733619</v>
      </c>
      <c r="O764" s="8">
        <f t="shared" si="112"/>
        <v>723</v>
      </c>
      <c r="P764" s="9"/>
      <c r="Q764" s="42">
        <v>632746</v>
      </c>
      <c r="R764" s="44">
        <f>Q765-Q764</f>
        <v>77</v>
      </c>
      <c r="S764" s="358"/>
      <c r="T764" s="45">
        <v>16118</v>
      </c>
      <c r="U764" s="9">
        <v>0</v>
      </c>
      <c r="V764" s="38"/>
      <c r="W764" s="45">
        <v>46304</v>
      </c>
      <c r="X764" s="8">
        <f t="shared" si="108"/>
        <v>0</v>
      </c>
      <c r="Y764" s="38"/>
      <c r="Z764" s="243"/>
    </row>
    <row r="765" spans="1:26">
      <c r="A765" s="150">
        <v>45294</v>
      </c>
      <c r="B765" s="154" t="s">
        <v>110</v>
      </c>
      <c r="C765" s="305">
        <v>3168751</v>
      </c>
      <c r="D765" s="325">
        <f t="shared" si="113"/>
        <v>11</v>
      </c>
      <c r="E765" s="306"/>
      <c r="F765" s="305">
        <v>7165040</v>
      </c>
      <c r="G765" s="307">
        <f t="shared" si="107"/>
        <v>7950</v>
      </c>
      <c r="H765" s="308">
        <f t="shared" si="105"/>
        <v>17.585635359116022</v>
      </c>
      <c r="I765" s="306"/>
      <c r="J765" s="305">
        <v>4134463</v>
      </c>
      <c r="K765" s="309">
        <f t="shared" si="111"/>
        <v>160</v>
      </c>
      <c r="L765" s="310">
        <f t="shared" si="109"/>
        <v>1.1851851851851851</v>
      </c>
      <c r="M765" s="306"/>
      <c r="N765" s="45">
        <v>734342</v>
      </c>
      <c r="O765" s="8">
        <f t="shared" si="112"/>
        <v>612</v>
      </c>
      <c r="P765" s="9"/>
      <c r="Q765" s="42">
        <v>632823</v>
      </c>
      <c r="R765" s="44">
        <f t="shared" si="110"/>
        <v>35</v>
      </c>
      <c r="S765" s="358"/>
      <c r="T765" s="45">
        <v>16120</v>
      </c>
      <c r="U765" s="9">
        <f t="shared" si="106"/>
        <v>1</v>
      </c>
      <c r="V765" s="38"/>
      <c r="W765" s="45">
        <v>46304</v>
      </c>
      <c r="X765" s="8">
        <f t="shared" si="108"/>
        <v>1</v>
      </c>
      <c r="Y765" s="38"/>
      <c r="Z765" s="243"/>
    </row>
    <row r="766" spans="1:26">
      <c r="A766" s="150">
        <v>45295</v>
      </c>
      <c r="B766" s="154" t="s">
        <v>111</v>
      </c>
      <c r="C766" s="305">
        <v>3168762</v>
      </c>
      <c r="D766" s="325">
        <f t="shared" si="113"/>
        <v>10</v>
      </c>
      <c r="E766" s="306"/>
      <c r="F766" s="305">
        <v>7172990</v>
      </c>
      <c r="G766" s="307">
        <f t="shared" si="107"/>
        <v>9076</v>
      </c>
      <c r="H766" s="308">
        <f t="shared" si="105"/>
        <v>20.693370165745858</v>
      </c>
      <c r="I766" s="306"/>
      <c r="J766" s="305">
        <v>4134623</v>
      </c>
      <c r="K766" s="309">
        <f t="shared" si="111"/>
        <v>4383</v>
      </c>
      <c r="L766" s="310">
        <f t="shared" si="109"/>
        <v>32.466666666666669</v>
      </c>
      <c r="M766" s="306"/>
      <c r="N766" s="45">
        <v>734954</v>
      </c>
      <c r="O766" s="8">
        <f t="shared" si="112"/>
        <v>818</v>
      </c>
      <c r="P766" s="9"/>
      <c r="Q766" s="42">
        <v>632858</v>
      </c>
      <c r="S766" s="358"/>
      <c r="T766" s="45">
        <v>16121</v>
      </c>
      <c r="U766" s="9">
        <f t="shared" si="106"/>
        <v>2</v>
      </c>
      <c r="V766" s="38"/>
      <c r="W766" s="45">
        <v>46305</v>
      </c>
      <c r="X766" s="8">
        <f t="shared" si="108"/>
        <v>7</v>
      </c>
      <c r="Y766" s="38"/>
      <c r="Z766" s="243"/>
    </row>
    <row r="767" spans="1:26">
      <c r="A767" s="150">
        <v>45296</v>
      </c>
      <c r="B767" s="154" t="s">
        <v>106</v>
      </c>
      <c r="C767" s="305">
        <v>3168772</v>
      </c>
      <c r="D767" s="325">
        <f t="shared" si="113"/>
        <v>5</v>
      </c>
      <c r="E767" s="306"/>
      <c r="F767" s="305">
        <v>7182066</v>
      </c>
      <c r="G767" s="307">
        <f t="shared" si="107"/>
        <v>19151</v>
      </c>
      <c r="H767" s="308">
        <f t="shared" si="105"/>
        <v>48.511049723756905</v>
      </c>
      <c r="I767" s="306"/>
      <c r="J767" s="305">
        <v>4139006</v>
      </c>
      <c r="K767" s="309">
        <f t="shared" si="111"/>
        <v>4257</v>
      </c>
      <c r="L767" s="310">
        <f t="shared" si="109"/>
        <v>31.533333333333335</v>
      </c>
      <c r="M767" s="306"/>
      <c r="N767" s="45">
        <v>735772</v>
      </c>
      <c r="O767" s="8">
        <f t="shared" si="112"/>
        <v>2390</v>
      </c>
      <c r="P767" s="9">
        <v>21</v>
      </c>
      <c r="Q767" s="42">
        <v>632900</v>
      </c>
      <c r="R767" s="44">
        <f t="shared" ref="R767:R830" si="114">Q767-Q766</f>
        <v>42</v>
      </c>
      <c r="S767" s="358"/>
      <c r="T767" s="45">
        <v>16123</v>
      </c>
      <c r="U767" s="9">
        <f t="shared" si="106"/>
        <v>4</v>
      </c>
      <c r="V767" s="38"/>
      <c r="W767" s="45">
        <v>46312</v>
      </c>
      <c r="X767" s="8">
        <f t="shared" si="108"/>
        <v>3</v>
      </c>
      <c r="Y767" s="38"/>
      <c r="Z767" s="243"/>
    </row>
    <row r="768" spans="1:26">
      <c r="A768" s="150">
        <v>45297</v>
      </c>
      <c r="B768" s="154" t="s">
        <v>107</v>
      </c>
      <c r="C768" s="305">
        <v>3168777</v>
      </c>
      <c r="D768" s="325">
        <f t="shared" si="113"/>
        <v>0</v>
      </c>
      <c r="E768" s="306"/>
      <c r="F768" s="305">
        <v>7201217</v>
      </c>
      <c r="G768" s="307">
        <f t="shared" si="107"/>
        <v>0</v>
      </c>
      <c r="H768" s="308">
        <f t="shared" ref="H768:H776" si="115">(G768+D768-1595)/362</f>
        <v>-4.4060773480662982</v>
      </c>
      <c r="I768" s="306"/>
      <c r="J768" s="305">
        <v>4143263</v>
      </c>
      <c r="K768" s="309">
        <f t="shared" si="111"/>
        <v>0</v>
      </c>
      <c r="L768" s="310">
        <f t="shared" si="109"/>
        <v>0</v>
      </c>
      <c r="M768" s="306"/>
      <c r="N768" s="46">
        <v>738162</v>
      </c>
      <c r="O768" s="12">
        <f t="shared" si="112"/>
        <v>0</v>
      </c>
      <c r="P768" s="166"/>
      <c r="Q768" s="42">
        <v>633088</v>
      </c>
      <c r="R768" s="44">
        <f t="shared" si="114"/>
        <v>188</v>
      </c>
      <c r="S768" s="358"/>
      <c r="T768" s="45">
        <v>16127</v>
      </c>
      <c r="U768" s="9">
        <f t="shared" si="106"/>
        <v>0</v>
      </c>
      <c r="V768" s="38"/>
      <c r="W768" s="45">
        <v>46315</v>
      </c>
      <c r="X768" s="8">
        <f t="shared" si="108"/>
        <v>0</v>
      </c>
      <c r="Y768" s="38"/>
      <c r="Z768" s="243"/>
    </row>
    <row r="769" spans="1:26">
      <c r="A769" s="150">
        <v>45298</v>
      </c>
      <c r="B769" s="154" t="s">
        <v>36</v>
      </c>
      <c r="C769" s="305">
        <v>3168777</v>
      </c>
      <c r="D769" s="325">
        <f t="shared" si="113"/>
        <v>0</v>
      </c>
      <c r="E769" s="306"/>
      <c r="F769" s="305">
        <v>7201217</v>
      </c>
      <c r="G769" s="307">
        <f t="shared" si="107"/>
        <v>1242</v>
      </c>
      <c r="H769" s="308">
        <f>(G769+D769-1595)/362</f>
        <v>-0.97513812154696133</v>
      </c>
      <c r="I769" s="306"/>
      <c r="J769" s="305">
        <v>4143263</v>
      </c>
      <c r="K769" s="309">
        <f t="shared" si="111"/>
        <v>0</v>
      </c>
      <c r="L769" s="310">
        <f t="shared" si="109"/>
        <v>0</v>
      </c>
      <c r="M769" s="306"/>
      <c r="N769" s="46">
        <v>738162</v>
      </c>
      <c r="O769" s="12">
        <f t="shared" si="112"/>
        <v>0</v>
      </c>
      <c r="P769" s="166"/>
      <c r="Q769" s="42">
        <v>633088</v>
      </c>
      <c r="R769" s="44">
        <f t="shared" si="114"/>
        <v>0</v>
      </c>
      <c r="S769" s="358"/>
      <c r="T769" s="45">
        <v>16127</v>
      </c>
      <c r="U769" s="9">
        <f t="shared" si="106"/>
        <v>0</v>
      </c>
      <c r="V769" s="38"/>
      <c r="W769" s="45">
        <v>46315</v>
      </c>
      <c r="X769" s="8">
        <f t="shared" si="108"/>
        <v>0</v>
      </c>
      <c r="Y769" s="38"/>
      <c r="Z769" s="243"/>
    </row>
    <row r="770" spans="1:26">
      <c r="A770" s="150">
        <v>45299</v>
      </c>
      <c r="B770" s="154" t="s">
        <v>108</v>
      </c>
      <c r="C770" s="305">
        <v>3168777</v>
      </c>
      <c r="D770" s="325">
        <f t="shared" si="113"/>
        <v>10</v>
      </c>
      <c r="E770" s="306"/>
      <c r="F770" s="305">
        <v>7202459</v>
      </c>
      <c r="G770" s="307">
        <f t="shared" si="107"/>
        <v>7967</v>
      </c>
      <c r="H770" s="308">
        <f t="shared" si="115"/>
        <v>17.629834254143645</v>
      </c>
      <c r="I770" s="306"/>
      <c r="J770" s="305">
        <v>4143263</v>
      </c>
      <c r="K770" s="309">
        <f t="shared" si="111"/>
        <v>82</v>
      </c>
      <c r="L770" s="310">
        <f t="shared" si="109"/>
        <v>0.6074074074074074</v>
      </c>
      <c r="M770" s="306"/>
      <c r="N770" s="46">
        <v>738162</v>
      </c>
      <c r="O770" s="12">
        <f t="shared" si="112"/>
        <v>348</v>
      </c>
      <c r="P770" s="166"/>
      <c r="Q770" s="42">
        <v>633088</v>
      </c>
      <c r="R770" s="44">
        <f t="shared" si="114"/>
        <v>0</v>
      </c>
      <c r="S770" s="358"/>
      <c r="T770" s="45">
        <v>16127</v>
      </c>
      <c r="U770" s="9">
        <f t="shared" si="106"/>
        <v>204</v>
      </c>
      <c r="V770" s="38"/>
      <c r="W770" s="45">
        <v>46315</v>
      </c>
      <c r="X770" s="8">
        <f t="shared" si="108"/>
        <v>12</v>
      </c>
      <c r="Y770" s="38"/>
      <c r="Z770" s="243"/>
    </row>
    <row r="771" spans="1:26">
      <c r="A771" s="150">
        <v>45300</v>
      </c>
      <c r="B771" s="154" t="s">
        <v>109</v>
      </c>
      <c r="C771" s="305">
        <v>3168787</v>
      </c>
      <c r="D771" s="325">
        <f t="shared" si="113"/>
        <v>10</v>
      </c>
      <c r="E771" s="306"/>
      <c r="F771" s="305">
        <v>7210426</v>
      </c>
      <c r="G771" s="307">
        <f t="shared" si="107"/>
        <v>8273</v>
      </c>
      <c r="H771" s="308">
        <f t="shared" si="115"/>
        <v>18.475138121546962</v>
      </c>
      <c r="I771" s="306"/>
      <c r="J771" s="305">
        <v>4143345</v>
      </c>
      <c r="K771" s="309">
        <f t="shared" si="111"/>
        <v>4484</v>
      </c>
      <c r="L771" s="310">
        <f t="shared" si="109"/>
        <v>33.214814814814815</v>
      </c>
      <c r="M771" s="306"/>
      <c r="N771" s="46">
        <v>738510</v>
      </c>
      <c r="O771" s="12">
        <f t="shared" si="112"/>
        <v>662</v>
      </c>
      <c r="P771" s="166"/>
      <c r="Q771" s="42">
        <v>633204</v>
      </c>
      <c r="R771" s="44">
        <f t="shared" si="114"/>
        <v>116</v>
      </c>
      <c r="S771" s="358"/>
      <c r="T771" s="45">
        <v>16331</v>
      </c>
      <c r="U771" s="9">
        <f t="shared" si="106"/>
        <v>25</v>
      </c>
      <c r="V771" s="38"/>
      <c r="W771" s="45">
        <v>46327</v>
      </c>
      <c r="X771" s="8">
        <f t="shared" si="108"/>
        <v>7</v>
      </c>
      <c r="Y771" s="38"/>
      <c r="Z771" s="243"/>
    </row>
    <row r="772" spans="1:26">
      <c r="A772" s="150">
        <v>45301</v>
      </c>
      <c r="B772" s="154" t="s">
        <v>110</v>
      </c>
      <c r="C772" s="305">
        <v>3168797</v>
      </c>
      <c r="D772" s="325">
        <f t="shared" si="113"/>
        <v>14</v>
      </c>
      <c r="E772" s="306"/>
      <c r="F772" s="305">
        <v>7218699</v>
      </c>
      <c r="G772" s="307">
        <f t="shared" si="107"/>
        <v>9253</v>
      </c>
      <c r="H772" s="308">
        <f t="shared" si="115"/>
        <v>21.193370165745858</v>
      </c>
      <c r="I772" s="306">
        <v>211</v>
      </c>
      <c r="J772" s="305">
        <v>4147829</v>
      </c>
      <c r="K772" s="309">
        <f t="shared" si="111"/>
        <v>4519</v>
      </c>
      <c r="L772" s="310">
        <f t="shared" si="109"/>
        <v>33.474074074074075</v>
      </c>
      <c r="M772" s="306">
        <v>68</v>
      </c>
      <c r="N772" s="46">
        <v>739172</v>
      </c>
      <c r="O772" s="12">
        <f t="shared" si="112"/>
        <v>636</v>
      </c>
      <c r="P772" s="166"/>
      <c r="Q772" s="42">
        <v>633204</v>
      </c>
      <c r="R772" s="44">
        <f t="shared" si="114"/>
        <v>0</v>
      </c>
      <c r="S772" s="358"/>
      <c r="T772" s="45">
        <v>16356</v>
      </c>
      <c r="U772" s="9">
        <f t="shared" si="106"/>
        <v>35</v>
      </c>
      <c r="V772" s="38" t="s">
        <v>122</v>
      </c>
      <c r="W772" s="45">
        <v>46334</v>
      </c>
      <c r="X772" s="8">
        <f t="shared" si="108"/>
        <v>1</v>
      </c>
      <c r="Y772" s="38" t="s">
        <v>123</v>
      </c>
      <c r="Z772" s="243"/>
    </row>
    <row r="773" spans="1:26">
      <c r="A773" s="150">
        <v>45302</v>
      </c>
      <c r="B773" s="154" t="s">
        <v>111</v>
      </c>
      <c r="C773" s="46">
        <v>3168811</v>
      </c>
      <c r="D773" s="322">
        <f t="shared" si="113"/>
        <v>16</v>
      </c>
      <c r="E773" s="39"/>
      <c r="F773" s="46">
        <v>7227952</v>
      </c>
      <c r="G773" s="273">
        <f t="shared" si="107"/>
        <v>11041</v>
      </c>
      <c r="H773" s="156">
        <f t="shared" si="115"/>
        <v>26.138121546961326</v>
      </c>
      <c r="I773" s="39"/>
      <c r="J773" s="46">
        <v>4152348</v>
      </c>
      <c r="K773" s="2">
        <f t="shared" si="111"/>
        <v>4339</v>
      </c>
      <c r="L773" s="160">
        <f t="shared" si="109"/>
        <v>32.140740740740739</v>
      </c>
      <c r="M773" s="39"/>
      <c r="N773" s="46">
        <v>739808</v>
      </c>
      <c r="O773" s="12">
        <f t="shared" si="112"/>
        <v>675</v>
      </c>
      <c r="P773" s="166"/>
      <c r="Q773" s="42">
        <v>633347</v>
      </c>
      <c r="R773" s="44">
        <f t="shared" si="114"/>
        <v>143</v>
      </c>
      <c r="S773" s="358"/>
      <c r="T773" s="46">
        <v>16391</v>
      </c>
      <c r="U773" s="166">
        <f t="shared" si="106"/>
        <v>7</v>
      </c>
      <c r="V773" s="39"/>
      <c r="W773" s="46">
        <v>46335</v>
      </c>
      <c r="X773" s="12">
        <f t="shared" si="108"/>
        <v>0</v>
      </c>
      <c r="Y773" s="39"/>
      <c r="Z773" s="243"/>
    </row>
    <row r="774" spans="1:26">
      <c r="A774" s="150">
        <v>45303</v>
      </c>
      <c r="B774" s="154" t="s">
        <v>106</v>
      </c>
      <c r="C774" s="46">
        <v>3168827</v>
      </c>
      <c r="D774" s="322">
        <f t="shared" si="113"/>
        <v>10</v>
      </c>
      <c r="E774" s="39"/>
      <c r="F774" s="46">
        <v>7238993</v>
      </c>
      <c r="G774" s="273">
        <f t="shared" si="107"/>
        <v>22728</v>
      </c>
      <c r="H774" s="156">
        <f t="shared" si="115"/>
        <v>58.406077348066297</v>
      </c>
      <c r="I774" s="39"/>
      <c r="J774" s="46">
        <v>4156687</v>
      </c>
      <c r="K774" s="2">
        <f t="shared" si="111"/>
        <v>4431</v>
      </c>
      <c r="L774" s="160">
        <f t="shared" si="109"/>
        <v>32.822222222222223</v>
      </c>
      <c r="M774" s="39"/>
      <c r="N774" s="46">
        <v>740483</v>
      </c>
      <c r="O774" s="12">
        <f t="shared" si="112"/>
        <v>0</v>
      </c>
      <c r="P774" s="166"/>
      <c r="Q774" s="42">
        <v>633401</v>
      </c>
      <c r="R774" s="44">
        <f t="shared" si="114"/>
        <v>54</v>
      </c>
      <c r="S774" s="358"/>
      <c r="T774" s="46">
        <v>16398</v>
      </c>
      <c r="U774" s="166">
        <f t="shared" si="106"/>
        <v>13</v>
      </c>
      <c r="V774" s="39"/>
      <c r="W774" s="46">
        <v>46335</v>
      </c>
      <c r="X774" s="12">
        <f t="shared" si="108"/>
        <v>0</v>
      </c>
      <c r="Y774" s="39"/>
      <c r="Z774" s="243"/>
    </row>
    <row r="775" spans="1:26">
      <c r="A775" s="150">
        <v>45304</v>
      </c>
      <c r="B775" s="154" t="s">
        <v>107</v>
      </c>
      <c r="C775" s="46">
        <v>3168837</v>
      </c>
      <c r="D775" s="322">
        <f t="shared" si="113"/>
        <v>0</v>
      </c>
      <c r="E775" s="39"/>
      <c r="F775" s="46">
        <v>7261721</v>
      </c>
      <c r="G775" s="273">
        <f t="shared" si="107"/>
        <v>0</v>
      </c>
      <c r="H775" s="156">
        <f t="shared" si="115"/>
        <v>-4.4060773480662982</v>
      </c>
      <c r="I775" s="39"/>
      <c r="J775" s="46">
        <v>4161118</v>
      </c>
      <c r="K775" s="2">
        <f t="shared" si="111"/>
        <v>0</v>
      </c>
      <c r="L775" s="160">
        <f t="shared" si="109"/>
        <v>0</v>
      </c>
      <c r="M775" s="39"/>
      <c r="N775" s="46">
        <v>740483</v>
      </c>
      <c r="O775" s="12">
        <f t="shared" si="112"/>
        <v>1406</v>
      </c>
      <c r="P775" s="166"/>
      <c r="Q775" s="42">
        <v>633557</v>
      </c>
      <c r="R775" s="44">
        <f t="shared" si="114"/>
        <v>156</v>
      </c>
      <c r="S775" s="358"/>
      <c r="T775" s="46">
        <v>16411</v>
      </c>
      <c r="U775" s="166">
        <f t="shared" ref="U775:U838" si="116">T776-T775</f>
        <v>0</v>
      </c>
      <c r="V775" s="39"/>
      <c r="W775" s="46">
        <v>46335</v>
      </c>
      <c r="X775" s="12">
        <f t="shared" si="108"/>
        <v>0</v>
      </c>
      <c r="Y775" s="39"/>
      <c r="Z775" s="243"/>
    </row>
    <row r="776" spans="1:26">
      <c r="A776" s="150">
        <v>45305</v>
      </c>
      <c r="B776" s="154" t="s">
        <v>36</v>
      </c>
      <c r="C776" s="46">
        <v>3168837</v>
      </c>
      <c r="D776" s="322">
        <f t="shared" si="113"/>
        <v>0</v>
      </c>
      <c r="E776" s="39"/>
      <c r="F776" s="46">
        <v>7261721</v>
      </c>
      <c r="G776" s="273">
        <f t="shared" si="107"/>
        <v>0</v>
      </c>
      <c r="H776" s="156">
        <f t="shared" si="115"/>
        <v>-4.4060773480662982</v>
      </c>
      <c r="I776" s="39"/>
      <c r="J776" s="46">
        <v>4161118</v>
      </c>
      <c r="K776" s="2">
        <f t="shared" si="111"/>
        <v>0</v>
      </c>
      <c r="L776" s="160">
        <f t="shared" si="109"/>
        <v>0</v>
      </c>
      <c r="M776" s="39"/>
      <c r="N776" s="46">
        <v>741889</v>
      </c>
      <c r="O776" s="12">
        <f t="shared" si="112"/>
        <v>0</v>
      </c>
      <c r="P776" s="166"/>
      <c r="Q776" s="42">
        <v>633557</v>
      </c>
      <c r="R776" s="44">
        <f t="shared" si="114"/>
        <v>0</v>
      </c>
      <c r="S776" s="358"/>
      <c r="T776" s="46">
        <v>16411</v>
      </c>
      <c r="U776" s="166">
        <f t="shared" si="116"/>
        <v>0</v>
      </c>
      <c r="V776" s="39"/>
      <c r="W776" s="46">
        <v>46335</v>
      </c>
      <c r="X776" s="12">
        <f t="shared" si="108"/>
        <v>0</v>
      </c>
      <c r="Y776" s="39"/>
      <c r="Z776" s="243"/>
    </row>
    <row r="777" spans="1:26">
      <c r="A777" s="150">
        <v>45306</v>
      </c>
      <c r="B777" s="154" t="s">
        <v>108</v>
      </c>
      <c r="C777" s="46">
        <v>3168837</v>
      </c>
      <c r="D777" s="322">
        <f t="shared" si="113"/>
        <v>14</v>
      </c>
      <c r="E777" s="39"/>
      <c r="F777" s="46">
        <v>7261721</v>
      </c>
      <c r="G777" s="273">
        <f t="shared" si="107"/>
        <v>8401</v>
      </c>
      <c r="H777" s="156">
        <f>(G777+D777-1595)/362</f>
        <v>18.839779005524861</v>
      </c>
      <c r="I777" s="39"/>
      <c r="J777" s="46">
        <v>4161118</v>
      </c>
      <c r="K777" s="2">
        <f t="shared" si="111"/>
        <v>4004</v>
      </c>
      <c r="L777" s="160">
        <f t="shared" si="109"/>
        <v>29.659259259259258</v>
      </c>
      <c r="M777" s="39"/>
      <c r="N777" s="46">
        <v>741889</v>
      </c>
      <c r="O777" s="12">
        <f t="shared" si="112"/>
        <v>651</v>
      </c>
      <c r="P777" s="166"/>
      <c r="Q777" s="42">
        <v>633557</v>
      </c>
      <c r="R777" s="44">
        <f t="shared" si="114"/>
        <v>0</v>
      </c>
      <c r="S777" s="358"/>
      <c r="T777" s="46">
        <v>16411</v>
      </c>
      <c r="U777" s="166">
        <f t="shared" si="116"/>
        <v>1</v>
      </c>
      <c r="V777" s="39"/>
      <c r="W777" s="46">
        <v>46335</v>
      </c>
      <c r="X777" s="12">
        <f t="shared" si="108"/>
        <v>0</v>
      </c>
      <c r="Y777" s="39"/>
      <c r="Z777" s="243"/>
    </row>
    <row r="778" spans="1:26">
      <c r="A778" s="150">
        <v>45307</v>
      </c>
      <c r="B778" s="154" t="s">
        <v>109</v>
      </c>
      <c r="C778" s="46">
        <v>3168851</v>
      </c>
      <c r="D778" s="322">
        <f t="shared" si="113"/>
        <v>14</v>
      </c>
      <c r="E778" s="39"/>
      <c r="F778" s="46">
        <v>7270122</v>
      </c>
      <c r="G778" s="273">
        <f t="shared" si="107"/>
        <v>8937</v>
      </c>
      <c r="H778" s="156">
        <f>(G778+D778-1595)/362</f>
        <v>20.320441988950275</v>
      </c>
      <c r="I778" s="39"/>
      <c r="J778" s="46">
        <v>4165122</v>
      </c>
      <c r="K778" s="2">
        <f t="shared" si="111"/>
        <v>4692</v>
      </c>
      <c r="L778" s="160">
        <f t="shared" si="109"/>
        <v>34.755555555555553</v>
      </c>
      <c r="M778" s="39"/>
      <c r="N778" s="46">
        <v>742540</v>
      </c>
      <c r="O778" s="12">
        <f t="shared" si="112"/>
        <v>1391</v>
      </c>
      <c r="P778" s="166"/>
      <c r="Q778" s="42">
        <v>633615</v>
      </c>
      <c r="R778" s="44">
        <f t="shared" si="114"/>
        <v>58</v>
      </c>
      <c r="S778" s="358"/>
      <c r="T778" s="46">
        <v>16412</v>
      </c>
      <c r="U778" s="166">
        <f t="shared" si="116"/>
        <v>3</v>
      </c>
      <c r="V778" s="39"/>
      <c r="W778" s="46">
        <v>46335</v>
      </c>
      <c r="X778" s="12">
        <f t="shared" si="108"/>
        <v>0</v>
      </c>
      <c r="Y778" s="39"/>
      <c r="Z778" s="243"/>
    </row>
    <row r="779" spans="1:26">
      <c r="A779" s="150">
        <v>45308</v>
      </c>
      <c r="B779" s="154" t="s">
        <v>110</v>
      </c>
      <c r="C779" s="46">
        <v>3168865</v>
      </c>
      <c r="D779" s="322">
        <f t="shared" si="113"/>
        <v>11</v>
      </c>
      <c r="E779" s="39"/>
      <c r="F779" s="46">
        <v>7279059</v>
      </c>
      <c r="G779" s="273">
        <f t="shared" si="107"/>
        <v>8644</v>
      </c>
      <c r="H779" s="156">
        <f>(G779+D779-1595)/362</f>
        <v>19.502762430939228</v>
      </c>
      <c r="I779" s="39"/>
      <c r="J779" s="46">
        <v>4169814</v>
      </c>
      <c r="K779" s="2">
        <f t="shared" si="111"/>
        <v>4813</v>
      </c>
      <c r="L779" s="160">
        <f t="shared" si="109"/>
        <v>35.651851851851852</v>
      </c>
      <c r="M779" s="39"/>
      <c r="N779" s="46">
        <v>743931</v>
      </c>
      <c r="O779" s="12">
        <f>N780-N779</f>
        <v>0</v>
      </c>
      <c r="P779" s="166"/>
      <c r="Q779" s="42">
        <v>633755</v>
      </c>
      <c r="R779" s="44">
        <f t="shared" si="114"/>
        <v>140</v>
      </c>
      <c r="S779" s="358"/>
      <c r="T779" s="46">
        <v>16415</v>
      </c>
      <c r="U779" s="166">
        <f t="shared" si="116"/>
        <v>0</v>
      </c>
      <c r="V779" s="39"/>
      <c r="W779" s="46">
        <v>46335</v>
      </c>
      <c r="X779" s="12">
        <f t="shared" si="108"/>
        <v>0</v>
      </c>
      <c r="Y779" s="39"/>
      <c r="Z779" s="243"/>
    </row>
    <row r="780" spans="1:26">
      <c r="A780" s="150">
        <v>45309</v>
      </c>
      <c r="B780" s="154" t="s">
        <v>111</v>
      </c>
      <c r="C780" s="46">
        <v>3168876</v>
      </c>
      <c r="D780" s="322">
        <f t="shared" si="113"/>
        <v>881</v>
      </c>
      <c r="E780" s="39"/>
      <c r="F780" s="46">
        <v>7287703</v>
      </c>
      <c r="G780" s="273">
        <f t="shared" si="107"/>
        <v>12376</v>
      </c>
      <c r="H780" s="156">
        <f>(G780+D780-1595)/362</f>
        <v>32.215469613259671</v>
      </c>
      <c r="I780" s="39"/>
      <c r="J780" s="46">
        <v>4174627</v>
      </c>
      <c r="K780" s="2">
        <f t="shared" si="111"/>
        <v>4628</v>
      </c>
      <c r="L780" s="160">
        <f t="shared" si="109"/>
        <v>34.281481481481478</v>
      </c>
      <c r="M780" s="39"/>
      <c r="N780" s="46">
        <v>743931</v>
      </c>
      <c r="O780" s="12">
        <f>N781-N780</f>
        <v>717</v>
      </c>
      <c r="P780" s="166"/>
      <c r="Q780" s="42">
        <v>633822</v>
      </c>
      <c r="R780" s="44">
        <f t="shared" si="114"/>
        <v>67</v>
      </c>
      <c r="S780" s="358"/>
      <c r="T780" s="46">
        <v>16415</v>
      </c>
      <c r="U780" s="166">
        <f t="shared" si="116"/>
        <v>25</v>
      </c>
      <c r="V780" s="39"/>
      <c r="W780" s="46">
        <v>46335</v>
      </c>
      <c r="X780" s="12">
        <f t="shared" si="108"/>
        <v>2</v>
      </c>
      <c r="Y780" s="39"/>
      <c r="Z780" s="243"/>
    </row>
    <row r="781" spans="1:26">
      <c r="A781" s="150">
        <v>45310</v>
      </c>
      <c r="B781" s="154" t="s">
        <v>106</v>
      </c>
      <c r="C781" s="46">
        <v>3169757</v>
      </c>
      <c r="D781" s="322">
        <f t="shared" si="113"/>
        <v>5233</v>
      </c>
      <c r="E781" s="39"/>
      <c r="F781" s="46">
        <v>7300079</v>
      </c>
      <c r="G781" s="273">
        <f t="shared" si="107"/>
        <v>22354</v>
      </c>
      <c r="H781" s="156">
        <f t="shared" ref="H781:H842" si="117">(G781+D781-1595)/362</f>
        <v>71.801104972375697</v>
      </c>
      <c r="I781" s="39"/>
      <c r="J781" s="46">
        <v>4179255</v>
      </c>
      <c r="K781" s="2">
        <f t="shared" si="111"/>
        <v>4129</v>
      </c>
      <c r="L781" s="160">
        <f t="shared" si="109"/>
        <v>30.585185185185185</v>
      </c>
      <c r="M781" s="39"/>
      <c r="N781" s="46">
        <v>744648</v>
      </c>
      <c r="O781" s="12">
        <f t="shared" ref="O781:O835" si="118">N782-N781</f>
        <v>1339</v>
      </c>
      <c r="P781" s="166"/>
      <c r="Q781" s="42">
        <v>633940</v>
      </c>
      <c r="R781" s="44">
        <f t="shared" si="114"/>
        <v>118</v>
      </c>
      <c r="S781" s="358"/>
      <c r="T781" s="46">
        <v>16440</v>
      </c>
      <c r="U781" s="166">
        <f t="shared" si="116"/>
        <v>0</v>
      </c>
      <c r="V781" s="39"/>
      <c r="W781" s="46">
        <v>46337</v>
      </c>
      <c r="X781" s="12">
        <f t="shared" si="108"/>
        <v>0</v>
      </c>
      <c r="Y781" s="39"/>
      <c r="Z781" s="243"/>
    </row>
    <row r="782" spans="1:26">
      <c r="A782" s="150">
        <v>45311</v>
      </c>
      <c r="B782" s="154" t="s">
        <v>107</v>
      </c>
      <c r="C782" s="46">
        <v>3174990</v>
      </c>
      <c r="D782" s="322">
        <f t="shared" si="113"/>
        <v>0</v>
      </c>
      <c r="E782" s="39"/>
      <c r="F782" s="46">
        <v>7322433</v>
      </c>
      <c r="G782" s="273">
        <f t="shared" si="107"/>
        <v>0</v>
      </c>
      <c r="H782" s="156">
        <f t="shared" si="117"/>
        <v>-4.4060773480662982</v>
      </c>
      <c r="I782" s="39"/>
      <c r="J782" s="46">
        <v>4183384</v>
      </c>
      <c r="K782" s="2">
        <f t="shared" si="111"/>
        <v>0</v>
      </c>
      <c r="L782" s="160">
        <f t="shared" si="109"/>
        <v>0</v>
      </c>
      <c r="M782" s="39"/>
      <c r="N782" s="46">
        <v>745987</v>
      </c>
      <c r="O782" s="12">
        <f t="shared" si="118"/>
        <v>0</v>
      </c>
      <c r="P782" s="166"/>
      <c r="Q782" s="42">
        <v>634255</v>
      </c>
      <c r="R782" s="44">
        <f t="shared" si="114"/>
        <v>315</v>
      </c>
      <c r="S782" s="358"/>
      <c r="T782" s="46">
        <v>16440</v>
      </c>
      <c r="U782" s="166">
        <f t="shared" si="116"/>
        <v>0</v>
      </c>
      <c r="V782" s="39"/>
      <c r="W782" s="46">
        <v>46337</v>
      </c>
      <c r="X782" s="12">
        <f t="shared" si="108"/>
        <v>0</v>
      </c>
      <c r="Y782" s="39"/>
      <c r="Z782" s="243"/>
    </row>
    <row r="783" spans="1:26">
      <c r="A783" s="150">
        <v>45312</v>
      </c>
      <c r="B783" s="154" t="s">
        <v>36</v>
      </c>
      <c r="C783" s="46">
        <v>3174990</v>
      </c>
      <c r="D783" s="322">
        <f t="shared" si="113"/>
        <v>0</v>
      </c>
      <c r="E783" s="39"/>
      <c r="F783" s="46">
        <v>7322433</v>
      </c>
      <c r="G783" s="273">
        <f t="shared" si="107"/>
        <v>0</v>
      </c>
      <c r="H783" s="156">
        <f t="shared" si="117"/>
        <v>-4.4060773480662982</v>
      </c>
      <c r="I783" s="39"/>
      <c r="J783" s="46">
        <v>4183384</v>
      </c>
      <c r="K783" s="2">
        <f t="shared" si="111"/>
        <v>0</v>
      </c>
      <c r="L783" s="160">
        <f t="shared" si="109"/>
        <v>0</v>
      </c>
      <c r="M783" s="39"/>
      <c r="N783" s="46">
        <v>745987</v>
      </c>
      <c r="O783" s="12">
        <f t="shared" si="118"/>
        <v>0</v>
      </c>
      <c r="P783" s="166"/>
      <c r="Q783" s="42">
        <v>634255</v>
      </c>
      <c r="R783" s="44">
        <f t="shared" si="114"/>
        <v>0</v>
      </c>
      <c r="S783" s="358"/>
      <c r="T783" s="46">
        <v>16440</v>
      </c>
      <c r="U783" s="166">
        <f t="shared" si="116"/>
        <v>0</v>
      </c>
      <c r="V783" s="39"/>
      <c r="W783" s="46">
        <v>46337</v>
      </c>
      <c r="X783" s="12">
        <f t="shared" si="108"/>
        <v>0</v>
      </c>
      <c r="Y783" s="39"/>
      <c r="Z783" s="243"/>
    </row>
    <row r="784" spans="1:26">
      <c r="A784" s="150">
        <v>45313</v>
      </c>
      <c r="B784" s="154" t="s">
        <v>108</v>
      </c>
      <c r="C784" s="46">
        <v>3174990</v>
      </c>
      <c r="D784" s="322">
        <f t="shared" si="113"/>
        <v>2811</v>
      </c>
      <c r="E784" s="39"/>
      <c r="F784" s="46">
        <v>7322433</v>
      </c>
      <c r="G784" s="273">
        <f t="shared" si="107"/>
        <v>11732</v>
      </c>
      <c r="H784" s="156">
        <f t="shared" si="117"/>
        <v>35.767955801104975</v>
      </c>
      <c r="I784" s="39"/>
      <c r="J784" s="46">
        <v>4183384</v>
      </c>
      <c r="K784" s="2">
        <f t="shared" si="111"/>
        <v>4467</v>
      </c>
      <c r="L784" s="160">
        <f t="shared" si="109"/>
        <v>33.088888888888889</v>
      </c>
      <c r="M784" s="39"/>
      <c r="N784" s="46">
        <v>745987</v>
      </c>
      <c r="O784" s="12">
        <f t="shared" si="118"/>
        <v>1186</v>
      </c>
      <c r="P784" s="166"/>
      <c r="Q784" s="42">
        <v>634255</v>
      </c>
      <c r="R784" s="44">
        <f t="shared" si="114"/>
        <v>0</v>
      </c>
      <c r="S784" s="358"/>
      <c r="T784" s="46">
        <v>16440</v>
      </c>
      <c r="U784" s="166">
        <f t="shared" si="116"/>
        <v>16</v>
      </c>
      <c r="V784" s="39"/>
      <c r="W784" s="46">
        <v>46337</v>
      </c>
      <c r="X784" s="12">
        <f t="shared" si="108"/>
        <v>0</v>
      </c>
      <c r="Y784" s="39"/>
      <c r="Z784" s="243"/>
    </row>
    <row r="785" spans="1:26">
      <c r="A785" s="150">
        <v>45314</v>
      </c>
      <c r="B785" s="154" t="s">
        <v>109</v>
      </c>
      <c r="C785" s="46">
        <v>3177801</v>
      </c>
      <c r="D785" s="322">
        <f t="shared" si="113"/>
        <v>2811</v>
      </c>
      <c r="E785" s="39"/>
      <c r="F785" s="46">
        <v>7334165</v>
      </c>
      <c r="G785" s="273">
        <f t="shared" si="107"/>
        <v>9762</v>
      </c>
      <c r="H785" s="156">
        <f t="shared" si="117"/>
        <v>30.325966850828728</v>
      </c>
      <c r="I785" s="39"/>
      <c r="J785" s="46">
        <v>4187851</v>
      </c>
      <c r="K785" s="2">
        <f t="shared" si="111"/>
        <v>4302</v>
      </c>
      <c r="L785" s="160">
        <f t="shared" si="109"/>
        <v>31.866666666666667</v>
      </c>
      <c r="M785" s="39"/>
      <c r="N785" s="46">
        <v>747173</v>
      </c>
      <c r="O785" s="12">
        <f t="shared" si="118"/>
        <v>0</v>
      </c>
      <c r="P785" s="166"/>
      <c r="Q785" s="42">
        <v>634347</v>
      </c>
      <c r="R785" s="44">
        <f t="shared" si="114"/>
        <v>92</v>
      </c>
      <c r="S785" s="358"/>
      <c r="T785" s="46">
        <v>16456</v>
      </c>
      <c r="U785" s="166">
        <f t="shared" si="116"/>
        <v>7</v>
      </c>
      <c r="V785" s="39"/>
      <c r="W785" s="46">
        <v>46337</v>
      </c>
      <c r="X785" s="12">
        <f>W786-W785</f>
        <v>0</v>
      </c>
      <c r="Y785" s="39"/>
      <c r="Z785" s="243"/>
    </row>
    <row r="786" spans="1:26">
      <c r="A786" s="150">
        <v>45315</v>
      </c>
      <c r="B786" s="154" t="s">
        <v>110</v>
      </c>
      <c r="C786" s="46">
        <v>3180612</v>
      </c>
      <c r="D786" s="322">
        <f t="shared" si="113"/>
        <v>3202</v>
      </c>
      <c r="E786" s="39"/>
      <c r="F786" s="46">
        <v>7343927</v>
      </c>
      <c r="G786" s="273">
        <f t="shared" si="107"/>
        <v>17594</v>
      </c>
      <c r="H786" s="156">
        <f t="shared" si="117"/>
        <v>53.041436464088399</v>
      </c>
      <c r="I786" s="39"/>
      <c r="J786" s="46">
        <v>4192153</v>
      </c>
      <c r="K786" s="2">
        <f t="shared" si="111"/>
        <v>5004</v>
      </c>
      <c r="L786" s="160">
        <f t="shared" si="109"/>
        <v>37.06666666666667</v>
      </c>
      <c r="M786" s="39"/>
      <c r="N786" s="46">
        <v>747173</v>
      </c>
      <c r="O786" s="12">
        <f t="shared" si="118"/>
        <v>993</v>
      </c>
      <c r="P786" s="166"/>
      <c r="Q786" s="42">
        <v>634424</v>
      </c>
      <c r="R786" s="44">
        <f t="shared" si="114"/>
        <v>77</v>
      </c>
      <c r="S786" s="358"/>
      <c r="T786" s="46">
        <v>16463</v>
      </c>
      <c r="U786" s="166">
        <f t="shared" si="116"/>
        <v>8</v>
      </c>
      <c r="V786" s="39"/>
      <c r="W786" s="46">
        <v>46337</v>
      </c>
      <c r="X786" s="12">
        <f t="shared" ref="X786:X847" si="119">W787-W786</f>
        <v>0</v>
      </c>
      <c r="Y786" s="39"/>
      <c r="Z786" s="243"/>
    </row>
    <row r="787" spans="1:26">
      <c r="A787" s="150">
        <v>45316</v>
      </c>
      <c r="B787" s="154" t="s">
        <v>111</v>
      </c>
      <c r="C787" s="46">
        <v>3183814</v>
      </c>
      <c r="D787" s="322">
        <f t="shared" si="113"/>
        <v>0</v>
      </c>
      <c r="E787" s="39"/>
      <c r="F787" s="46">
        <v>7361521</v>
      </c>
      <c r="G787" s="273">
        <f t="shared" si="107"/>
        <v>0</v>
      </c>
      <c r="H787" s="156">
        <f t="shared" si="117"/>
        <v>-4.4060773480662982</v>
      </c>
      <c r="I787" s="39"/>
      <c r="J787" s="46">
        <v>4197157</v>
      </c>
      <c r="K787" s="2">
        <f t="shared" si="111"/>
        <v>0</v>
      </c>
      <c r="L787" s="160">
        <f t="shared" si="109"/>
        <v>0</v>
      </c>
      <c r="M787" s="39"/>
      <c r="N787" s="46">
        <v>748166</v>
      </c>
      <c r="O787" s="12">
        <f t="shared" si="118"/>
        <v>0</v>
      </c>
      <c r="P787" s="166"/>
      <c r="Q787" s="42">
        <v>634523</v>
      </c>
      <c r="R787" s="44">
        <f t="shared" si="114"/>
        <v>99</v>
      </c>
      <c r="S787" s="358"/>
      <c r="T787" s="46">
        <v>16471</v>
      </c>
      <c r="U787" s="166">
        <f t="shared" si="116"/>
        <v>0</v>
      </c>
      <c r="V787" s="39"/>
      <c r="W787" s="46">
        <v>46337</v>
      </c>
      <c r="X787" s="12">
        <f t="shared" si="119"/>
        <v>0</v>
      </c>
      <c r="Y787" s="39"/>
      <c r="Z787" s="243"/>
    </row>
    <row r="788" spans="1:26">
      <c r="A788" s="150">
        <v>45317</v>
      </c>
      <c r="B788" s="154" t="s">
        <v>106</v>
      </c>
      <c r="C788" s="46">
        <v>3183814</v>
      </c>
      <c r="D788" s="322">
        <f t="shared" si="113"/>
        <v>3133</v>
      </c>
      <c r="E788" s="39"/>
      <c r="F788" s="46">
        <v>7361521</v>
      </c>
      <c r="G788" s="273">
        <f t="shared" si="107"/>
        <v>20396</v>
      </c>
      <c r="H788" s="156">
        <f t="shared" si="117"/>
        <v>60.591160220994475</v>
      </c>
      <c r="I788" s="39"/>
      <c r="J788" s="46">
        <v>4197157</v>
      </c>
      <c r="K788" s="2">
        <f t="shared" si="111"/>
        <v>8110</v>
      </c>
      <c r="L788" s="160">
        <f t="shared" si="109"/>
        <v>60.074074074074076</v>
      </c>
      <c r="M788" s="39"/>
      <c r="N788" s="46">
        <v>748166</v>
      </c>
      <c r="O788" s="12">
        <f t="shared" si="118"/>
        <v>821</v>
      </c>
      <c r="P788" s="166"/>
      <c r="Q788" s="42">
        <v>634599</v>
      </c>
      <c r="R788" s="44">
        <f t="shared" si="114"/>
        <v>76</v>
      </c>
      <c r="S788" s="358"/>
      <c r="T788" s="46">
        <v>16471</v>
      </c>
      <c r="U788" s="166">
        <f t="shared" si="116"/>
        <v>9</v>
      </c>
      <c r="V788" s="39"/>
      <c r="W788" s="46">
        <v>46337</v>
      </c>
      <c r="X788" s="12">
        <f t="shared" si="119"/>
        <v>1</v>
      </c>
      <c r="Y788" s="39"/>
      <c r="Z788" s="243"/>
    </row>
    <row r="789" spans="1:26">
      <c r="A789" s="150">
        <v>45318</v>
      </c>
      <c r="B789" s="154" t="s">
        <v>107</v>
      </c>
      <c r="C789" s="46">
        <v>3186947</v>
      </c>
      <c r="D789" s="322">
        <f t="shared" si="113"/>
        <v>0</v>
      </c>
      <c r="E789" s="39"/>
      <c r="F789" s="46">
        <v>7381917</v>
      </c>
      <c r="G789" s="273">
        <f t="shared" ref="G789:G842" si="120">IF(F790&gt;0,F790-F789," ")</f>
        <v>0</v>
      </c>
      <c r="H789" s="156">
        <f t="shared" si="117"/>
        <v>-4.4060773480662982</v>
      </c>
      <c r="I789" s="39"/>
      <c r="J789" s="46">
        <v>4205267</v>
      </c>
      <c r="K789" s="2">
        <f t="shared" si="111"/>
        <v>0</v>
      </c>
      <c r="L789" s="160">
        <f t="shared" si="109"/>
        <v>0</v>
      </c>
      <c r="M789" s="39"/>
      <c r="N789" s="46">
        <v>748987</v>
      </c>
      <c r="O789" s="12">
        <f t="shared" si="118"/>
        <v>0</v>
      </c>
      <c r="P789" s="166"/>
      <c r="Q789" s="42">
        <v>634787</v>
      </c>
      <c r="R789" s="44">
        <f t="shared" si="114"/>
        <v>188</v>
      </c>
      <c r="S789" s="358"/>
      <c r="T789" s="46">
        <v>16480</v>
      </c>
      <c r="U789" s="166">
        <f t="shared" si="116"/>
        <v>0</v>
      </c>
      <c r="V789" s="39"/>
      <c r="W789" s="46">
        <v>46338</v>
      </c>
      <c r="X789" s="12">
        <f t="shared" si="119"/>
        <v>0</v>
      </c>
      <c r="Y789" s="39"/>
      <c r="Z789" s="243"/>
    </row>
    <row r="790" spans="1:26">
      <c r="A790" s="150">
        <v>45319</v>
      </c>
      <c r="B790" s="154" t="s">
        <v>36</v>
      </c>
      <c r="C790" s="46">
        <v>3186947</v>
      </c>
      <c r="D790" s="322">
        <f t="shared" si="113"/>
        <v>0</v>
      </c>
      <c r="E790" s="39"/>
      <c r="F790" s="46">
        <v>7381917</v>
      </c>
      <c r="G790" s="273">
        <f t="shared" si="120"/>
        <v>0</v>
      </c>
      <c r="H790" s="156">
        <f t="shared" si="117"/>
        <v>-4.4060773480662982</v>
      </c>
      <c r="I790" s="39"/>
      <c r="J790" s="46">
        <v>4205267</v>
      </c>
      <c r="K790" s="2">
        <f t="shared" si="111"/>
        <v>0</v>
      </c>
      <c r="L790" s="160">
        <f t="shared" si="109"/>
        <v>0</v>
      </c>
      <c r="M790" s="39"/>
      <c r="N790" s="46">
        <v>748987</v>
      </c>
      <c r="O790" s="12">
        <f t="shared" si="118"/>
        <v>828</v>
      </c>
      <c r="P790" s="166"/>
      <c r="Q790" s="42">
        <v>634787</v>
      </c>
      <c r="R790" s="44">
        <f t="shared" si="114"/>
        <v>0</v>
      </c>
      <c r="S790" s="358"/>
      <c r="T790" s="46">
        <v>16480</v>
      </c>
      <c r="U790" s="166">
        <f t="shared" si="116"/>
        <v>0</v>
      </c>
      <c r="V790" s="39"/>
      <c r="W790" s="46">
        <v>46338</v>
      </c>
      <c r="X790" s="12">
        <f t="shared" si="119"/>
        <v>0</v>
      </c>
      <c r="Y790" s="39"/>
      <c r="Z790" s="243"/>
    </row>
    <row r="791" spans="1:26">
      <c r="A791" s="150">
        <v>45320</v>
      </c>
      <c r="B791" s="154" t="s">
        <v>108</v>
      </c>
      <c r="C791" s="46">
        <v>3186947</v>
      </c>
      <c r="D791" s="322">
        <f t="shared" si="113"/>
        <v>1157</v>
      </c>
      <c r="E791" s="39"/>
      <c r="F791" s="46">
        <v>7381917</v>
      </c>
      <c r="G791" s="273">
        <f t="shared" si="120"/>
        <v>8012</v>
      </c>
      <c r="H791" s="156">
        <f t="shared" si="117"/>
        <v>20.922651933701658</v>
      </c>
      <c r="I791" s="39"/>
      <c r="J791" s="46">
        <v>4205267</v>
      </c>
      <c r="K791" s="2">
        <f t="shared" si="111"/>
        <v>5024</v>
      </c>
      <c r="L791" s="160">
        <f t="shared" si="109"/>
        <v>37.214814814814815</v>
      </c>
      <c r="M791" s="39"/>
      <c r="N791" s="46">
        <v>749815</v>
      </c>
      <c r="O791" s="12">
        <f t="shared" si="118"/>
        <v>764</v>
      </c>
      <c r="P791" s="166"/>
      <c r="Q791" s="42">
        <v>634787</v>
      </c>
      <c r="R791" s="44">
        <f t="shared" si="114"/>
        <v>0</v>
      </c>
      <c r="S791" s="358"/>
      <c r="T791" s="46">
        <v>16480</v>
      </c>
      <c r="U791" s="166">
        <f t="shared" si="116"/>
        <v>2</v>
      </c>
      <c r="V791" s="39"/>
      <c r="W791" s="46">
        <v>46338</v>
      </c>
      <c r="X791" s="12">
        <f t="shared" si="119"/>
        <v>31</v>
      </c>
      <c r="Y791" s="39"/>
      <c r="Z791" s="243"/>
    </row>
    <row r="792" spans="1:26">
      <c r="A792" s="150">
        <v>45321</v>
      </c>
      <c r="B792" s="154" t="s">
        <v>109</v>
      </c>
      <c r="C792" s="46">
        <v>3188104</v>
      </c>
      <c r="D792" s="322">
        <f t="shared" si="113"/>
        <v>934</v>
      </c>
      <c r="E792" s="39"/>
      <c r="F792" s="46">
        <v>7389929</v>
      </c>
      <c r="G792" s="273">
        <f t="shared" si="120"/>
        <v>8124</v>
      </c>
      <c r="H792" s="156">
        <f t="shared" si="117"/>
        <v>20.616022099447513</v>
      </c>
      <c r="I792" s="39"/>
      <c r="J792" s="46">
        <v>4210291</v>
      </c>
      <c r="K792" s="2">
        <f t="shared" si="111"/>
        <v>5132</v>
      </c>
      <c r="L792" s="160">
        <f t="shared" si="109"/>
        <v>38.014814814814812</v>
      </c>
      <c r="M792" s="39"/>
      <c r="N792" s="46">
        <v>750579</v>
      </c>
      <c r="O792" s="12">
        <f t="shared" si="118"/>
        <v>780</v>
      </c>
      <c r="P792" s="166"/>
      <c r="Q792" s="42">
        <v>634851</v>
      </c>
      <c r="R792" s="44">
        <f t="shared" si="114"/>
        <v>64</v>
      </c>
      <c r="S792" s="358"/>
      <c r="T792" s="46">
        <v>16482</v>
      </c>
      <c r="U792" s="166">
        <f t="shared" si="116"/>
        <v>449</v>
      </c>
      <c r="V792" s="39"/>
      <c r="W792" s="46">
        <v>46369</v>
      </c>
      <c r="X792" s="12">
        <f t="shared" si="119"/>
        <v>1</v>
      </c>
      <c r="Y792" s="39"/>
      <c r="Z792" s="243"/>
    </row>
    <row r="793" spans="1:26">
      <c r="A793" s="150">
        <v>45322</v>
      </c>
      <c r="B793" s="154" t="s">
        <v>110</v>
      </c>
      <c r="C793" s="46">
        <v>3189038</v>
      </c>
      <c r="D793" s="322">
        <f t="shared" si="113"/>
        <v>1161</v>
      </c>
      <c r="E793" s="39"/>
      <c r="F793" s="46">
        <v>7398053</v>
      </c>
      <c r="G793" s="273">
        <f t="shared" si="120"/>
        <v>8066</v>
      </c>
      <c r="H793" s="156">
        <f t="shared" si="117"/>
        <v>21.082872928176794</v>
      </c>
      <c r="I793" s="39"/>
      <c r="J793" s="46">
        <v>4215423</v>
      </c>
      <c r="K793" s="2">
        <f t="shared" si="111"/>
        <v>4972</v>
      </c>
      <c r="L793" s="160">
        <f t="shared" si="109"/>
        <v>36.829629629629629</v>
      </c>
      <c r="M793" s="39"/>
      <c r="N793" s="46">
        <v>751359</v>
      </c>
      <c r="O793" s="12">
        <f t="shared" si="118"/>
        <v>731</v>
      </c>
      <c r="P793" s="166"/>
      <c r="Q793" s="42">
        <v>634980</v>
      </c>
      <c r="R793" s="44">
        <f t="shared" si="114"/>
        <v>129</v>
      </c>
      <c r="S793" s="358"/>
      <c r="T793" s="46">
        <v>16931</v>
      </c>
      <c r="U793" s="166">
        <f t="shared" si="116"/>
        <v>2</v>
      </c>
      <c r="V793" s="39"/>
      <c r="W793" s="46">
        <v>46370</v>
      </c>
      <c r="X793" s="12">
        <f t="shared" si="119"/>
        <v>0</v>
      </c>
      <c r="Y793" s="39"/>
      <c r="Z793" s="243"/>
    </row>
    <row r="794" spans="1:26">
      <c r="A794" s="150">
        <v>45323</v>
      </c>
      <c r="B794" s="154" t="s">
        <v>111</v>
      </c>
      <c r="C794" s="46">
        <v>3190199</v>
      </c>
      <c r="D794" s="322">
        <f t="shared" si="113"/>
        <v>1045</v>
      </c>
      <c r="E794" s="39"/>
      <c r="F794" s="46">
        <v>7406119</v>
      </c>
      <c r="G794" s="273">
        <f t="shared" si="120"/>
        <v>8217</v>
      </c>
      <c r="H794" s="156">
        <f t="shared" si="117"/>
        <v>21.179558011049725</v>
      </c>
      <c r="I794" s="39"/>
      <c r="J794" s="46">
        <v>4220395</v>
      </c>
      <c r="K794" s="2">
        <f t="shared" si="111"/>
        <v>4926</v>
      </c>
      <c r="L794" s="160">
        <f t="shared" si="109"/>
        <v>36.488888888888887</v>
      </c>
      <c r="M794" s="39"/>
      <c r="N794" s="46">
        <v>752090</v>
      </c>
      <c r="O794" s="12">
        <f t="shared" si="118"/>
        <v>492</v>
      </c>
      <c r="P794" s="166"/>
      <c r="Q794" s="42">
        <v>635024</v>
      </c>
      <c r="R794" s="44">
        <f t="shared" si="114"/>
        <v>44</v>
      </c>
      <c r="S794" s="358"/>
      <c r="T794" s="46">
        <v>16933</v>
      </c>
      <c r="U794" s="166">
        <f t="shared" si="116"/>
        <v>5</v>
      </c>
      <c r="V794" s="39"/>
      <c r="W794" s="46">
        <v>46370</v>
      </c>
      <c r="X794" s="12">
        <f t="shared" si="119"/>
        <v>0</v>
      </c>
      <c r="Y794" s="39"/>
      <c r="Z794" s="243"/>
    </row>
    <row r="795" spans="1:26">
      <c r="A795" s="150">
        <v>45324</v>
      </c>
      <c r="B795" s="154" t="s">
        <v>106</v>
      </c>
      <c r="C795" s="46">
        <v>3191244</v>
      </c>
      <c r="D795" s="322">
        <f t="shared" si="113"/>
        <v>3081</v>
      </c>
      <c r="E795" s="39"/>
      <c r="F795" s="46">
        <v>7414336</v>
      </c>
      <c r="G795" s="273">
        <f t="shared" si="120"/>
        <v>24208</v>
      </c>
      <c r="H795" s="156">
        <f t="shared" si="117"/>
        <v>70.97790055248619</v>
      </c>
      <c r="I795" s="39"/>
      <c r="J795" s="46">
        <v>4225321</v>
      </c>
      <c r="K795" s="2">
        <f t="shared" si="111"/>
        <v>4931</v>
      </c>
      <c r="L795" s="160">
        <f t="shared" si="109"/>
        <v>36.525925925925925</v>
      </c>
      <c r="M795" s="39"/>
      <c r="N795" s="46">
        <v>752582</v>
      </c>
      <c r="O795" s="12">
        <f t="shared" si="118"/>
        <v>2341</v>
      </c>
      <c r="P795" s="166"/>
      <c r="Q795" s="42">
        <v>635509</v>
      </c>
      <c r="R795" s="44">
        <f t="shared" si="114"/>
        <v>485</v>
      </c>
      <c r="S795" s="358"/>
      <c r="T795" s="46">
        <v>16938</v>
      </c>
      <c r="U795" s="166">
        <f t="shared" si="116"/>
        <v>7</v>
      </c>
      <c r="V795" s="39"/>
      <c r="W795" s="46">
        <v>46370</v>
      </c>
      <c r="X795" s="12">
        <f t="shared" si="119"/>
        <v>1</v>
      </c>
      <c r="Y795" s="39"/>
      <c r="Z795" s="243"/>
    </row>
    <row r="796" spans="1:26">
      <c r="A796" s="150">
        <v>45325</v>
      </c>
      <c r="B796" s="154" t="s">
        <v>107</v>
      </c>
      <c r="C796" s="46">
        <v>3194325</v>
      </c>
      <c r="D796" s="322">
        <f t="shared" si="113"/>
        <v>0</v>
      </c>
      <c r="E796" s="39"/>
      <c r="F796" s="46">
        <v>7438544</v>
      </c>
      <c r="G796" s="273">
        <f t="shared" si="120"/>
        <v>0</v>
      </c>
      <c r="H796" s="156">
        <f t="shared" si="117"/>
        <v>-4.4060773480662982</v>
      </c>
      <c r="I796" s="39"/>
      <c r="J796" s="46">
        <v>4230252</v>
      </c>
      <c r="K796" s="2">
        <f t="shared" si="111"/>
        <v>0</v>
      </c>
      <c r="L796" s="160">
        <f t="shared" si="109"/>
        <v>0</v>
      </c>
      <c r="M796" s="39"/>
      <c r="N796" s="46">
        <v>754923</v>
      </c>
      <c r="O796" s="12">
        <f t="shared" si="118"/>
        <v>0</v>
      </c>
      <c r="P796" s="166">
        <v>16</v>
      </c>
      <c r="Q796" s="42">
        <v>635509</v>
      </c>
      <c r="R796" s="44">
        <f t="shared" si="114"/>
        <v>0</v>
      </c>
      <c r="S796" s="358"/>
      <c r="T796" s="46">
        <v>16945</v>
      </c>
      <c r="U796" s="166">
        <f t="shared" si="116"/>
        <v>0</v>
      </c>
      <c r="V796" s="39"/>
      <c r="W796" s="46">
        <v>46371</v>
      </c>
      <c r="X796" s="12">
        <f t="shared" si="119"/>
        <v>0</v>
      </c>
      <c r="Y796" s="39"/>
      <c r="Z796" s="243"/>
    </row>
    <row r="797" spans="1:26">
      <c r="A797" s="150">
        <v>45326</v>
      </c>
      <c r="B797" s="154" t="s">
        <v>36</v>
      </c>
      <c r="C797" s="46">
        <v>3194325</v>
      </c>
      <c r="D797" s="322">
        <f t="shared" si="113"/>
        <v>0</v>
      </c>
      <c r="E797" s="39"/>
      <c r="F797" s="46">
        <v>7438544</v>
      </c>
      <c r="G797" s="273">
        <f t="shared" si="120"/>
        <v>0</v>
      </c>
      <c r="H797" s="156">
        <f t="shared" si="117"/>
        <v>-4.4060773480662982</v>
      </c>
      <c r="I797" s="39"/>
      <c r="J797" s="46">
        <v>4230252</v>
      </c>
      <c r="K797" s="2">
        <f t="shared" si="111"/>
        <v>0</v>
      </c>
      <c r="L797" s="160">
        <f t="shared" si="109"/>
        <v>0</v>
      </c>
      <c r="M797" s="39"/>
      <c r="N797" s="45">
        <v>754923</v>
      </c>
      <c r="O797" s="8">
        <f t="shared" si="118"/>
        <v>0</v>
      </c>
      <c r="P797" s="9"/>
      <c r="Q797" s="42">
        <v>635509</v>
      </c>
      <c r="R797" s="44">
        <f t="shared" si="114"/>
        <v>0</v>
      </c>
      <c r="S797" s="358"/>
      <c r="T797" s="46">
        <v>16945</v>
      </c>
      <c r="U797" s="166">
        <f t="shared" si="116"/>
        <v>0</v>
      </c>
      <c r="V797" s="39"/>
      <c r="W797" s="46">
        <v>46371</v>
      </c>
      <c r="X797" s="12">
        <f t="shared" si="119"/>
        <v>0</v>
      </c>
      <c r="Y797" s="39"/>
      <c r="Z797" s="243"/>
    </row>
    <row r="798" spans="1:26">
      <c r="A798" s="150">
        <v>45327</v>
      </c>
      <c r="B798" s="154" t="s">
        <v>108</v>
      </c>
      <c r="C798" s="46">
        <v>3194325</v>
      </c>
      <c r="D798" s="322">
        <f t="shared" si="113"/>
        <v>933</v>
      </c>
      <c r="E798" s="39"/>
      <c r="F798" s="46">
        <v>7438544</v>
      </c>
      <c r="G798" s="273">
        <f t="shared" si="120"/>
        <v>7984</v>
      </c>
      <c r="H798" s="156">
        <f t="shared" si="117"/>
        <v>20.226519337016576</v>
      </c>
      <c r="I798" s="39"/>
      <c r="J798" s="46">
        <v>4230252</v>
      </c>
      <c r="K798" s="2">
        <f t="shared" si="111"/>
        <v>9319</v>
      </c>
      <c r="L798" s="160">
        <f t="shared" si="109"/>
        <v>69.029629629629625</v>
      </c>
      <c r="M798" s="39"/>
      <c r="N798" s="45">
        <v>754923</v>
      </c>
      <c r="O798" s="8">
        <f t="shared" si="118"/>
        <v>1290</v>
      </c>
      <c r="P798" s="9"/>
      <c r="Q798" s="42">
        <v>635509</v>
      </c>
      <c r="R798" s="44">
        <f t="shared" si="114"/>
        <v>0</v>
      </c>
      <c r="S798" s="358"/>
      <c r="T798" s="46">
        <v>16945</v>
      </c>
      <c r="U798" s="166">
        <f t="shared" si="116"/>
        <v>1</v>
      </c>
      <c r="V798" s="39"/>
      <c r="W798" s="46">
        <v>46371</v>
      </c>
      <c r="X798" s="12">
        <f t="shared" si="119"/>
        <v>0</v>
      </c>
      <c r="Y798" s="39"/>
      <c r="Z798" s="243"/>
    </row>
    <row r="799" spans="1:26">
      <c r="A799" s="150">
        <v>45328</v>
      </c>
      <c r="B799" s="154" t="s">
        <v>109</v>
      </c>
      <c r="C799" s="46">
        <v>3195258</v>
      </c>
      <c r="D799" s="322">
        <f t="shared" si="113"/>
        <v>721</v>
      </c>
      <c r="E799" s="39"/>
      <c r="F799" s="46">
        <v>7446528</v>
      </c>
      <c r="G799" s="273">
        <f t="shared" si="120"/>
        <v>7984</v>
      </c>
      <c r="H799" s="156">
        <f t="shared" si="117"/>
        <v>19.640883977900554</v>
      </c>
      <c r="I799" s="39"/>
      <c r="J799" s="46">
        <v>4239571</v>
      </c>
      <c r="K799" s="2">
        <f t="shared" si="111"/>
        <v>4750</v>
      </c>
      <c r="L799" s="160">
        <f t="shared" si="109"/>
        <v>35.185185185185183</v>
      </c>
      <c r="M799" s="39"/>
      <c r="N799" s="45">
        <v>756213</v>
      </c>
      <c r="O799" s="8">
        <f t="shared" si="118"/>
        <v>0</v>
      </c>
      <c r="P799" s="9"/>
      <c r="Q799" s="42">
        <v>635602</v>
      </c>
      <c r="R799" s="44">
        <f t="shared" si="114"/>
        <v>93</v>
      </c>
      <c r="S799" s="358"/>
      <c r="T799" s="46">
        <v>16946</v>
      </c>
      <c r="U799" s="166">
        <f t="shared" si="116"/>
        <v>10</v>
      </c>
      <c r="V799" s="39"/>
      <c r="W799" s="46">
        <v>46371</v>
      </c>
      <c r="X799" s="12">
        <f t="shared" si="119"/>
        <v>0</v>
      </c>
      <c r="Y799" s="39"/>
      <c r="Z799" s="243"/>
    </row>
    <row r="800" spans="1:26">
      <c r="A800" s="150">
        <v>45329</v>
      </c>
      <c r="B800" s="154" t="s">
        <v>110</v>
      </c>
      <c r="C800" s="46">
        <v>3195979</v>
      </c>
      <c r="D800" s="322">
        <f t="shared" si="113"/>
        <v>798</v>
      </c>
      <c r="E800" s="39"/>
      <c r="F800" s="46">
        <v>7454512</v>
      </c>
      <c r="G800" s="273">
        <f t="shared" si="120"/>
        <v>7906</v>
      </c>
      <c r="H800" s="156">
        <f t="shared" si="117"/>
        <v>19.638121546961326</v>
      </c>
      <c r="I800" s="39"/>
      <c r="J800" s="46">
        <v>4244321</v>
      </c>
      <c r="K800" s="2">
        <f t="shared" si="111"/>
        <v>4760</v>
      </c>
      <c r="L800" s="160">
        <f t="shared" si="109"/>
        <v>35.25925925925926</v>
      </c>
      <c r="M800" s="39"/>
      <c r="N800" s="45">
        <v>756213</v>
      </c>
      <c r="O800" s="8">
        <f t="shared" si="118"/>
        <v>723</v>
      </c>
      <c r="P800" s="9"/>
      <c r="Q800" s="42">
        <v>635659</v>
      </c>
      <c r="R800" s="44">
        <f t="shared" si="114"/>
        <v>57</v>
      </c>
      <c r="S800" s="358"/>
      <c r="T800" s="46">
        <v>16956</v>
      </c>
      <c r="U800" s="166">
        <f t="shared" si="116"/>
        <v>1</v>
      </c>
      <c r="V800" s="39"/>
      <c r="W800" s="46">
        <v>46371</v>
      </c>
      <c r="X800" s="12">
        <f t="shared" si="119"/>
        <v>0</v>
      </c>
      <c r="Y800" s="39"/>
      <c r="Z800" s="243"/>
    </row>
    <row r="801" spans="1:26">
      <c r="A801" s="150">
        <v>45330</v>
      </c>
      <c r="B801" s="154" t="s">
        <v>111</v>
      </c>
      <c r="C801" s="46">
        <v>3196777</v>
      </c>
      <c r="D801" s="322">
        <f t="shared" si="113"/>
        <v>646</v>
      </c>
      <c r="E801" s="39"/>
      <c r="F801" s="46">
        <v>7462418</v>
      </c>
      <c r="G801" s="273">
        <f t="shared" si="120"/>
        <v>7931</v>
      </c>
      <c r="H801" s="156">
        <f t="shared" si="117"/>
        <v>19.287292817679557</v>
      </c>
      <c r="I801" s="39"/>
      <c r="J801" s="46">
        <v>4249081</v>
      </c>
      <c r="K801" s="2">
        <f t="shared" si="111"/>
        <v>5381</v>
      </c>
      <c r="L801" s="160">
        <f t="shared" si="109"/>
        <v>39.859259259259261</v>
      </c>
      <c r="M801" s="39"/>
      <c r="N801" s="45">
        <v>756936</v>
      </c>
      <c r="O801" s="8">
        <f t="shared" si="118"/>
        <v>779</v>
      </c>
      <c r="P801" s="9"/>
      <c r="Q801" s="42">
        <v>635761</v>
      </c>
      <c r="R801" s="44">
        <f t="shared" si="114"/>
        <v>102</v>
      </c>
      <c r="S801" s="358"/>
      <c r="T801" s="46">
        <v>16957</v>
      </c>
      <c r="U801" s="166">
        <f t="shared" si="116"/>
        <v>2</v>
      </c>
      <c r="V801" s="39"/>
      <c r="W801" s="46">
        <v>46371</v>
      </c>
      <c r="X801" s="12">
        <f t="shared" si="119"/>
        <v>0</v>
      </c>
      <c r="Y801" s="39"/>
      <c r="Z801" s="243"/>
    </row>
    <row r="802" spans="1:26">
      <c r="A802" s="150">
        <v>45331</v>
      </c>
      <c r="B802" s="154" t="s">
        <v>106</v>
      </c>
      <c r="C802" s="46">
        <v>3197423</v>
      </c>
      <c r="D802" s="322">
        <f t="shared" si="113"/>
        <v>12159</v>
      </c>
      <c r="E802" s="39">
        <v>29</v>
      </c>
      <c r="F802" s="46">
        <v>7470349</v>
      </c>
      <c r="G802" s="273">
        <f t="shared" si="120"/>
        <v>36345</v>
      </c>
      <c r="H802" s="156">
        <f t="shared" si="117"/>
        <v>129.58287292817678</v>
      </c>
      <c r="I802" s="39">
        <v>251</v>
      </c>
      <c r="J802" s="46">
        <v>4254462</v>
      </c>
      <c r="K802" s="2">
        <f t="shared" si="111"/>
        <v>5324</v>
      </c>
      <c r="L802" s="160">
        <f t="shared" si="109"/>
        <v>39.437037037037037</v>
      </c>
      <c r="M802" s="39">
        <v>118</v>
      </c>
      <c r="N802" s="45">
        <v>757715</v>
      </c>
      <c r="O802" s="8">
        <f t="shared" si="118"/>
        <v>1066</v>
      </c>
      <c r="P802" s="9"/>
      <c r="Q802" s="42">
        <v>635969</v>
      </c>
      <c r="R802" s="44">
        <f t="shared" si="114"/>
        <v>208</v>
      </c>
      <c r="S802" s="358"/>
      <c r="T802" s="46">
        <v>16959</v>
      </c>
      <c r="U802" s="166">
        <f t="shared" si="116"/>
        <v>10</v>
      </c>
      <c r="V802" s="39">
        <v>578</v>
      </c>
      <c r="W802" s="46">
        <v>46371</v>
      </c>
      <c r="X802" s="12">
        <f t="shared" si="119"/>
        <v>0</v>
      </c>
      <c r="Y802" s="39">
        <v>0</v>
      </c>
      <c r="Z802" s="243"/>
    </row>
    <row r="803" spans="1:26">
      <c r="A803" s="150">
        <v>45332</v>
      </c>
      <c r="B803" s="154" t="s">
        <v>107</v>
      </c>
      <c r="C803" s="45">
        <v>3209582</v>
      </c>
      <c r="D803" s="323">
        <f>IF(C804&gt;0,C804-C803," ")</f>
        <v>0</v>
      </c>
      <c r="E803" s="38"/>
      <c r="F803" s="45">
        <v>7506694</v>
      </c>
      <c r="G803" s="274">
        <f t="shared" si="120"/>
        <v>0</v>
      </c>
      <c r="H803" s="127">
        <f t="shared" si="117"/>
        <v>-4.4060773480662982</v>
      </c>
      <c r="I803" s="38"/>
      <c r="J803" s="45">
        <v>4259786</v>
      </c>
      <c r="K803" s="1">
        <f t="shared" si="111"/>
        <v>0</v>
      </c>
      <c r="L803" s="126">
        <f t="shared" si="109"/>
        <v>0</v>
      </c>
      <c r="M803" s="38"/>
      <c r="N803" s="45">
        <v>758781</v>
      </c>
      <c r="O803" s="8">
        <f t="shared" si="118"/>
        <v>737</v>
      </c>
      <c r="P803" s="9"/>
      <c r="Q803" s="42">
        <v>638654</v>
      </c>
      <c r="R803" s="44">
        <f t="shared" si="114"/>
        <v>2685</v>
      </c>
      <c r="S803" s="358"/>
      <c r="T803" s="45">
        <v>16969</v>
      </c>
      <c r="U803" s="9">
        <f t="shared" si="116"/>
        <v>0</v>
      </c>
      <c r="V803" s="38"/>
      <c r="W803" s="45">
        <v>46371</v>
      </c>
      <c r="X803" s="8">
        <f t="shared" si="119"/>
        <v>0</v>
      </c>
      <c r="Y803" s="38"/>
      <c r="Z803" s="243"/>
    </row>
    <row r="804" spans="1:26">
      <c r="A804" s="150">
        <v>45333</v>
      </c>
      <c r="B804" s="154" t="s">
        <v>36</v>
      </c>
      <c r="C804" s="45">
        <v>3209582</v>
      </c>
      <c r="D804" s="323">
        <f t="shared" si="113"/>
        <v>0</v>
      </c>
      <c r="E804" s="38"/>
      <c r="F804" s="45">
        <v>7506694</v>
      </c>
      <c r="G804" s="274">
        <f t="shared" si="120"/>
        <v>0</v>
      </c>
      <c r="H804" s="127">
        <f t="shared" si="117"/>
        <v>-4.4060773480662982</v>
      </c>
      <c r="I804" s="38"/>
      <c r="J804" s="45">
        <v>4259786</v>
      </c>
      <c r="K804" s="1">
        <f t="shared" si="111"/>
        <v>0</v>
      </c>
      <c r="L804" s="126">
        <f t="shared" ref="L804:L820" si="121">K804/135</f>
        <v>0</v>
      </c>
      <c r="M804" s="38"/>
      <c r="N804" s="45">
        <v>759518</v>
      </c>
      <c r="O804" s="8">
        <f t="shared" si="118"/>
        <v>0</v>
      </c>
      <c r="P804" s="9"/>
      <c r="Q804" s="42">
        <v>638654</v>
      </c>
      <c r="R804" s="44">
        <f t="shared" si="114"/>
        <v>0</v>
      </c>
      <c r="S804" s="358"/>
      <c r="T804" s="45">
        <v>16969</v>
      </c>
      <c r="U804" s="9">
        <f t="shared" si="116"/>
        <v>0</v>
      </c>
      <c r="V804" s="38"/>
      <c r="W804" s="45">
        <v>46371</v>
      </c>
      <c r="X804" s="8">
        <f t="shared" si="119"/>
        <v>0</v>
      </c>
      <c r="Y804" s="38"/>
      <c r="Z804" s="243"/>
    </row>
    <row r="805" spans="1:26">
      <c r="A805" s="150">
        <v>45334</v>
      </c>
      <c r="B805" s="154" t="s">
        <v>108</v>
      </c>
      <c r="C805" s="45">
        <v>3209582</v>
      </c>
      <c r="D805" s="323">
        <f t="shared" si="113"/>
        <v>0</v>
      </c>
      <c r="E805" s="38"/>
      <c r="F805" s="45">
        <v>7506694</v>
      </c>
      <c r="G805" s="274">
        <f t="shared" si="120"/>
        <v>0</v>
      </c>
      <c r="H805" s="127">
        <f t="shared" si="117"/>
        <v>-4.4060773480662982</v>
      </c>
      <c r="I805" s="38"/>
      <c r="J805" s="45">
        <v>4259786</v>
      </c>
      <c r="K805" s="1">
        <f t="shared" si="111"/>
        <v>0</v>
      </c>
      <c r="L805" s="126">
        <f t="shared" si="121"/>
        <v>0</v>
      </c>
      <c r="M805" s="38"/>
      <c r="N805" s="45">
        <v>759518</v>
      </c>
      <c r="O805" s="8">
        <f t="shared" si="118"/>
        <v>0</v>
      </c>
      <c r="P805" s="9"/>
      <c r="Q805" s="42">
        <v>638654</v>
      </c>
      <c r="R805" s="44">
        <f t="shared" si="114"/>
        <v>0</v>
      </c>
      <c r="S805" s="358"/>
      <c r="T805" s="45">
        <v>16969</v>
      </c>
      <c r="U805" s="9">
        <f t="shared" si="116"/>
        <v>0</v>
      </c>
      <c r="V805" s="38"/>
      <c r="W805" s="45">
        <v>46371</v>
      </c>
      <c r="X805" s="8">
        <f t="shared" si="119"/>
        <v>0</v>
      </c>
      <c r="Y805" s="38"/>
      <c r="Z805" s="243"/>
    </row>
    <row r="806" spans="1:26">
      <c r="A806" s="150">
        <v>45335</v>
      </c>
      <c r="B806" s="154" t="s">
        <v>109</v>
      </c>
      <c r="C806" s="45">
        <v>3209582</v>
      </c>
      <c r="D806" s="323">
        <f t="shared" si="113"/>
        <v>0</v>
      </c>
      <c r="E806" s="38"/>
      <c r="F806" s="45">
        <v>7506694</v>
      </c>
      <c r="G806" s="274">
        <f t="shared" si="120"/>
        <v>0</v>
      </c>
      <c r="H806" s="127">
        <f t="shared" si="117"/>
        <v>-4.4060773480662982</v>
      </c>
      <c r="I806" s="38"/>
      <c r="J806" s="45">
        <v>4259786</v>
      </c>
      <c r="K806" s="1">
        <f t="shared" si="111"/>
        <v>0</v>
      </c>
      <c r="L806" s="126">
        <f t="shared" si="121"/>
        <v>0</v>
      </c>
      <c r="M806" s="38"/>
      <c r="N806" s="45">
        <v>759518</v>
      </c>
      <c r="O806" s="8">
        <f t="shared" si="118"/>
        <v>0</v>
      </c>
      <c r="P806" s="9"/>
      <c r="Q806" s="42">
        <v>638654</v>
      </c>
      <c r="R806" s="44">
        <f t="shared" si="114"/>
        <v>0</v>
      </c>
      <c r="S806" s="358"/>
      <c r="T806" s="45">
        <v>16969</v>
      </c>
      <c r="U806" s="9">
        <f t="shared" si="116"/>
        <v>0</v>
      </c>
      <c r="V806" s="38"/>
      <c r="W806" s="45">
        <v>46371</v>
      </c>
      <c r="X806" s="8">
        <f t="shared" si="119"/>
        <v>0</v>
      </c>
      <c r="Y806" s="38"/>
      <c r="Z806" s="243"/>
    </row>
    <row r="807" spans="1:26">
      <c r="A807" s="150">
        <v>45336</v>
      </c>
      <c r="B807" s="154" t="s">
        <v>110</v>
      </c>
      <c r="C807" s="45">
        <v>3209582</v>
      </c>
      <c r="D807" s="323">
        <f t="shared" si="113"/>
        <v>9</v>
      </c>
      <c r="E807" s="38"/>
      <c r="F807" s="45">
        <v>7506694</v>
      </c>
      <c r="G807" s="274">
        <f t="shared" si="120"/>
        <v>9751</v>
      </c>
      <c r="H807" s="127">
        <f t="shared" si="117"/>
        <v>22.555248618784532</v>
      </c>
      <c r="I807" s="38"/>
      <c r="J807" s="45">
        <v>4259786</v>
      </c>
      <c r="K807" s="1">
        <f t="shared" si="111"/>
        <v>9325</v>
      </c>
      <c r="L807" s="126">
        <f t="shared" si="121"/>
        <v>69.074074074074076</v>
      </c>
      <c r="M807" s="38"/>
      <c r="N807" s="45">
        <v>759518</v>
      </c>
      <c r="O807" s="8">
        <f t="shared" si="118"/>
        <v>702</v>
      </c>
      <c r="P807" s="9"/>
      <c r="Q807" s="42">
        <v>638654</v>
      </c>
      <c r="R807" s="44">
        <f t="shared" si="114"/>
        <v>0</v>
      </c>
      <c r="S807" s="358"/>
      <c r="T807" s="45">
        <v>16969</v>
      </c>
      <c r="U807" s="9">
        <f t="shared" si="116"/>
        <v>2</v>
      </c>
      <c r="V807" s="38"/>
      <c r="W807" s="45">
        <v>46371</v>
      </c>
      <c r="X807" s="8">
        <f t="shared" si="119"/>
        <v>0</v>
      </c>
      <c r="Y807" s="38"/>
      <c r="Z807" s="243"/>
    </row>
    <row r="808" spans="1:26">
      <c r="A808" s="150">
        <v>45337</v>
      </c>
      <c r="B808" s="154" t="s">
        <v>111</v>
      </c>
      <c r="C808" s="45">
        <v>3209591</v>
      </c>
      <c r="D808" s="323">
        <f t="shared" si="113"/>
        <v>13</v>
      </c>
      <c r="E808" s="38"/>
      <c r="F808" s="45">
        <v>7516445</v>
      </c>
      <c r="G808" s="274">
        <f t="shared" si="120"/>
        <v>9857</v>
      </c>
      <c r="H808" s="127">
        <f t="shared" si="117"/>
        <v>22.859116022099446</v>
      </c>
      <c r="I808" s="38"/>
      <c r="J808" s="45">
        <v>4269111</v>
      </c>
      <c r="K808" s="1">
        <f t="shared" si="111"/>
        <v>5311</v>
      </c>
      <c r="L808" s="126">
        <f t="shared" si="121"/>
        <v>39.340740740740742</v>
      </c>
      <c r="M808" s="38"/>
      <c r="N808" s="45">
        <v>760220</v>
      </c>
      <c r="O808" s="8">
        <f t="shared" si="118"/>
        <v>728</v>
      </c>
      <c r="P808" s="9"/>
      <c r="Q808" s="42">
        <v>638655</v>
      </c>
      <c r="R808" s="44">
        <f t="shared" si="114"/>
        <v>1</v>
      </c>
      <c r="S808" s="358"/>
      <c r="T808" s="45">
        <v>16971</v>
      </c>
      <c r="U808" s="9">
        <f t="shared" si="116"/>
        <v>0</v>
      </c>
      <c r="V808" s="38"/>
      <c r="W808" s="45">
        <v>46371</v>
      </c>
      <c r="X808" s="8">
        <f t="shared" si="119"/>
        <v>0</v>
      </c>
      <c r="Y808" s="38"/>
      <c r="Z808" s="243"/>
    </row>
    <row r="809" spans="1:26">
      <c r="A809" s="150">
        <v>45338</v>
      </c>
      <c r="B809" s="154" t="s">
        <v>106</v>
      </c>
      <c r="C809" s="45">
        <v>3209604</v>
      </c>
      <c r="D809" s="323">
        <f t="shared" si="113"/>
        <v>10</v>
      </c>
      <c r="E809" s="38"/>
      <c r="F809" s="45">
        <v>7526302</v>
      </c>
      <c r="G809" s="274">
        <f t="shared" si="120"/>
        <v>22872</v>
      </c>
      <c r="H809" s="127">
        <f t="shared" si="117"/>
        <v>58.803867403314918</v>
      </c>
      <c r="I809" s="38"/>
      <c r="J809" s="45">
        <v>4274422</v>
      </c>
      <c r="K809" s="1">
        <f t="shared" si="111"/>
        <v>5035</v>
      </c>
      <c r="L809" s="126">
        <f t="shared" si="121"/>
        <v>37.296296296296298</v>
      </c>
      <c r="M809" s="38"/>
      <c r="N809" s="45">
        <v>760948</v>
      </c>
      <c r="O809" s="8">
        <f t="shared" si="118"/>
        <v>182</v>
      </c>
      <c r="P809" s="9"/>
      <c r="Q809" s="42">
        <v>638754</v>
      </c>
      <c r="R809" s="44">
        <f t="shared" si="114"/>
        <v>99</v>
      </c>
      <c r="S809" s="358"/>
      <c r="T809" s="45">
        <v>16971</v>
      </c>
      <c r="U809" s="9">
        <f t="shared" si="116"/>
        <v>5</v>
      </c>
      <c r="V809" s="38"/>
      <c r="W809" s="45">
        <v>46371</v>
      </c>
      <c r="X809" s="8">
        <f t="shared" si="119"/>
        <v>0</v>
      </c>
      <c r="Y809" s="38"/>
      <c r="Z809" s="243"/>
    </row>
    <row r="810" spans="1:26">
      <c r="A810" s="150">
        <v>45339</v>
      </c>
      <c r="B810" s="154" t="s">
        <v>107</v>
      </c>
      <c r="C810" s="45">
        <v>3209614</v>
      </c>
      <c r="D810" s="323">
        <f t="shared" si="113"/>
        <v>0</v>
      </c>
      <c r="E810" s="38"/>
      <c r="F810" s="45">
        <v>7549174</v>
      </c>
      <c r="G810" s="274">
        <f t="shared" si="120"/>
        <v>0</v>
      </c>
      <c r="H810" s="127">
        <f t="shared" si="117"/>
        <v>-4.4060773480662982</v>
      </c>
      <c r="I810" s="38"/>
      <c r="J810" s="45">
        <v>4279457</v>
      </c>
      <c r="K810" s="1">
        <f t="shared" ref="K810:K873" si="122">IF(J811&gt;0,J811-J810," ")</f>
        <v>0</v>
      </c>
      <c r="L810" s="126">
        <f t="shared" si="121"/>
        <v>0</v>
      </c>
      <c r="M810" s="38"/>
      <c r="N810" s="45">
        <v>761130</v>
      </c>
      <c r="O810" s="8">
        <f t="shared" si="118"/>
        <v>0</v>
      </c>
      <c r="P810" s="9"/>
      <c r="Q810" s="42">
        <v>638941</v>
      </c>
      <c r="R810" s="44">
        <f t="shared" si="114"/>
        <v>187</v>
      </c>
      <c r="S810" s="358"/>
      <c r="T810" s="45">
        <v>16976</v>
      </c>
      <c r="U810" s="9">
        <f t="shared" si="116"/>
        <v>0</v>
      </c>
      <c r="V810" s="38"/>
      <c r="W810" s="45">
        <v>46371</v>
      </c>
      <c r="X810" s="8">
        <f t="shared" si="119"/>
        <v>0</v>
      </c>
      <c r="Y810" s="38"/>
      <c r="Z810" s="243"/>
    </row>
    <row r="811" spans="1:26">
      <c r="A811" s="150">
        <v>45340</v>
      </c>
      <c r="B811" s="154" t="s">
        <v>36</v>
      </c>
      <c r="C811" s="45">
        <v>3209614</v>
      </c>
      <c r="D811" s="323">
        <f t="shared" si="113"/>
        <v>0</v>
      </c>
      <c r="E811" s="38"/>
      <c r="F811" s="45">
        <v>7549174</v>
      </c>
      <c r="G811" s="274">
        <f t="shared" si="120"/>
        <v>1351</v>
      </c>
      <c r="H811" s="127">
        <f t="shared" si="117"/>
        <v>-0.67403314917127077</v>
      </c>
      <c r="I811" s="38"/>
      <c r="J811" s="45">
        <v>4279457</v>
      </c>
      <c r="K811" s="1">
        <f t="shared" si="122"/>
        <v>0</v>
      </c>
      <c r="L811" s="126">
        <f t="shared" si="121"/>
        <v>0</v>
      </c>
      <c r="M811" s="38"/>
      <c r="N811" s="45">
        <v>761130</v>
      </c>
      <c r="O811" s="8">
        <f t="shared" si="118"/>
        <v>1456</v>
      </c>
      <c r="P811" s="9"/>
      <c r="Q811" s="42">
        <v>638941</v>
      </c>
      <c r="R811" s="44">
        <f t="shared" si="114"/>
        <v>0</v>
      </c>
      <c r="S811" s="358"/>
      <c r="T811" s="45">
        <v>16976</v>
      </c>
      <c r="U811" s="9">
        <f t="shared" si="116"/>
        <v>0</v>
      </c>
      <c r="V811" s="38"/>
      <c r="W811" s="45">
        <v>46371</v>
      </c>
      <c r="X811" s="8">
        <f t="shared" si="119"/>
        <v>0</v>
      </c>
      <c r="Y811" s="38"/>
      <c r="Z811" s="243"/>
    </row>
    <row r="812" spans="1:26">
      <c r="A812" s="150">
        <v>45341</v>
      </c>
      <c r="B812" s="154" t="s">
        <v>108</v>
      </c>
      <c r="C812" s="45">
        <v>3209614</v>
      </c>
      <c r="D812" s="323">
        <f t="shared" si="113"/>
        <v>23</v>
      </c>
      <c r="E812" s="38"/>
      <c r="F812" s="45">
        <v>7550525</v>
      </c>
      <c r="G812" s="274">
        <f t="shared" si="120"/>
        <v>8620</v>
      </c>
      <c r="H812" s="127">
        <f t="shared" si="117"/>
        <v>19.46961325966851</v>
      </c>
      <c r="I812" s="38"/>
      <c r="J812" s="45">
        <v>4279457</v>
      </c>
      <c r="K812" s="1">
        <f t="shared" si="122"/>
        <v>5090</v>
      </c>
      <c r="L812" s="126">
        <f t="shared" si="121"/>
        <v>37.703703703703702</v>
      </c>
      <c r="M812" s="38"/>
      <c r="N812" s="45">
        <v>762586</v>
      </c>
      <c r="O812" s="8">
        <f t="shared" si="118"/>
        <v>762</v>
      </c>
      <c r="P812" s="9"/>
      <c r="Q812" s="42">
        <v>638941</v>
      </c>
      <c r="R812" s="44">
        <f t="shared" si="114"/>
        <v>0</v>
      </c>
      <c r="S812" s="358"/>
      <c r="T812" s="45">
        <v>16976</v>
      </c>
      <c r="U812" s="9">
        <f t="shared" si="116"/>
        <v>1</v>
      </c>
      <c r="V812" s="38"/>
      <c r="W812" s="45">
        <v>46371</v>
      </c>
      <c r="X812" s="8">
        <f t="shared" si="119"/>
        <v>0</v>
      </c>
      <c r="Y812" s="38"/>
      <c r="Z812" s="243"/>
    </row>
    <row r="813" spans="1:26">
      <c r="A813" s="150">
        <v>45342</v>
      </c>
      <c r="B813" s="154" t="s">
        <v>109</v>
      </c>
      <c r="C813" s="45">
        <v>3209637</v>
      </c>
      <c r="D813" s="323">
        <f t="shared" si="113"/>
        <v>6</v>
      </c>
      <c r="E813" s="38"/>
      <c r="F813" s="45">
        <v>7559145</v>
      </c>
      <c r="G813" s="274">
        <f t="shared" si="120"/>
        <v>9200</v>
      </c>
      <c r="H813" s="127">
        <f t="shared" si="117"/>
        <v>21.024861878453038</v>
      </c>
      <c r="I813" s="38"/>
      <c r="J813" s="45">
        <v>4284547</v>
      </c>
      <c r="K813" s="1">
        <f t="shared" si="122"/>
        <v>4955</v>
      </c>
      <c r="L813" s="126">
        <f t="shared" si="121"/>
        <v>36.703703703703702</v>
      </c>
      <c r="M813" s="38"/>
      <c r="N813" s="45">
        <v>763348</v>
      </c>
      <c r="O813" s="8">
        <f t="shared" si="118"/>
        <v>837</v>
      </c>
      <c r="P813" s="9"/>
      <c r="Q813" s="42">
        <v>639006</v>
      </c>
      <c r="R813" s="44">
        <f t="shared" si="114"/>
        <v>65</v>
      </c>
      <c r="S813" s="358"/>
      <c r="T813" s="45">
        <v>16977</v>
      </c>
      <c r="U813" s="9">
        <f t="shared" si="116"/>
        <v>1</v>
      </c>
      <c r="V813" s="38"/>
      <c r="W813" s="45">
        <v>46371</v>
      </c>
      <c r="X813" s="8">
        <f t="shared" si="119"/>
        <v>1</v>
      </c>
      <c r="Y813" s="38"/>
      <c r="Z813" s="243"/>
    </row>
    <row r="814" spans="1:26">
      <c r="A814" s="150">
        <v>45343</v>
      </c>
      <c r="B814" s="154" t="s">
        <v>110</v>
      </c>
      <c r="C814" s="45">
        <v>3209643</v>
      </c>
      <c r="D814" s="323">
        <f t="shared" si="113"/>
        <v>9</v>
      </c>
      <c r="E814" s="38"/>
      <c r="F814" s="45">
        <v>7568345</v>
      </c>
      <c r="G814" s="274">
        <f t="shared" si="120"/>
        <v>9073</v>
      </c>
      <c r="H814" s="127">
        <f t="shared" si="117"/>
        <v>20.682320441988949</v>
      </c>
      <c r="I814" s="38"/>
      <c r="J814" s="45">
        <v>4289502</v>
      </c>
      <c r="K814" s="1">
        <f t="shared" si="122"/>
        <v>9256</v>
      </c>
      <c r="L814" s="126">
        <f t="shared" si="121"/>
        <v>68.562962962962956</v>
      </c>
      <c r="M814" s="38"/>
      <c r="N814" s="45">
        <v>764185</v>
      </c>
      <c r="O814" s="8">
        <f t="shared" si="118"/>
        <v>780</v>
      </c>
      <c r="P814" s="9"/>
      <c r="Q814" s="42">
        <v>639069</v>
      </c>
      <c r="R814" s="44">
        <f t="shared" si="114"/>
        <v>63</v>
      </c>
      <c r="S814" s="358"/>
      <c r="T814" s="45">
        <v>16978</v>
      </c>
      <c r="U814" s="9">
        <f t="shared" si="116"/>
        <v>2</v>
      </c>
      <c r="V814" s="38"/>
      <c r="W814" s="45">
        <v>46372</v>
      </c>
      <c r="X814" s="8">
        <f t="shared" si="119"/>
        <v>1</v>
      </c>
      <c r="Y814" s="38"/>
      <c r="Z814" s="243"/>
    </row>
    <row r="815" spans="1:26">
      <c r="A815" s="150">
        <v>45344</v>
      </c>
      <c r="B815" s="154" t="s">
        <v>111</v>
      </c>
      <c r="C815" s="45">
        <v>3209652</v>
      </c>
      <c r="D815" s="323">
        <f t="shared" si="113"/>
        <v>9</v>
      </c>
      <c r="E815" s="38"/>
      <c r="F815" s="45">
        <v>7577418</v>
      </c>
      <c r="G815" s="274">
        <f t="shared" si="120"/>
        <v>8727</v>
      </c>
      <c r="H815" s="127">
        <f t="shared" si="117"/>
        <v>19.726519337016576</v>
      </c>
      <c r="I815" s="38"/>
      <c r="J815" s="45">
        <v>4298758</v>
      </c>
      <c r="K815" s="1">
        <f t="shared" si="122"/>
        <v>4548</v>
      </c>
      <c r="L815" s="126">
        <f t="shared" si="121"/>
        <v>33.68888888888889</v>
      </c>
      <c r="M815" s="38"/>
      <c r="N815" s="45">
        <v>764965</v>
      </c>
      <c r="O815" s="8">
        <f t="shared" si="118"/>
        <v>926</v>
      </c>
      <c r="P815" s="9"/>
      <c r="Q815" s="42">
        <v>639115</v>
      </c>
      <c r="R815" s="44">
        <f t="shared" si="114"/>
        <v>46</v>
      </c>
      <c r="S815" s="358"/>
      <c r="T815" s="45">
        <v>16980</v>
      </c>
      <c r="U815" s="9">
        <f t="shared" si="116"/>
        <v>1</v>
      </c>
      <c r="V815" s="38"/>
      <c r="W815" s="45">
        <v>46373</v>
      </c>
      <c r="X815" s="8">
        <f t="shared" si="119"/>
        <v>0</v>
      </c>
      <c r="Y815" s="38"/>
      <c r="Z815" s="243"/>
    </row>
    <row r="816" spans="1:26">
      <c r="A816" s="150">
        <v>45345</v>
      </c>
      <c r="B816" s="154" t="s">
        <v>106</v>
      </c>
      <c r="C816" s="45">
        <v>3209661</v>
      </c>
      <c r="D816" s="323">
        <f t="shared" si="113"/>
        <v>7</v>
      </c>
      <c r="E816" s="38"/>
      <c r="F816" s="45">
        <v>7586145</v>
      </c>
      <c r="G816" s="274">
        <f t="shared" si="120"/>
        <v>25638</v>
      </c>
      <c r="H816" s="127">
        <f t="shared" si="117"/>
        <v>66.436464088397784</v>
      </c>
      <c r="I816" s="38"/>
      <c r="J816" s="45">
        <v>4303306</v>
      </c>
      <c r="K816" s="1">
        <f t="shared" si="122"/>
        <v>5311</v>
      </c>
      <c r="L816" s="126">
        <f t="shared" si="121"/>
        <v>39.340740740740742</v>
      </c>
      <c r="M816" s="38"/>
      <c r="N816" s="45">
        <v>765891</v>
      </c>
      <c r="O816" s="8">
        <f t="shared" si="118"/>
        <v>1300</v>
      </c>
      <c r="P816" s="9"/>
      <c r="Q816" s="42">
        <v>639151</v>
      </c>
      <c r="R816" s="44">
        <f t="shared" si="114"/>
        <v>36</v>
      </c>
      <c r="S816" s="358"/>
      <c r="T816" s="45">
        <v>16981</v>
      </c>
      <c r="U816" s="9">
        <f t="shared" si="116"/>
        <v>5</v>
      </c>
      <c r="V816" s="38"/>
      <c r="W816" s="45">
        <v>46373</v>
      </c>
      <c r="X816" s="8">
        <f t="shared" si="119"/>
        <v>0</v>
      </c>
      <c r="Y816" s="38"/>
      <c r="Z816" s="243"/>
    </row>
    <row r="817" spans="1:26">
      <c r="A817" s="150">
        <v>45346</v>
      </c>
      <c r="B817" s="154" t="s">
        <v>107</v>
      </c>
      <c r="C817" s="45">
        <v>3209668</v>
      </c>
      <c r="D817" s="323">
        <f t="shared" si="113"/>
        <v>0</v>
      </c>
      <c r="E817" s="38"/>
      <c r="F817" s="45">
        <v>7611783</v>
      </c>
      <c r="G817" s="274">
        <f t="shared" si="120"/>
        <v>0</v>
      </c>
      <c r="H817" s="127">
        <f t="shared" si="117"/>
        <v>-4.4060773480662982</v>
      </c>
      <c r="I817" s="38"/>
      <c r="J817" s="45">
        <v>4308617</v>
      </c>
      <c r="K817" s="1">
        <f t="shared" si="122"/>
        <v>0</v>
      </c>
      <c r="L817" s="126">
        <f t="shared" si="121"/>
        <v>0</v>
      </c>
      <c r="M817" s="38"/>
      <c r="N817" s="45">
        <v>767191</v>
      </c>
      <c r="O817" s="8">
        <f t="shared" si="118"/>
        <v>720</v>
      </c>
      <c r="P817" s="9"/>
      <c r="Q817" s="42">
        <v>639325</v>
      </c>
      <c r="R817" s="44">
        <f t="shared" si="114"/>
        <v>174</v>
      </c>
      <c r="S817" s="358"/>
      <c r="T817" s="45">
        <v>16986</v>
      </c>
      <c r="U817" s="9">
        <f t="shared" si="116"/>
        <v>0</v>
      </c>
      <c r="V817" s="38"/>
      <c r="W817" s="45">
        <v>46373</v>
      </c>
      <c r="X817" s="8">
        <f t="shared" si="119"/>
        <v>0</v>
      </c>
      <c r="Y817" s="38"/>
      <c r="Z817" s="243"/>
    </row>
    <row r="818" spans="1:26">
      <c r="A818" s="150">
        <v>45347</v>
      </c>
      <c r="B818" s="154" t="s">
        <v>36</v>
      </c>
      <c r="C818" s="45">
        <v>3209668</v>
      </c>
      <c r="D818" s="323">
        <f t="shared" si="113"/>
        <v>0</v>
      </c>
      <c r="E818" s="38"/>
      <c r="F818" s="45">
        <v>7611783</v>
      </c>
      <c r="G818" s="274">
        <f t="shared" si="120"/>
        <v>0</v>
      </c>
      <c r="H818" s="127">
        <f t="shared" si="117"/>
        <v>-4.4060773480662982</v>
      </c>
      <c r="I818" s="38"/>
      <c r="J818" s="45">
        <v>4308617</v>
      </c>
      <c r="K818" s="1">
        <f t="shared" si="122"/>
        <v>0</v>
      </c>
      <c r="L818" s="126">
        <f>K818/135</f>
        <v>0</v>
      </c>
      <c r="M818" s="38"/>
      <c r="N818" s="45">
        <v>767911</v>
      </c>
      <c r="O818" s="8">
        <f t="shared" si="118"/>
        <v>0</v>
      </c>
      <c r="P818" s="9"/>
      <c r="Q818" s="42">
        <v>639325</v>
      </c>
      <c r="R818" s="44">
        <f t="shared" si="114"/>
        <v>0</v>
      </c>
      <c r="S818" s="358"/>
      <c r="T818" s="45">
        <v>16986</v>
      </c>
      <c r="U818" s="9">
        <f t="shared" si="116"/>
        <v>0</v>
      </c>
      <c r="V818" s="38"/>
      <c r="W818" s="45">
        <v>46373</v>
      </c>
      <c r="X818" s="8">
        <f t="shared" si="119"/>
        <v>0</v>
      </c>
      <c r="Y818" s="38"/>
      <c r="Z818" s="243"/>
    </row>
    <row r="819" spans="1:26">
      <c r="A819" s="150">
        <v>45348</v>
      </c>
      <c r="B819" s="154" t="s">
        <v>108</v>
      </c>
      <c r="C819" s="45">
        <v>3209668</v>
      </c>
      <c r="D819" s="323">
        <f t="shared" si="113"/>
        <v>13</v>
      </c>
      <c r="E819" s="38"/>
      <c r="F819" s="45">
        <v>7611783</v>
      </c>
      <c r="G819" s="274">
        <f t="shared" si="120"/>
        <v>9579</v>
      </c>
      <c r="H819" s="127">
        <f t="shared" si="117"/>
        <v>22.091160220994475</v>
      </c>
      <c r="I819" s="38"/>
      <c r="J819" s="45">
        <v>4308617</v>
      </c>
      <c r="K819" s="1">
        <f t="shared" si="122"/>
        <v>5308</v>
      </c>
      <c r="L819" s="126">
        <f t="shared" si="121"/>
        <v>39.318518518518516</v>
      </c>
      <c r="M819" s="38"/>
      <c r="N819" s="45">
        <v>767911</v>
      </c>
      <c r="O819" s="8">
        <f t="shared" si="118"/>
        <v>853</v>
      </c>
      <c r="P819" s="9"/>
      <c r="Q819" s="42">
        <v>639325</v>
      </c>
      <c r="R819" s="44">
        <f t="shared" si="114"/>
        <v>0</v>
      </c>
      <c r="S819" s="358"/>
      <c r="T819" s="45">
        <v>16986</v>
      </c>
      <c r="U819" s="9">
        <f t="shared" si="116"/>
        <v>1</v>
      </c>
      <c r="V819" s="38"/>
      <c r="W819" s="45">
        <v>46373</v>
      </c>
      <c r="X819" s="8">
        <f t="shared" si="119"/>
        <v>1</v>
      </c>
      <c r="Y819" s="38"/>
      <c r="Z819" s="243"/>
    </row>
    <row r="820" spans="1:26">
      <c r="A820" s="150">
        <v>45349</v>
      </c>
      <c r="B820" s="154" t="s">
        <v>109</v>
      </c>
      <c r="C820" s="45">
        <v>3209681</v>
      </c>
      <c r="D820" s="323">
        <f t="shared" si="113"/>
        <v>14</v>
      </c>
      <c r="E820" s="38"/>
      <c r="F820" s="45">
        <v>7621362</v>
      </c>
      <c r="G820" s="274">
        <f t="shared" si="120"/>
        <v>9440</v>
      </c>
      <c r="H820" s="127">
        <f t="shared" si="117"/>
        <v>21.709944751381215</v>
      </c>
      <c r="I820" s="38"/>
      <c r="J820" s="45">
        <v>4313925</v>
      </c>
      <c r="K820" s="1">
        <f t="shared" si="122"/>
        <v>9507</v>
      </c>
      <c r="L820" s="126">
        <f t="shared" si="121"/>
        <v>70.422222222222217</v>
      </c>
      <c r="M820" s="38"/>
      <c r="N820" s="45">
        <v>768764</v>
      </c>
      <c r="O820" s="8">
        <f t="shared" si="118"/>
        <v>775</v>
      </c>
      <c r="P820" s="9"/>
      <c r="Q820" s="42">
        <v>639325</v>
      </c>
      <c r="R820" s="44">
        <f t="shared" si="114"/>
        <v>0</v>
      </c>
      <c r="S820" s="358"/>
      <c r="T820" s="45">
        <v>16987</v>
      </c>
      <c r="U820" s="9">
        <f t="shared" si="116"/>
        <v>1</v>
      </c>
      <c r="V820" s="38"/>
      <c r="W820" s="45">
        <v>46374</v>
      </c>
      <c r="X820" s="8">
        <f t="shared" si="119"/>
        <v>0</v>
      </c>
      <c r="Y820" s="38"/>
      <c r="Z820" s="243"/>
    </row>
    <row r="821" spans="1:26">
      <c r="A821" s="150">
        <v>45350</v>
      </c>
      <c r="B821" s="154" t="s">
        <v>110</v>
      </c>
      <c r="C821" s="45">
        <v>3209695</v>
      </c>
      <c r="D821" s="323">
        <f t="shared" si="113"/>
        <v>5067</v>
      </c>
      <c r="E821" s="38"/>
      <c r="F821" s="45">
        <v>7630802</v>
      </c>
      <c r="G821" s="274">
        <f t="shared" si="120"/>
        <v>12944</v>
      </c>
      <c r="H821" s="127">
        <f t="shared" si="117"/>
        <v>45.348066298342545</v>
      </c>
      <c r="I821" s="38"/>
      <c r="J821" s="45">
        <v>4323432</v>
      </c>
      <c r="K821" s="1">
        <f t="shared" si="122"/>
        <v>4612</v>
      </c>
      <c r="L821" s="126">
        <f>K821/135</f>
        <v>34.162962962962965</v>
      </c>
      <c r="M821" s="38"/>
      <c r="N821" s="45">
        <v>769539</v>
      </c>
      <c r="O821" s="8">
        <f t="shared" si="118"/>
        <v>748</v>
      </c>
      <c r="P821" s="9"/>
      <c r="Q821" s="42">
        <v>639699</v>
      </c>
      <c r="R821" s="44">
        <f t="shared" si="114"/>
        <v>374</v>
      </c>
      <c r="S821" s="358"/>
      <c r="T821" s="45">
        <v>16988</v>
      </c>
      <c r="U821" s="9">
        <f t="shared" si="116"/>
        <v>0</v>
      </c>
      <c r="V821" s="38"/>
      <c r="W821" s="45">
        <v>46374</v>
      </c>
      <c r="X821" s="8">
        <f t="shared" si="119"/>
        <v>2</v>
      </c>
      <c r="Y821" s="38"/>
      <c r="Z821" s="243"/>
    </row>
    <row r="822" spans="1:26">
      <c r="A822" s="150">
        <v>45351</v>
      </c>
      <c r="B822" s="154" t="s">
        <v>111</v>
      </c>
      <c r="C822" s="45">
        <v>3214762</v>
      </c>
      <c r="D822" s="323">
        <f t="shared" si="113"/>
        <v>5307</v>
      </c>
      <c r="E822" s="38"/>
      <c r="F822" s="45">
        <v>7643746</v>
      </c>
      <c r="G822" s="274">
        <f t="shared" si="120"/>
        <v>12693</v>
      </c>
      <c r="H822" s="127">
        <f t="shared" si="117"/>
        <v>45.317679558011051</v>
      </c>
      <c r="I822" s="38"/>
      <c r="J822" s="45">
        <v>4328044</v>
      </c>
      <c r="K822" s="1">
        <f t="shared" si="122"/>
        <v>4669</v>
      </c>
      <c r="L822" s="126">
        <f>K822/135</f>
        <v>34.585185185185182</v>
      </c>
      <c r="M822" s="38"/>
      <c r="N822" s="45">
        <v>770287</v>
      </c>
      <c r="O822" s="8">
        <f t="shared" si="118"/>
        <v>842</v>
      </c>
      <c r="P822" s="9"/>
      <c r="Q822" s="42">
        <v>639938</v>
      </c>
      <c r="R822" s="44">
        <f t="shared" si="114"/>
        <v>239</v>
      </c>
      <c r="S822" s="358"/>
      <c r="T822" s="45">
        <v>16988</v>
      </c>
      <c r="U822" s="9">
        <f t="shared" si="116"/>
        <v>1</v>
      </c>
      <c r="V822" s="38"/>
      <c r="W822" s="45">
        <v>46376</v>
      </c>
      <c r="X822" s="8">
        <f t="shared" si="119"/>
        <v>2</v>
      </c>
      <c r="Y822" s="38"/>
      <c r="Z822" s="243"/>
    </row>
    <row r="823" spans="1:26">
      <c r="A823" s="150">
        <v>45352</v>
      </c>
      <c r="B823" s="154" t="s">
        <v>106</v>
      </c>
      <c r="C823" s="45">
        <v>3220069</v>
      </c>
      <c r="D823" s="323">
        <f t="shared" ref="D823:D886" si="123">IF(C824&gt;0,C824-C823," ")</f>
        <v>6019</v>
      </c>
      <c r="E823" s="38"/>
      <c r="F823" s="45">
        <v>7656439</v>
      </c>
      <c r="G823" s="274">
        <f t="shared" si="120"/>
        <v>21829</v>
      </c>
      <c r="H823" s="127">
        <f t="shared" si="117"/>
        <v>72.52209944751381</v>
      </c>
      <c r="I823" s="38"/>
      <c r="J823" s="45">
        <v>4332713</v>
      </c>
      <c r="K823" s="1">
        <f t="shared" si="122"/>
        <v>5023</v>
      </c>
      <c r="L823" s="126">
        <f t="shared" ref="L823:L886" si="124">K823/135</f>
        <v>37.207407407407409</v>
      </c>
      <c r="M823" s="38"/>
      <c r="N823" s="45">
        <v>771129</v>
      </c>
      <c r="O823" s="8">
        <f t="shared" si="118"/>
        <v>787</v>
      </c>
      <c r="P823" s="9"/>
      <c r="Q823" s="42">
        <v>640165</v>
      </c>
      <c r="R823" s="44">
        <f t="shared" si="114"/>
        <v>227</v>
      </c>
      <c r="S823" s="358"/>
      <c r="T823" s="45">
        <v>16989</v>
      </c>
      <c r="U823" s="9">
        <f t="shared" si="116"/>
        <v>3</v>
      </c>
      <c r="V823" s="38"/>
      <c r="W823" s="45">
        <v>46378</v>
      </c>
      <c r="X823" s="8">
        <f t="shared" si="119"/>
        <v>4</v>
      </c>
      <c r="Y823" s="38"/>
      <c r="Z823" s="243"/>
    </row>
    <row r="824" spans="1:26">
      <c r="A824" s="150">
        <v>45353</v>
      </c>
      <c r="B824" s="154" t="s">
        <v>107</v>
      </c>
      <c r="C824" s="45">
        <v>3226088</v>
      </c>
      <c r="D824" s="323">
        <f t="shared" si="123"/>
        <v>0</v>
      </c>
      <c r="E824" s="38"/>
      <c r="F824" s="45">
        <v>7678268</v>
      </c>
      <c r="G824" s="274">
        <f t="shared" si="120"/>
        <v>0</v>
      </c>
      <c r="H824" s="127">
        <f t="shared" si="117"/>
        <v>-4.4060773480662982</v>
      </c>
      <c r="I824" s="38"/>
      <c r="J824" s="45">
        <v>4337736</v>
      </c>
      <c r="K824" s="1">
        <f t="shared" si="122"/>
        <v>0</v>
      </c>
      <c r="L824" s="126">
        <f t="shared" si="124"/>
        <v>0</v>
      </c>
      <c r="M824" s="38"/>
      <c r="N824" s="45">
        <v>771916</v>
      </c>
      <c r="O824" s="8">
        <f t="shared" si="118"/>
        <v>831</v>
      </c>
      <c r="P824" s="9"/>
      <c r="Q824" s="42">
        <v>640570</v>
      </c>
      <c r="R824" s="44">
        <f t="shared" si="114"/>
        <v>405</v>
      </c>
      <c r="S824" s="358"/>
      <c r="T824" s="45">
        <v>16992</v>
      </c>
      <c r="U824" s="9">
        <f t="shared" si="116"/>
        <v>0</v>
      </c>
      <c r="V824" s="38"/>
      <c r="W824" s="45">
        <v>46382</v>
      </c>
      <c r="X824" s="8">
        <f t="shared" si="119"/>
        <v>0</v>
      </c>
      <c r="Y824" s="38"/>
      <c r="Z824" s="243"/>
    </row>
    <row r="825" spans="1:26">
      <c r="A825" s="150">
        <v>45354</v>
      </c>
      <c r="B825" s="154" t="s">
        <v>36</v>
      </c>
      <c r="C825" s="45">
        <v>3226088</v>
      </c>
      <c r="D825" s="323">
        <f t="shared" si="123"/>
        <v>0</v>
      </c>
      <c r="E825" s="38"/>
      <c r="F825" s="45">
        <v>7678268</v>
      </c>
      <c r="G825" s="274">
        <f t="shared" si="120"/>
        <v>1331</v>
      </c>
      <c r="H825" s="127">
        <f t="shared" si="117"/>
        <v>-0.72928176795580113</v>
      </c>
      <c r="I825" s="38"/>
      <c r="J825" s="45">
        <v>4337736</v>
      </c>
      <c r="K825" s="1">
        <f t="shared" si="122"/>
        <v>0</v>
      </c>
      <c r="L825" s="126">
        <f t="shared" si="124"/>
        <v>0</v>
      </c>
      <c r="M825" s="38"/>
      <c r="N825" s="45">
        <v>772747</v>
      </c>
      <c r="O825" s="8">
        <f t="shared" si="118"/>
        <v>0</v>
      </c>
      <c r="P825" s="9"/>
      <c r="Q825" s="42">
        <v>640570</v>
      </c>
      <c r="R825" s="44">
        <f t="shared" si="114"/>
        <v>0</v>
      </c>
      <c r="S825" s="358"/>
      <c r="T825" s="45">
        <v>16992</v>
      </c>
      <c r="U825" s="9">
        <f t="shared" si="116"/>
        <v>0</v>
      </c>
      <c r="V825" s="38"/>
      <c r="W825" s="45">
        <v>46382</v>
      </c>
      <c r="X825" s="8">
        <f t="shared" si="119"/>
        <v>0</v>
      </c>
      <c r="Y825" s="38"/>
      <c r="Z825" s="243"/>
    </row>
    <row r="826" spans="1:26">
      <c r="A826" s="150">
        <v>45355</v>
      </c>
      <c r="B826" s="154" t="s">
        <v>108</v>
      </c>
      <c r="C826" s="45">
        <v>3226088</v>
      </c>
      <c r="D826" s="323">
        <f t="shared" si="123"/>
        <v>4824</v>
      </c>
      <c r="E826" s="38"/>
      <c r="F826" s="45">
        <v>7679599</v>
      </c>
      <c r="G826" s="274">
        <f t="shared" si="120"/>
        <v>11591</v>
      </c>
      <c r="H826" s="127">
        <f t="shared" si="117"/>
        <v>40.939226519337019</v>
      </c>
      <c r="I826" s="38"/>
      <c r="J826" s="45">
        <v>4337736</v>
      </c>
      <c r="K826" s="1">
        <f t="shared" si="122"/>
        <v>8790</v>
      </c>
      <c r="L826" s="126">
        <f t="shared" si="124"/>
        <v>65.111111111111114</v>
      </c>
      <c r="M826" s="38"/>
      <c r="N826" s="45">
        <v>772747</v>
      </c>
      <c r="O826" s="8">
        <f t="shared" si="118"/>
        <v>735</v>
      </c>
      <c r="P826" s="9"/>
      <c r="Q826" s="42">
        <v>640570</v>
      </c>
      <c r="R826" s="44">
        <f t="shared" si="114"/>
        <v>0</v>
      </c>
      <c r="S826" s="358"/>
      <c r="T826" s="45">
        <v>16992</v>
      </c>
      <c r="U826" s="9">
        <f t="shared" si="116"/>
        <v>0</v>
      </c>
      <c r="V826" s="38"/>
      <c r="W826" s="45">
        <v>46382</v>
      </c>
      <c r="X826" s="8">
        <f t="shared" si="119"/>
        <v>0</v>
      </c>
      <c r="Y826" s="38"/>
      <c r="Z826" s="243"/>
    </row>
    <row r="827" spans="1:26">
      <c r="A827" s="150">
        <v>45356</v>
      </c>
      <c r="B827" s="154" t="s">
        <v>109</v>
      </c>
      <c r="C827" s="45">
        <v>3230912</v>
      </c>
      <c r="D827" s="323">
        <f t="shared" si="123"/>
        <v>4863</v>
      </c>
      <c r="E827" s="38"/>
      <c r="F827" s="45">
        <v>7691190</v>
      </c>
      <c r="G827" s="274">
        <f t="shared" si="120"/>
        <v>10858</v>
      </c>
      <c r="H827" s="127">
        <f t="shared" si="117"/>
        <v>39.02209944751381</v>
      </c>
      <c r="I827" s="38"/>
      <c r="J827" s="45">
        <v>4346526</v>
      </c>
      <c r="K827" s="1">
        <f t="shared" si="122"/>
        <v>4888</v>
      </c>
      <c r="L827" s="126">
        <f t="shared" si="124"/>
        <v>36.207407407407409</v>
      </c>
      <c r="M827" s="38"/>
      <c r="N827" s="45">
        <v>773482</v>
      </c>
      <c r="O827" s="8">
        <f t="shared" si="118"/>
        <v>806</v>
      </c>
      <c r="P827" s="9"/>
      <c r="Q827" s="42">
        <v>640726</v>
      </c>
      <c r="R827" s="44">
        <f t="shared" si="114"/>
        <v>156</v>
      </c>
      <c r="S827" s="358"/>
      <c r="T827" s="45">
        <v>16992</v>
      </c>
      <c r="U827" s="9">
        <f t="shared" si="116"/>
        <v>30</v>
      </c>
      <c r="V827" s="38"/>
      <c r="W827" s="45">
        <v>46382</v>
      </c>
      <c r="X827" s="8">
        <f t="shared" si="119"/>
        <v>0</v>
      </c>
      <c r="Y827" s="38"/>
      <c r="Z827" s="243"/>
    </row>
    <row r="828" spans="1:26">
      <c r="A828" s="150">
        <v>45357</v>
      </c>
      <c r="B828" s="154" t="s">
        <v>110</v>
      </c>
      <c r="C828" s="45">
        <v>3235775</v>
      </c>
      <c r="D828" s="323">
        <f t="shared" si="123"/>
        <v>4673</v>
      </c>
      <c r="E828" s="38"/>
      <c r="F828" s="45">
        <v>7702048</v>
      </c>
      <c r="G828" s="274">
        <f t="shared" si="120"/>
        <v>10451</v>
      </c>
      <c r="H828" s="127">
        <f t="shared" si="117"/>
        <v>37.372928176795583</v>
      </c>
      <c r="I828" s="38"/>
      <c r="J828" s="45">
        <v>4351414</v>
      </c>
      <c r="K828" s="1">
        <f t="shared" si="122"/>
        <v>5075</v>
      </c>
      <c r="L828" s="126">
        <f t="shared" si="124"/>
        <v>37.592592592592595</v>
      </c>
      <c r="M828" s="38"/>
      <c r="N828" s="45">
        <v>774288</v>
      </c>
      <c r="O828" s="8">
        <f t="shared" si="118"/>
        <v>699</v>
      </c>
      <c r="P828" s="9"/>
      <c r="Q828" s="42">
        <v>640865</v>
      </c>
      <c r="R828" s="44">
        <f t="shared" si="114"/>
        <v>139</v>
      </c>
      <c r="S828" s="358"/>
      <c r="T828" s="45">
        <v>17022</v>
      </c>
      <c r="U828" s="9">
        <f t="shared" si="116"/>
        <v>446</v>
      </c>
      <c r="V828" s="38"/>
      <c r="W828" s="45">
        <v>46382</v>
      </c>
      <c r="X828" s="8">
        <f t="shared" si="119"/>
        <v>0</v>
      </c>
      <c r="Y828" s="38"/>
      <c r="Z828" s="243"/>
    </row>
    <row r="829" spans="1:26">
      <c r="A829" s="150">
        <v>45358</v>
      </c>
      <c r="B829" s="154" t="s">
        <v>111</v>
      </c>
      <c r="C829" s="45">
        <v>3240448</v>
      </c>
      <c r="D829" s="323">
        <f t="shared" si="123"/>
        <v>4596</v>
      </c>
      <c r="E829" s="38"/>
      <c r="F829" s="45">
        <v>7712499</v>
      </c>
      <c r="G829" s="274">
        <f t="shared" si="120"/>
        <v>10499</v>
      </c>
      <c r="H829" s="127">
        <f t="shared" si="117"/>
        <v>37.292817679558013</v>
      </c>
      <c r="I829" s="38"/>
      <c r="J829" s="45">
        <v>4356489</v>
      </c>
      <c r="K829" s="1">
        <f t="shared" si="122"/>
        <v>5035</v>
      </c>
      <c r="L829" s="126">
        <f t="shared" si="124"/>
        <v>37.296296296296298</v>
      </c>
      <c r="M829" s="38"/>
      <c r="N829" s="46">
        <v>774987</v>
      </c>
      <c r="O829" s="12">
        <f t="shared" si="118"/>
        <v>796</v>
      </c>
      <c r="P829" s="166"/>
      <c r="Q829" s="42">
        <v>640987</v>
      </c>
      <c r="R829" s="44">
        <f t="shared" si="114"/>
        <v>122</v>
      </c>
      <c r="S829" s="358"/>
      <c r="T829" s="45">
        <v>17468</v>
      </c>
      <c r="U829" s="9">
        <f t="shared" si="116"/>
        <v>722</v>
      </c>
      <c r="V829" s="38"/>
      <c r="W829" s="45">
        <v>46382</v>
      </c>
      <c r="X829" s="8">
        <f t="shared" si="119"/>
        <v>3</v>
      </c>
      <c r="Y829" s="38"/>
      <c r="Z829" s="243"/>
    </row>
    <row r="830" spans="1:26">
      <c r="A830" s="150">
        <v>45359</v>
      </c>
      <c r="B830" s="154" t="s">
        <v>106</v>
      </c>
      <c r="C830" s="45">
        <v>3245044</v>
      </c>
      <c r="D830" s="323">
        <f t="shared" si="123"/>
        <v>5074</v>
      </c>
      <c r="E830" s="38"/>
      <c r="F830" s="45">
        <v>7722998</v>
      </c>
      <c r="G830" s="274">
        <f t="shared" si="120"/>
        <v>15619</v>
      </c>
      <c r="H830" s="127">
        <f t="shared" si="117"/>
        <v>52.756906077348063</v>
      </c>
      <c r="I830" s="38"/>
      <c r="J830" s="45">
        <v>4361524</v>
      </c>
      <c r="K830" s="1">
        <f t="shared" si="122"/>
        <v>5140</v>
      </c>
      <c r="L830" s="126">
        <f t="shared" si="124"/>
        <v>38.074074074074076</v>
      </c>
      <c r="M830" s="38"/>
      <c r="N830" s="46">
        <v>775783</v>
      </c>
      <c r="O830" s="12">
        <f t="shared" si="118"/>
        <v>838</v>
      </c>
      <c r="P830" s="166"/>
      <c r="Q830" s="42">
        <v>641170</v>
      </c>
      <c r="R830" s="44">
        <f t="shared" si="114"/>
        <v>183</v>
      </c>
      <c r="S830" s="358"/>
      <c r="T830" s="45">
        <v>18190</v>
      </c>
      <c r="U830" s="9">
        <f t="shared" si="116"/>
        <v>19</v>
      </c>
      <c r="V830" s="38"/>
      <c r="W830" s="45">
        <v>46385</v>
      </c>
      <c r="X830" s="8">
        <f t="shared" si="119"/>
        <v>0</v>
      </c>
      <c r="Y830" s="38"/>
      <c r="Z830" s="243"/>
    </row>
    <row r="831" spans="1:26">
      <c r="A831" s="150">
        <v>45360</v>
      </c>
      <c r="B831" s="154" t="s">
        <v>107</v>
      </c>
      <c r="C831" s="45">
        <v>3250118</v>
      </c>
      <c r="D831" s="323">
        <f t="shared" si="123"/>
        <v>0</v>
      </c>
      <c r="E831" s="38"/>
      <c r="F831" s="45">
        <v>7738617</v>
      </c>
      <c r="G831" s="274">
        <f t="shared" si="120"/>
        <v>0</v>
      </c>
      <c r="H831" s="127">
        <f t="shared" si="117"/>
        <v>-4.4060773480662982</v>
      </c>
      <c r="I831" s="38"/>
      <c r="J831" s="45">
        <v>4366664</v>
      </c>
      <c r="K831" s="1">
        <f t="shared" si="122"/>
        <v>0</v>
      </c>
      <c r="L831" s="126">
        <f t="shared" si="124"/>
        <v>0</v>
      </c>
      <c r="M831" s="38"/>
      <c r="N831" s="46">
        <v>776621</v>
      </c>
      <c r="O831" s="12">
        <f t="shared" si="118"/>
        <v>1200</v>
      </c>
      <c r="P831" s="166"/>
      <c r="Q831" s="42">
        <v>641404</v>
      </c>
      <c r="R831" s="44">
        <f t="shared" ref="R831:R848" si="125">Q831-Q830</f>
        <v>234</v>
      </c>
      <c r="S831" s="358"/>
      <c r="T831" s="45">
        <v>18209</v>
      </c>
      <c r="U831" s="9">
        <f t="shared" si="116"/>
        <v>0</v>
      </c>
      <c r="V831" s="38"/>
      <c r="W831" s="45">
        <v>46385</v>
      </c>
      <c r="X831" s="8">
        <f t="shared" si="119"/>
        <v>0</v>
      </c>
      <c r="Y831" s="38"/>
      <c r="Z831" s="243"/>
    </row>
    <row r="832" spans="1:26">
      <c r="A832" s="150">
        <v>45361</v>
      </c>
      <c r="B832" s="154" t="s">
        <v>36</v>
      </c>
      <c r="C832" s="45">
        <v>3250118</v>
      </c>
      <c r="D832" s="323">
        <f t="shared" si="123"/>
        <v>0</v>
      </c>
      <c r="E832" s="38"/>
      <c r="F832" s="45">
        <v>7738617</v>
      </c>
      <c r="G832" s="274">
        <f t="shared" si="120"/>
        <v>0</v>
      </c>
      <c r="H832" s="127">
        <f t="shared" si="117"/>
        <v>-4.4060773480662982</v>
      </c>
      <c r="I832" s="38"/>
      <c r="J832" s="45">
        <v>4366664</v>
      </c>
      <c r="K832" s="1">
        <f t="shared" si="122"/>
        <v>0</v>
      </c>
      <c r="L832" s="126">
        <f t="shared" si="124"/>
        <v>0</v>
      </c>
      <c r="M832" s="38"/>
      <c r="N832" s="46">
        <v>777821</v>
      </c>
      <c r="O832" s="12">
        <f t="shared" si="118"/>
        <v>0</v>
      </c>
      <c r="P832" s="166"/>
      <c r="Q832" s="42">
        <v>641404</v>
      </c>
      <c r="R832" s="44">
        <f t="shared" si="125"/>
        <v>0</v>
      </c>
      <c r="S832" s="358"/>
      <c r="T832" s="45">
        <v>18209</v>
      </c>
      <c r="U832" s="9">
        <f t="shared" si="116"/>
        <v>0</v>
      </c>
      <c r="V832" s="38"/>
      <c r="W832" s="45">
        <v>46385</v>
      </c>
      <c r="X832" s="8">
        <f t="shared" si="119"/>
        <v>0</v>
      </c>
      <c r="Y832" s="38"/>
      <c r="Z832" s="243"/>
    </row>
    <row r="833" spans="1:26" ht="15" customHeight="1">
      <c r="A833" s="150">
        <v>45362</v>
      </c>
      <c r="B833" s="154" t="s">
        <v>108</v>
      </c>
      <c r="C833" s="45">
        <v>3250118</v>
      </c>
      <c r="D833" s="323">
        <f t="shared" si="123"/>
        <v>9605</v>
      </c>
      <c r="E833" s="38">
        <v>54</v>
      </c>
      <c r="F833" s="45">
        <v>7738617</v>
      </c>
      <c r="G833" s="274">
        <f t="shared" si="120"/>
        <v>22747</v>
      </c>
      <c r="H833" s="127">
        <f t="shared" si="117"/>
        <v>84.96408839779005</v>
      </c>
      <c r="I833" s="38">
        <v>269</v>
      </c>
      <c r="J833" s="45">
        <v>4366664</v>
      </c>
      <c r="K833" s="1">
        <f t="shared" si="122"/>
        <v>9832</v>
      </c>
      <c r="L833" s="126">
        <f t="shared" si="124"/>
        <v>72.829629629629636</v>
      </c>
      <c r="M833" s="38">
        <v>101</v>
      </c>
      <c r="N833" s="46">
        <v>777821</v>
      </c>
      <c r="O833" s="12">
        <f t="shared" si="118"/>
        <v>937</v>
      </c>
      <c r="P833" s="166"/>
      <c r="Q833" s="42">
        <v>641404</v>
      </c>
      <c r="R833" s="44">
        <f t="shared" si="125"/>
        <v>0</v>
      </c>
      <c r="S833" s="358"/>
      <c r="T833" s="45">
        <v>18209</v>
      </c>
      <c r="U833" s="9">
        <f t="shared" si="116"/>
        <v>13</v>
      </c>
      <c r="V833" s="38">
        <v>2</v>
      </c>
      <c r="W833" s="45">
        <v>46385</v>
      </c>
      <c r="X833" s="8">
        <f t="shared" si="119"/>
        <v>3</v>
      </c>
      <c r="Y833" s="38">
        <v>0</v>
      </c>
      <c r="Z833" s="243"/>
    </row>
    <row r="834" spans="1:26">
      <c r="A834" s="150">
        <v>45363</v>
      </c>
      <c r="B834" s="154" t="s">
        <v>109</v>
      </c>
      <c r="C834" s="46">
        <v>3259723</v>
      </c>
      <c r="D834" s="322">
        <f t="shared" si="123"/>
        <v>0</v>
      </c>
      <c r="E834" s="39"/>
      <c r="F834" s="46">
        <v>7761364</v>
      </c>
      <c r="G834" s="273">
        <f t="shared" si="120"/>
        <v>0</v>
      </c>
      <c r="H834" s="156">
        <f t="shared" si="117"/>
        <v>-4.4060773480662982</v>
      </c>
      <c r="I834" s="39"/>
      <c r="J834" s="46">
        <v>4376496</v>
      </c>
      <c r="K834" s="2">
        <f t="shared" si="122"/>
        <v>0</v>
      </c>
      <c r="L834" s="160">
        <f t="shared" si="124"/>
        <v>0</v>
      </c>
      <c r="M834" s="39"/>
      <c r="N834" s="46">
        <v>778758</v>
      </c>
      <c r="O834" s="12">
        <f t="shared" si="118"/>
        <v>737</v>
      </c>
      <c r="P834" s="166"/>
      <c r="Q834" s="42">
        <v>641537</v>
      </c>
      <c r="R834" s="44">
        <f t="shared" si="125"/>
        <v>133</v>
      </c>
      <c r="S834" s="358"/>
      <c r="T834" s="46">
        <v>18222</v>
      </c>
      <c r="U834" s="166">
        <f t="shared" si="116"/>
        <v>0</v>
      </c>
      <c r="V834" s="39"/>
      <c r="W834" s="46">
        <v>46388</v>
      </c>
      <c r="X834" s="12">
        <f t="shared" si="119"/>
        <v>0</v>
      </c>
      <c r="Y834" s="39"/>
      <c r="Z834" s="243"/>
    </row>
    <row r="835" spans="1:26">
      <c r="A835" s="150">
        <v>45364</v>
      </c>
      <c r="B835" s="154" t="s">
        <v>110</v>
      </c>
      <c r="C835" s="46">
        <v>3259723</v>
      </c>
      <c r="D835" s="322">
        <f t="shared" si="123"/>
        <v>4838</v>
      </c>
      <c r="E835" s="39"/>
      <c r="F835" s="46">
        <v>7761364</v>
      </c>
      <c r="G835" s="273">
        <f t="shared" si="120"/>
        <v>11665</v>
      </c>
      <c r="H835" s="156">
        <f t="shared" si="117"/>
        <v>41.182320441988949</v>
      </c>
      <c r="I835" s="39"/>
      <c r="J835" s="46">
        <v>4376496</v>
      </c>
      <c r="K835" s="2">
        <f t="shared" si="122"/>
        <v>5013</v>
      </c>
      <c r="L835" s="160">
        <f t="shared" si="124"/>
        <v>37.133333333333333</v>
      </c>
      <c r="M835" s="39"/>
      <c r="N835" s="46">
        <v>779495</v>
      </c>
      <c r="O835" s="12">
        <f t="shared" si="118"/>
        <v>814</v>
      </c>
      <c r="P835" s="166"/>
      <c r="Q835" s="42">
        <v>641758</v>
      </c>
      <c r="R835" s="44">
        <f t="shared" si="125"/>
        <v>221</v>
      </c>
      <c r="S835" s="358"/>
      <c r="T835" s="46">
        <v>18222</v>
      </c>
      <c r="U835" s="166">
        <f t="shared" si="116"/>
        <v>120</v>
      </c>
      <c r="V835" s="39"/>
      <c r="W835" s="46">
        <v>46388</v>
      </c>
      <c r="X835" s="12">
        <f t="shared" si="119"/>
        <v>11</v>
      </c>
      <c r="Y835" s="39"/>
      <c r="Z835" s="243"/>
    </row>
    <row r="836" spans="1:26">
      <c r="A836" s="150">
        <v>45365</v>
      </c>
      <c r="B836" s="154" t="s">
        <v>111</v>
      </c>
      <c r="C836" s="46">
        <v>3264561</v>
      </c>
      <c r="D836" s="322">
        <f t="shared" si="123"/>
        <v>5396</v>
      </c>
      <c r="E836" s="39"/>
      <c r="F836" s="46">
        <v>7773029</v>
      </c>
      <c r="G836" s="273">
        <f t="shared" si="120"/>
        <v>12349</v>
      </c>
      <c r="H836" s="156">
        <f t="shared" si="117"/>
        <v>44.613259668508285</v>
      </c>
      <c r="I836" s="39"/>
      <c r="J836" s="46">
        <v>4381509</v>
      </c>
      <c r="K836" s="2">
        <f t="shared" si="122"/>
        <v>8530</v>
      </c>
      <c r="L836" s="160">
        <f t="shared" si="124"/>
        <v>63.185185185185183</v>
      </c>
      <c r="M836" s="39"/>
      <c r="N836" s="46">
        <v>780309</v>
      </c>
      <c r="O836" s="12">
        <f>N837-N836</f>
        <v>742</v>
      </c>
      <c r="P836" s="166"/>
      <c r="Q836" s="42">
        <v>641989</v>
      </c>
      <c r="R836" s="44">
        <f t="shared" si="125"/>
        <v>231</v>
      </c>
      <c r="S836" s="358"/>
      <c r="T836" s="46">
        <v>18342</v>
      </c>
      <c r="U836" s="166">
        <f t="shared" si="116"/>
        <v>0</v>
      </c>
      <c r="V836" s="39"/>
      <c r="W836" s="46">
        <v>46399</v>
      </c>
      <c r="X836" s="12">
        <f t="shared" si="119"/>
        <v>0</v>
      </c>
      <c r="Y836" s="39"/>
      <c r="Z836" s="243"/>
    </row>
    <row r="837" spans="1:26">
      <c r="A837" s="150">
        <v>45366</v>
      </c>
      <c r="B837" s="154" t="s">
        <v>106</v>
      </c>
      <c r="C837" s="46">
        <v>3269957</v>
      </c>
      <c r="D837" s="322">
        <f t="shared" si="123"/>
        <v>3388</v>
      </c>
      <c r="E837" s="39"/>
      <c r="F837" s="46">
        <v>7785378</v>
      </c>
      <c r="G837" s="273">
        <f t="shared" si="120"/>
        <v>13578</v>
      </c>
      <c r="H837" s="156">
        <f t="shared" si="117"/>
        <v>42.461325966850829</v>
      </c>
      <c r="I837" s="39"/>
      <c r="J837" s="46">
        <v>4390039</v>
      </c>
      <c r="K837" s="2">
        <f t="shared" si="122"/>
        <v>5880</v>
      </c>
      <c r="L837" s="160">
        <f t="shared" si="124"/>
        <v>43.555555555555557</v>
      </c>
      <c r="M837" s="39"/>
      <c r="N837" s="46">
        <v>781051</v>
      </c>
      <c r="O837" s="12">
        <f t="shared" ref="O837:O888" si="126">N838-N837</f>
        <v>1448</v>
      </c>
      <c r="P837" s="166"/>
      <c r="Q837" s="42">
        <v>642162</v>
      </c>
      <c r="R837" s="44">
        <f t="shared" si="125"/>
        <v>173</v>
      </c>
      <c r="S837" s="358"/>
      <c r="T837" s="46">
        <v>18342</v>
      </c>
      <c r="U837" s="166">
        <f t="shared" si="116"/>
        <v>13</v>
      </c>
      <c r="V837" s="39"/>
      <c r="W837" s="46">
        <v>46399</v>
      </c>
      <c r="X837" s="12">
        <f t="shared" si="119"/>
        <v>0</v>
      </c>
      <c r="Y837" s="39"/>
      <c r="Z837" s="243"/>
    </row>
    <row r="838" spans="1:26">
      <c r="A838" s="150">
        <v>45367</v>
      </c>
      <c r="B838" s="154" t="s">
        <v>107</v>
      </c>
      <c r="C838" s="46">
        <v>3273345</v>
      </c>
      <c r="D838" s="322">
        <f t="shared" si="123"/>
        <v>0</v>
      </c>
      <c r="E838" s="39"/>
      <c r="F838" s="46">
        <v>7798956</v>
      </c>
      <c r="G838" s="273">
        <f t="shared" si="120"/>
        <v>0</v>
      </c>
      <c r="H838" s="156">
        <f t="shared" si="117"/>
        <v>-4.4060773480662982</v>
      </c>
      <c r="I838" s="39"/>
      <c r="J838" s="46">
        <v>4395919</v>
      </c>
      <c r="K838" s="2">
        <f t="shared" si="122"/>
        <v>0</v>
      </c>
      <c r="L838" s="160">
        <f t="shared" si="124"/>
        <v>0</v>
      </c>
      <c r="M838" s="39"/>
      <c r="N838" s="46">
        <v>782499</v>
      </c>
      <c r="O838" s="12">
        <f t="shared" si="126"/>
        <v>0</v>
      </c>
      <c r="P838" s="166"/>
      <c r="Q838" s="42">
        <v>642631</v>
      </c>
      <c r="R838" s="44">
        <f t="shared" si="125"/>
        <v>469</v>
      </c>
      <c r="S838" s="358"/>
      <c r="T838" s="277">
        <v>18355</v>
      </c>
      <c r="U838" s="166">
        <f t="shared" si="116"/>
        <v>0</v>
      </c>
      <c r="V838" s="39"/>
      <c r="W838" s="46">
        <v>46399</v>
      </c>
      <c r="X838" s="12">
        <f t="shared" si="119"/>
        <v>0</v>
      </c>
      <c r="Y838" s="39"/>
      <c r="Z838" s="243"/>
    </row>
    <row r="839" spans="1:26">
      <c r="A839" s="150">
        <v>45368</v>
      </c>
      <c r="B839" s="154" t="s">
        <v>36</v>
      </c>
      <c r="C839" s="46">
        <v>3273345</v>
      </c>
      <c r="D839" s="322">
        <f t="shared" si="123"/>
        <v>0</v>
      </c>
      <c r="E839" s="39"/>
      <c r="F839" s="46">
        <v>7798956</v>
      </c>
      <c r="G839" s="273">
        <f t="shared" si="120"/>
        <v>0</v>
      </c>
      <c r="H839" s="156">
        <f t="shared" si="117"/>
        <v>-4.4060773480662982</v>
      </c>
      <c r="I839" s="39"/>
      <c r="J839" s="46">
        <v>4395919</v>
      </c>
      <c r="K839" s="2">
        <f t="shared" si="122"/>
        <v>0</v>
      </c>
      <c r="L839" s="160">
        <f t="shared" si="124"/>
        <v>0</v>
      </c>
      <c r="M839" s="39"/>
      <c r="N839" s="46">
        <v>782499</v>
      </c>
      <c r="O839" s="12">
        <f t="shared" si="126"/>
        <v>0</v>
      </c>
      <c r="P839" s="166"/>
      <c r="Q839" s="42">
        <v>642631</v>
      </c>
      <c r="R839" s="44">
        <f t="shared" si="125"/>
        <v>0</v>
      </c>
      <c r="S839" s="358"/>
      <c r="T839" s="277">
        <v>18355</v>
      </c>
      <c r="U839" s="166">
        <f t="shared" ref="U839:U904" si="127">T840-T839</f>
        <v>0</v>
      </c>
      <c r="V839" s="39"/>
      <c r="W839" s="46">
        <v>46399</v>
      </c>
      <c r="X839" s="12">
        <f t="shared" si="119"/>
        <v>0</v>
      </c>
      <c r="Y839" s="39"/>
      <c r="Z839" s="243"/>
    </row>
    <row r="840" spans="1:26">
      <c r="A840" s="150">
        <v>45369</v>
      </c>
      <c r="B840" s="154" t="s">
        <v>108</v>
      </c>
      <c r="C840" s="46">
        <v>3273345</v>
      </c>
      <c r="D840" s="322">
        <f t="shared" si="123"/>
        <v>5536</v>
      </c>
      <c r="E840" s="39"/>
      <c r="F840" s="46">
        <v>7798956</v>
      </c>
      <c r="G840" s="273">
        <f t="shared" si="120"/>
        <v>13507</v>
      </c>
      <c r="H840" s="156">
        <f t="shared" si="117"/>
        <v>48.19889502762431</v>
      </c>
      <c r="I840" s="39"/>
      <c r="J840" s="46">
        <v>4395919</v>
      </c>
      <c r="K840" s="2">
        <f t="shared" si="122"/>
        <v>4979</v>
      </c>
      <c r="L840" s="160">
        <f t="shared" si="124"/>
        <v>36.88148148148148</v>
      </c>
      <c r="M840" s="39"/>
      <c r="N840" s="46">
        <v>782499</v>
      </c>
      <c r="O840" s="12">
        <f t="shared" si="126"/>
        <v>862</v>
      </c>
      <c r="P840" s="166"/>
      <c r="Q840" s="42">
        <v>642631</v>
      </c>
      <c r="R840" s="44">
        <f t="shared" si="125"/>
        <v>0</v>
      </c>
      <c r="S840" s="358"/>
      <c r="T840" s="277">
        <v>18355</v>
      </c>
      <c r="U840" s="166">
        <f t="shared" si="127"/>
        <v>4</v>
      </c>
      <c r="V840" s="39"/>
      <c r="W840" s="46">
        <v>46399</v>
      </c>
      <c r="X840" s="12">
        <f t="shared" si="119"/>
        <v>0</v>
      </c>
      <c r="Y840" s="39"/>
      <c r="Z840" s="243"/>
    </row>
    <row r="841" spans="1:26">
      <c r="A841" s="150">
        <v>45370</v>
      </c>
      <c r="B841" s="154" t="s">
        <v>109</v>
      </c>
      <c r="C841" s="46">
        <v>3278881</v>
      </c>
      <c r="D841" s="322">
        <f t="shared" si="123"/>
        <v>3616</v>
      </c>
      <c r="E841" s="39"/>
      <c r="F841" s="46">
        <v>7812463</v>
      </c>
      <c r="G841" s="273">
        <f>IF(F842&gt;0,F842-F841," ")</f>
        <v>9420</v>
      </c>
      <c r="H841" s="156">
        <f t="shared" si="117"/>
        <v>31.604972375690608</v>
      </c>
      <c r="I841" s="39"/>
      <c r="J841" s="46">
        <v>4400898</v>
      </c>
      <c r="K841" s="2">
        <f t="shared" si="122"/>
        <v>4937</v>
      </c>
      <c r="L841" s="160">
        <f t="shared" si="124"/>
        <v>36.57037037037037</v>
      </c>
      <c r="M841" s="39"/>
      <c r="N841" s="46">
        <v>783361</v>
      </c>
      <c r="O841" s="12">
        <f t="shared" si="126"/>
        <v>851</v>
      </c>
      <c r="P841" s="166"/>
      <c r="Q841" s="42">
        <v>642819</v>
      </c>
      <c r="R841" s="44">
        <f t="shared" si="125"/>
        <v>188</v>
      </c>
      <c r="S841" s="358"/>
      <c r="T841" s="46">
        <v>18359</v>
      </c>
      <c r="U841" s="166">
        <f t="shared" si="127"/>
        <v>3</v>
      </c>
      <c r="V841" s="39"/>
      <c r="W841" s="46">
        <v>46399</v>
      </c>
      <c r="X841" s="12">
        <f t="shared" si="119"/>
        <v>29</v>
      </c>
      <c r="Y841" s="39"/>
      <c r="Z841" s="243"/>
    </row>
    <row r="842" spans="1:26">
      <c r="A842" s="150">
        <v>45371</v>
      </c>
      <c r="B842" s="154" t="s">
        <v>110</v>
      </c>
      <c r="C842" s="46">
        <v>3282497</v>
      </c>
      <c r="D842" s="322">
        <f t="shared" si="123"/>
        <v>6093</v>
      </c>
      <c r="E842" s="39"/>
      <c r="F842" s="46">
        <v>7821883</v>
      </c>
      <c r="G842" s="273">
        <f t="shared" si="120"/>
        <v>12497</v>
      </c>
      <c r="H842" s="156">
        <f t="shared" si="117"/>
        <v>46.947513812154696</v>
      </c>
      <c r="I842" s="39"/>
      <c r="J842" s="46">
        <v>4405835</v>
      </c>
      <c r="K842" s="2">
        <f t="shared" si="122"/>
        <v>8626</v>
      </c>
      <c r="L842" s="160">
        <f t="shared" si="124"/>
        <v>63.896296296296299</v>
      </c>
      <c r="M842" s="39"/>
      <c r="N842" s="46">
        <v>784212</v>
      </c>
      <c r="O842" s="12">
        <f t="shared" si="126"/>
        <v>627</v>
      </c>
      <c r="P842" s="166"/>
      <c r="Q842" s="42">
        <v>642930</v>
      </c>
      <c r="R842" s="44">
        <f t="shared" si="125"/>
        <v>111</v>
      </c>
      <c r="S842" s="358"/>
      <c r="T842" s="46">
        <v>18362</v>
      </c>
      <c r="U842" s="166">
        <f t="shared" si="127"/>
        <v>4</v>
      </c>
      <c r="V842" s="39"/>
      <c r="W842" s="46">
        <v>46428</v>
      </c>
      <c r="X842" s="12">
        <f t="shared" si="119"/>
        <v>0</v>
      </c>
      <c r="Y842" s="39"/>
      <c r="Z842" s="243"/>
    </row>
    <row r="843" spans="1:26">
      <c r="A843" s="150">
        <v>45372</v>
      </c>
      <c r="B843" s="154" t="s">
        <v>111</v>
      </c>
      <c r="C843" s="46">
        <v>3288590</v>
      </c>
      <c r="D843" s="322">
        <f t="shared" si="123"/>
        <v>4175</v>
      </c>
      <c r="E843" s="39"/>
      <c r="F843" s="46">
        <v>7834380</v>
      </c>
      <c r="G843" s="273">
        <f>IF(F844&gt;0,F844-F843," ")</f>
        <v>10173</v>
      </c>
      <c r="H843" s="156">
        <f>(G843+D843-1595)/362</f>
        <v>35.229281767955804</v>
      </c>
      <c r="I843" s="39"/>
      <c r="J843" s="46">
        <v>4414461</v>
      </c>
      <c r="K843" s="2">
        <f t="shared" si="122"/>
        <v>4788</v>
      </c>
      <c r="L843" s="160">
        <f t="shared" si="124"/>
        <v>35.466666666666669</v>
      </c>
      <c r="M843" s="39"/>
      <c r="N843" s="46">
        <v>784839</v>
      </c>
      <c r="O843" s="12">
        <f t="shared" si="126"/>
        <v>766</v>
      </c>
      <c r="P843" s="166"/>
      <c r="Q843" s="42">
        <v>643032</v>
      </c>
      <c r="R843" s="44">
        <f t="shared" si="125"/>
        <v>102</v>
      </c>
      <c r="S843" s="358"/>
      <c r="T843" s="46">
        <v>18366</v>
      </c>
      <c r="U843" s="166">
        <f t="shared" si="127"/>
        <v>6</v>
      </c>
      <c r="V843" s="39"/>
      <c r="W843" s="46">
        <v>46428</v>
      </c>
      <c r="X843" s="12">
        <f t="shared" si="119"/>
        <v>0</v>
      </c>
      <c r="Y843" s="39"/>
      <c r="Z843" s="243"/>
    </row>
    <row r="844" spans="1:26">
      <c r="A844" s="150">
        <v>45373</v>
      </c>
      <c r="B844" s="154" t="s">
        <v>106</v>
      </c>
      <c r="C844" s="46">
        <v>3292765</v>
      </c>
      <c r="D844" s="322">
        <f t="shared" si="123"/>
        <v>4782</v>
      </c>
      <c r="E844" s="39"/>
      <c r="F844" s="46">
        <v>7844553</v>
      </c>
      <c r="G844" s="273">
        <f t="shared" ref="G844:G907" si="128">IF(F845&gt;0,F845-F844," ")</f>
        <v>14725</v>
      </c>
      <c r="H844" s="156">
        <f t="shared" ref="H844:H907" si="129">(G844+D844-1595)/362</f>
        <v>49.480662983425411</v>
      </c>
      <c r="I844" s="39"/>
      <c r="J844" s="46">
        <v>4419249</v>
      </c>
      <c r="K844" s="2">
        <f t="shared" si="122"/>
        <v>5234</v>
      </c>
      <c r="L844" s="160">
        <f t="shared" si="124"/>
        <v>38.770370370370372</v>
      </c>
      <c r="M844" s="39"/>
      <c r="N844" s="46">
        <v>785605</v>
      </c>
      <c r="O844" s="12">
        <f t="shared" si="126"/>
        <v>817</v>
      </c>
      <c r="P844" s="166"/>
      <c r="Q844" s="42">
        <v>643128</v>
      </c>
      <c r="R844" s="44">
        <f t="shared" si="125"/>
        <v>96</v>
      </c>
      <c r="S844" s="358"/>
      <c r="T844" s="46">
        <v>18372</v>
      </c>
      <c r="U844" s="166">
        <f t="shared" si="127"/>
        <v>16</v>
      </c>
      <c r="V844" s="39"/>
      <c r="W844" s="46">
        <v>46428</v>
      </c>
      <c r="X844" s="12">
        <f t="shared" si="119"/>
        <v>0</v>
      </c>
      <c r="Y844" s="39"/>
      <c r="Z844" s="243"/>
    </row>
    <row r="845" spans="1:26">
      <c r="A845" s="150">
        <v>45374</v>
      </c>
      <c r="B845" s="154" t="s">
        <v>107</v>
      </c>
      <c r="C845" s="46">
        <v>3297547</v>
      </c>
      <c r="D845" s="322">
        <f t="shared" si="123"/>
        <v>0</v>
      </c>
      <c r="E845" s="39"/>
      <c r="F845" s="46">
        <v>7859278</v>
      </c>
      <c r="G845" s="273">
        <f t="shared" si="128"/>
        <v>0</v>
      </c>
      <c r="H845" s="156">
        <f t="shared" si="129"/>
        <v>-4.4060773480662982</v>
      </c>
      <c r="I845" s="39"/>
      <c r="J845" s="46">
        <v>4424483</v>
      </c>
      <c r="K845" s="2">
        <f t="shared" si="122"/>
        <v>0</v>
      </c>
      <c r="L845" s="160">
        <f t="shared" si="124"/>
        <v>0</v>
      </c>
      <c r="M845" s="39"/>
      <c r="N845" s="46">
        <v>786422</v>
      </c>
      <c r="O845" s="12">
        <f t="shared" si="126"/>
        <v>803</v>
      </c>
      <c r="P845" s="166"/>
      <c r="Q845" s="42">
        <v>643339</v>
      </c>
      <c r="R845" s="44">
        <f t="shared" si="125"/>
        <v>211</v>
      </c>
      <c r="S845" s="358"/>
      <c r="T845" s="46">
        <v>18388</v>
      </c>
      <c r="U845" s="166">
        <f t="shared" si="127"/>
        <v>0</v>
      </c>
      <c r="V845" s="39"/>
      <c r="W845" s="46">
        <v>46428</v>
      </c>
      <c r="X845" s="12">
        <f t="shared" si="119"/>
        <v>0</v>
      </c>
      <c r="Y845" s="39"/>
      <c r="Z845" s="243"/>
    </row>
    <row r="846" spans="1:26">
      <c r="A846" s="150">
        <v>45375</v>
      </c>
      <c r="B846" s="154" t="s">
        <v>36</v>
      </c>
      <c r="C846" s="46">
        <v>3297547</v>
      </c>
      <c r="D846" s="322">
        <f t="shared" si="123"/>
        <v>0</v>
      </c>
      <c r="E846" s="39"/>
      <c r="F846" s="46">
        <v>7859278</v>
      </c>
      <c r="G846" s="273">
        <f t="shared" si="128"/>
        <v>0</v>
      </c>
      <c r="H846" s="156">
        <f t="shared" si="129"/>
        <v>-4.4060773480662982</v>
      </c>
      <c r="I846" s="39"/>
      <c r="J846" s="46">
        <v>4424483</v>
      </c>
      <c r="K846" s="2">
        <f t="shared" si="122"/>
        <v>0</v>
      </c>
      <c r="L846" s="160">
        <f t="shared" si="124"/>
        <v>0</v>
      </c>
      <c r="M846" s="39"/>
      <c r="N846" s="46">
        <v>787225</v>
      </c>
      <c r="O846" s="12">
        <f t="shared" si="126"/>
        <v>0</v>
      </c>
      <c r="P846" s="166"/>
      <c r="Q846" s="42">
        <v>643339</v>
      </c>
      <c r="R846" s="44">
        <f t="shared" si="125"/>
        <v>0</v>
      </c>
      <c r="S846" s="358"/>
      <c r="T846" s="46">
        <v>18388</v>
      </c>
      <c r="U846" s="166">
        <f t="shared" si="127"/>
        <v>0</v>
      </c>
      <c r="V846" s="39"/>
      <c r="W846" s="46">
        <v>46428</v>
      </c>
      <c r="X846" s="12">
        <f t="shared" si="119"/>
        <v>0</v>
      </c>
      <c r="Y846" s="39"/>
      <c r="Z846" s="243"/>
    </row>
    <row r="847" spans="1:26">
      <c r="A847" s="150">
        <v>45376</v>
      </c>
      <c r="B847" s="154" t="s">
        <v>108</v>
      </c>
      <c r="C847" s="46">
        <v>3297547</v>
      </c>
      <c r="D847" s="322">
        <f t="shared" si="123"/>
        <v>4979</v>
      </c>
      <c r="E847" s="39"/>
      <c r="F847" s="46">
        <v>7859278</v>
      </c>
      <c r="G847" s="273">
        <f t="shared" si="128"/>
        <v>10726</v>
      </c>
      <c r="H847" s="156">
        <f t="shared" si="129"/>
        <v>38.97790055248619</v>
      </c>
      <c r="I847" s="39"/>
      <c r="J847" s="46">
        <v>4424483</v>
      </c>
      <c r="K847" s="2">
        <f t="shared" si="122"/>
        <v>5072</v>
      </c>
      <c r="L847" s="160">
        <f t="shared" si="124"/>
        <v>37.57037037037037</v>
      </c>
      <c r="M847" s="39"/>
      <c r="N847" s="46">
        <v>787225</v>
      </c>
      <c r="O847" s="12">
        <f t="shared" si="126"/>
        <v>616</v>
      </c>
      <c r="P847" s="166"/>
      <c r="Q847" s="42">
        <v>643339</v>
      </c>
      <c r="R847" s="44">
        <f t="shared" si="125"/>
        <v>0</v>
      </c>
      <c r="S847" s="358"/>
      <c r="T847" s="46">
        <v>18388</v>
      </c>
      <c r="U847" s="166">
        <f t="shared" si="127"/>
        <v>7</v>
      </c>
      <c r="V847" s="39"/>
      <c r="W847" s="46">
        <v>46428</v>
      </c>
      <c r="X847" s="12">
        <f t="shared" si="119"/>
        <v>0</v>
      </c>
      <c r="Y847" s="39"/>
      <c r="Z847" s="243"/>
    </row>
    <row r="848" spans="1:26">
      <c r="A848" s="150">
        <v>45377</v>
      </c>
      <c r="B848" s="154" t="s">
        <v>109</v>
      </c>
      <c r="C848" s="46">
        <v>3302526</v>
      </c>
      <c r="D848" s="322">
        <f t="shared" si="123"/>
        <v>4812</v>
      </c>
      <c r="E848" s="39"/>
      <c r="F848" s="46">
        <v>7870004</v>
      </c>
      <c r="G848" s="273">
        <f t="shared" si="128"/>
        <v>11249</v>
      </c>
      <c r="H848" s="156">
        <f t="shared" si="129"/>
        <v>39.961325966850829</v>
      </c>
      <c r="I848" s="39"/>
      <c r="J848" s="46">
        <v>4429555</v>
      </c>
      <c r="K848" s="2">
        <f t="shared" si="122"/>
        <v>4648</v>
      </c>
      <c r="L848" s="160">
        <f t="shared" si="124"/>
        <v>34.42962962962963</v>
      </c>
      <c r="M848" s="39"/>
      <c r="N848" s="46">
        <v>787841</v>
      </c>
      <c r="O848" s="12">
        <f t="shared" si="126"/>
        <v>874</v>
      </c>
      <c r="P848" s="166"/>
      <c r="Q848" s="42">
        <v>643446</v>
      </c>
      <c r="R848" s="44">
        <f t="shared" si="125"/>
        <v>107</v>
      </c>
      <c r="S848" s="358"/>
      <c r="T848" s="46">
        <v>18395</v>
      </c>
      <c r="U848" s="166">
        <f t="shared" si="127"/>
        <v>5</v>
      </c>
      <c r="V848" s="39"/>
      <c r="W848" s="46">
        <v>46428</v>
      </c>
      <c r="X848" s="12">
        <f>W849-W848</f>
        <v>0</v>
      </c>
      <c r="Y848" s="39"/>
      <c r="Z848" s="243"/>
    </row>
    <row r="849" spans="1:26">
      <c r="A849" s="150">
        <v>45378</v>
      </c>
      <c r="B849" s="154" t="s">
        <v>110</v>
      </c>
      <c r="C849" s="46">
        <v>3307338</v>
      </c>
      <c r="D849" s="322">
        <f t="shared" si="123"/>
        <v>4783</v>
      </c>
      <c r="E849" s="39"/>
      <c r="F849" s="46">
        <v>7881253</v>
      </c>
      <c r="G849" s="273">
        <f t="shared" si="128"/>
        <v>10341</v>
      </c>
      <c r="H849" s="156">
        <f t="shared" si="129"/>
        <v>37.372928176795583</v>
      </c>
      <c r="I849" s="39"/>
      <c r="J849" s="46">
        <v>4434203</v>
      </c>
      <c r="K849" s="2">
        <f t="shared" si="122"/>
        <v>5312</v>
      </c>
      <c r="L849" s="160">
        <f t="shared" si="124"/>
        <v>39.348148148148148</v>
      </c>
      <c r="M849" s="39"/>
      <c r="N849" s="46">
        <v>788715</v>
      </c>
      <c r="O849" s="12">
        <f t="shared" si="126"/>
        <v>865</v>
      </c>
      <c r="P849" s="166"/>
      <c r="Q849" s="42">
        <v>643535</v>
      </c>
      <c r="R849" s="44">
        <f>Q849-Q848</f>
        <v>89</v>
      </c>
      <c r="S849" s="358"/>
      <c r="T849" s="46">
        <v>18400</v>
      </c>
      <c r="U849" s="166">
        <f t="shared" si="127"/>
        <v>3</v>
      </c>
      <c r="V849" s="39"/>
      <c r="W849" s="46">
        <v>46428</v>
      </c>
      <c r="X849" s="12">
        <f>W850-W849</f>
        <v>0</v>
      </c>
      <c r="Y849" s="39"/>
      <c r="Z849" s="243"/>
    </row>
    <row r="850" spans="1:26">
      <c r="A850" s="150">
        <v>45379</v>
      </c>
      <c r="B850" s="154" t="s">
        <v>111</v>
      </c>
      <c r="C850" s="46">
        <v>3312121</v>
      </c>
      <c r="D850" s="322">
        <f t="shared" si="123"/>
        <v>4530</v>
      </c>
      <c r="E850" s="39"/>
      <c r="F850" s="46">
        <v>7891594</v>
      </c>
      <c r="G850" s="273">
        <f t="shared" si="128"/>
        <v>14692</v>
      </c>
      <c r="H850" s="156">
        <f t="shared" si="129"/>
        <v>48.693370165745854</v>
      </c>
      <c r="I850" s="39"/>
      <c r="J850" s="46">
        <v>4439515</v>
      </c>
      <c r="K850" s="2">
        <f t="shared" si="122"/>
        <v>8572</v>
      </c>
      <c r="L850" s="160">
        <f t="shared" si="124"/>
        <v>63.496296296296293</v>
      </c>
      <c r="M850" s="39"/>
      <c r="N850" s="46">
        <v>789580</v>
      </c>
      <c r="O850" s="12">
        <f t="shared" si="126"/>
        <v>1041</v>
      </c>
      <c r="P850" s="166"/>
      <c r="Q850" s="42">
        <v>643617</v>
      </c>
      <c r="R850" s="44">
        <f t="shared" ref="R850:R862" si="130">Q850-Q849</f>
        <v>82</v>
      </c>
      <c r="S850" s="358"/>
      <c r="T850" s="46">
        <v>18403</v>
      </c>
      <c r="U850" s="166">
        <f t="shared" si="127"/>
        <v>17</v>
      </c>
      <c r="V850" s="39"/>
      <c r="W850" s="46">
        <v>46428</v>
      </c>
      <c r="X850" s="12">
        <f t="shared" ref="X850:X913" si="131">W851-W850</f>
        <v>1</v>
      </c>
      <c r="Y850" s="39"/>
      <c r="Z850" s="243"/>
    </row>
    <row r="851" spans="1:26">
      <c r="A851" s="150">
        <v>45380</v>
      </c>
      <c r="B851" s="154" t="s">
        <v>106</v>
      </c>
      <c r="C851" s="46">
        <v>3316651</v>
      </c>
      <c r="D851" s="322">
        <f t="shared" si="123"/>
        <v>0</v>
      </c>
      <c r="E851" s="39"/>
      <c r="F851" s="46">
        <v>7906286</v>
      </c>
      <c r="G851" s="273">
        <f t="shared" si="128"/>
        <v>0</v>
      </c>
      <c r="H851" s="156">
        <f t="shared" si="129"/>
        <v>-4.4060773480662982</v>
      </c>
      <c r="I851" s="39"/>
      <c r="J851" s="46">
        <v>4448087</v>
      </c>
      <c r="K851" s="2">
        <f t="shared" si="122"/>
        <v>0</v>
      </c>
      <c r="L851" s="160">
        <f t="shared" si="124"/>
        <v>0</v>
      </c>
      <c r="M851" s="39"/>
      <c r="N851" s="46">
        <v>790621</v>
      </c>
      <c r="O851" s="12">
        <f t="shared" si="126"/>
        <v>0</v>
      </c>
      <c r="P851" s="166"/>
      <c r="Q851" s="42">
        <v>643766</v>
      </c>
      <c r="R851" s="44">
        <f t="shared" si="130"/>
        <v>149</v>
      </c>
      <c r="S851" s="358"/>
      <c r="T851" s="46">
        <v>18420</v>
      </c>
      <c r="U851" s="166">
        <f t="shared" si="127"/>
        <v>0</v>
      </c>
      <c r="V851" s="39"/>
      <c r="W851" s="46">
        <v>46429</v>
      </c>
      <c r="X851" s="12">
        <f t="shared" si="131"/>
        <v>0</v>
      </c>
      <c r="Y851" s="39"/>
      <c r="Z851" s="243"/>
    </row>
    <row r="852" spans="1:26">
      <c r="A852" s="150">
        <v>45381</v>
      </c>
      <c r="B852" s="154" t="s">
        <v>107</v>
      </c>
      <c r="C852" s="46">
        <v>3316651</v>
      </c>
      <c r="D852" s="322">
        <f t="shared" si="123"/>
        <v>0</v>
      </c>
      <c r="E852" s="39"/>
      <c r="F852" s="46">
        <v>7906286</v>
      </c>
      <c r="G852" s="273">
        <f t="shared" si="128"/>
        <v>0</v>
      </c>
      <c r="H852" s="156">
        <f t="shared" si="129"/>
        <v>-4.4060773480662982</v>
      </c>
      <c r="I852" s="39"/>
      <c r="J852" s="46">
        <v>4448087</v>
      </c>
      <c r="K852" s="2">
        <f t="shared" si="122"/>
        <v>0</v>
      </c>
      <c r="L852" s="160">
        <f t="shared" si="124"/>
        <v>0</v>
      </c>
      <c r="M852" s="39"/>
      <c r="N852" s="46">
        <v>790621</v>
      </c>
      <c r="O852" s="12">
        <f t="shared" si="126"/>
        <v>787</v>
      </c>
      <c r="P852" s="166"/>
      <c r="Q852" s="42">
        <v>644160</v>
      </c>
      <c r="R852" s="44">
        <f t="shared" si="130"/>
        <v>394</v>
      </c>
      <c r="S852" s="358"/>
      <c r="T852" s="46">
        <v>18420</v>
      </c>
      <c r="U852" s="166">
        <f t="shared" si="127"/>
        <v>0</v>
      </c>
      <c r="V852" s="39"/>
      <c r="W852" s="46">
        <v>46429</v>
      </c>
      <c r="X852" s="12">
        <f t="shared" si="131"/>
        <v>0</v>
      </c>
      <c r="Y852" s="39"/>
      <c r="Z852" s="243"/>
    </row>
    <row r="853" spans="1:26">
      <c r="A853" s="150">
        <v>45382</v>
      </c>
      <c r="B853" s="154" t="s">
        <v>36</v>
      </c>
      <c r="C853" s="46">
        <v>3316651</v>
      </c>
      <c r="D853" s="322">
        <f t="shared" si="123"/>
        <v>410</v>
      </c>
      <c r="E853" s="39"/>
      <c r="F853" s="46">
        <v>7906286</v>
      </c>
      <c r="G853" s="273">
        <f t="shared" si="128"/>
        <v>2230</v>
      </c>
      <c r="H853" s="156">
        <f t="shared" si="129"/>
        <v>2.8867403314917128</v>
      </c>
      <c r="I853" s="39"/>
      <c r="J853" s="46">
        <v>4448087</v>
      </c>
      <c r="K853" s="2">
        <f t="shared" si="122"/>
        <v>0</v>
      </c>
      <c r="L853" s="160">
        <f t="shared" si="124"/>
        <v>0</v>
      </c>
      <c r="M853" s="39"/>
      <c r="N853" s="46">
        <v>791408</v>
      </c>
      <c r="O853" s="12">
        <f t="shared" si="126"/>
        <v>0</v>
      </c>
      <c r="P853" s="166"/>
      <c r="Q853" s="42">
        <v>644160</v>
      </c>
      <c r="R853" s="44">
        <f t="shared" si="130"/>
        <v>0</v>
      </c>
      <c r="S853" s="358"/>
      <c r="T853" s="46">
        <v>18420</v>
      </c>
      <c r="U853" s="166">
        <f t="shared" si="127"/>
        <v>0</v>
      </c>
      <c r="V853" s="39"/>
      <c r="W853" s="46">
        <v>46429</v>
      </c>
      <c r="X853" s="12">
        <f t="shared" si="131"/>
        <v>0</v>
      </c>
      <c r="Y853" s="39"/>
      <c r="Z853" s="243"/>
    </row>
    <row r="854" spans="1:26">
      <c r="A854" s="150">
        <v>45383</v>
      </c>
      <c r="B854" s="154" t="s">
        <v>108</v>
      </c>
      <c r="C854" s="46">
        <v>3317061</v>
      </c>
      <c r="D854" s="322">
        <f t="shared" si="123"/>
        <v>4221</v>
      </c>
      <c r="E854" s="39"/>
      <c r="F854" s="46">
        <v>7908516</v>
      </c>
      <c r="G854" s="273">
        <f t="shared" si="128"/>
        <v>9997</v>
      </c>
      <c r="H854" s="156">
        <f t="shared" si="129"/>
        <v>34.870165745856355</v>
      </c>
      <c r="I854" s="39"/>
      <c r="J854" s="46">
        <v>4448087</v>
      </c>
      <c r="K854" s="2">
        <f t="shared" si="122"/>
        <v>4628</v>
      </c>
      <c r="L854" s="160">
        <f t="shared" si="124"/>
        <v>34.281481481481478</v>
      </c>
      <c r="M854" s="39"/>
      <c r="N854" s="46">
        <v>791408</v>
      </c>
      <c r="O854" s="12">
        <f t="shared" si="126"/>
        <v>798</v>
      </c>
      <c r="P854" s="166"/>
      <c r="Q854" s="42">
        <v>644160</v>
      </c>
      <c r="R854" s="44">
        <f t="shared" si="130"/>
        <v>0</v>
      </c>
      <c r="S854" s="358"/>
      <c r="T854" s="46">
        <v>18420</v>
      </c>
      <c r="U854" s="166">
        <f t="shared" si="127"/>
        <v>7</v>
      </c>
      <c r="V854" s="39"/>
      <c r="W854" s="46">
        <v>46429</v>
      </c>
      <c r="X854" s="12">
        <f t="shared" si="131"/>
        <v>1</v>
      </c>
      <c r="Y854" s="39"/>
      <c r="Z854" s="243"/>
    </row>
    <row r="855" spans="1:26">
      <c r="A855" s="150">
        <v>45384</v>
      </c>
      <c r="B855" s="154" t="s">
        <v>109</v>
      </c>
      <c r="C855" s="46">
        <v>3321282</v>
      </c>
      <c r="D855" s="322">
        <f t="shared" si="123"/>
        <v>4925</v>
      </c>
      <c r="E855" s="39"/>
      <c r="F855" s="46">
        <v>7918513</v>
      </c>
      <c r="G855" s="273">
        <f t="shared" si="128"/>
        <v>11963</v>
      </c>
      <c r="H855" s="156">
        <f t="shared" si="129"/>
        <v>42.245856353591158</v>
      </c>
      <c r="I855" s="39"/>
      <c r="J855" s="46">
        <v>4452715</v>
      </c>
      <c r="K855" s="2">
        <f t="shared" si="122"/>
        <v>4901</v>
      </c>
      <c r="L855" s="160">
        <f>K855/135</f>
        <v>36.303703703703704</v>
      </c>
      <c r="M855" s="39"/>
      <c r="N855" s="46">
        <v>792206</v>
      </c>
      <c r="O855" s="12">
        <f t="shared" si="126"/>
        <v>860</v>
      </c>
      <c r="P855" s="166"/>
      <c r="Q855" s="42">
        <v>644300</v>
      </c>
      <c r="R855" s="44">
        <f t="shared" si="130"/>
        <v>140</v>
      </c>
      <c r="S855" s="358"/>
      <c r="T855" s="46">
        <v>18427</v>
      </c>
      <c r="U855" s="166">
        <f t="shared" si="127"/>
        <v>8</v>
      </c>
      <c r="V855" s="39"/>
      <c r="W855" s="46">
        <v>46430</v>
      </c>
      <c r="X855" s="12">
        <f t="shared" si="131"/>
        <v>3</v>
      </c>
      <c r="Y855" s="39"/>
      <c r="Z855" s="243"/>
    </row>
    <row r="856" spans="1:26">
      <c r="A856" s="150">
        <v>45385</v>
      </c>
      <c r="B856" s="154" t="s">
        <v>110</v>
      </c>
      <c r="C856" s="46">
        <v>3326207</v>
      </c>
      <c r="D856" s="322">
        <f t="shared" si="123"/>
        <v>4915</v>
      </c>
      <c r="E856" s="39"/>
      <c r="F856" s="46">
        <v>7930476</v>
      </c>
      <c r="G856" s="273">
        <f t="shared" si="128"/>
        <v>11270</v>
      </c>
      <c r="H856" s="156">
        <f t="shared" si="129"/>
        <v>40.303867403314918</v>
      </c>
      <c r="I856" s="39"/>
      <c r="J856" s="46">
        <v>4457616</v>
      </c>
      <c r="K856" s="2">
        <f t="shared" si="122"/>
        <v>4990</v>
      </c>
      <c r="L856" s="160">
        <f t="shared" si="124"/>
        <v>36.962962962962962</v>
      </c>
      <c r="M856" s="39"/>
      <c r="N856" s="46">
        <v>793066</v>
      </c>
      <c r="O856" s="12">
        <f t="shared" si="126"/>
        <v>836</v>
      </c>
      <c r="P856" s="166"/>
      <c r="Q856" s="42">
        <v>644399</v>
      </c>
      <c r="R856" s="44">
        <f t="shared" si="130"/>
        <v>99</v>
      </c>
      <c r="S856" s="358"/>
      <c r="T856" s="46">
        <v>18435</v>
      </c>
      <c r="U856" s="166">
        <f t="shared" si="127"/>
        <v>7</v>
      </c>
      <c r="V856" s="39"/>
      <c r="W856" s="46">
        <v>46433</v>
      </c>
      <c r="X856" s="12">
        <f t="shared" si="131"/>
        <v>0</v>
      </c>
      <c r="Y856" s="39"/>
      <c r="Z856" s="243"/>
    </row>
    <row r="857" spans="1:26">
      <c r="A857" s="150">
        <v>45386</v>
      </c>
      <c r="B857" s="154" t="s">
        <v>111</v>
      </c>
      <c r="C857" s="46">
        <v>3331122</v>
      </c>
      <c r="D857" s="322">
        <f t="shared" si="123"/>
        <v>1066</v>
      </c>
      <c r="E857" s="39"/>
      <c r="F857" s="46">
        <v>7941746</v>
      </c>
      <c r="G857" s="273">
        <f t="shared" si="128"/>
        <v>9941</v>
      </c>
      <c r="H857" s="156">
        <f t="shared" si="129"/>
        <v>26</v>
      </c>
      <c r="I857" s="39"/>
      <c r="J857" s="46">
        <v>4462606</v>
      </c>
      <c r="K857" s="2">
        <f t="shared" si="122"/>
        <v>5227</v>
      </c>
      <c r="L857" s="160">
        <f t="shared" si="124"/>
        <v>38.718518518518522</v>
      </c>
      <c r="M857" s="39"/>
      <c r="N857" s="46">
        <v>793902</v>
      </c>
      <c r="O857" s="12">
        <f t="shared" si="126"/>
        <v>1243</v>
      </c>
      <c r="P857" s="166"/>
      <c r="Q857" s="42">
        <v>644568</v>
      </c>
      <c r="R857" s="44">
        <f t="shared" si="130"/>
        <v>169</v>
      </c>
      <c r="S857" s="358"/>
      <c r="T857" s="46">
        <v>18442</v>
      </c>
      <c r="U857" s="166">
        <f t="shared" si="127"/>
        <v>6</v>
      </c>
      <c r="V857" s="39"/>
      <c r="W857" s="46">
        <v>46433</v>
      </c>
      <c r="X857" s="12">
        <f t="shared" si="131"/>
        <v>0</v>
      </c>
      <c r="Y857" s="39"/>
      <c r="Z857" s="243"/>
    </row>
    <row r="858" spans="1:26">
      <c r="A858" s="150">
        <v>45387</v>
      </c>
      <c r="B858" s="154" t="s">
        <v>106</v>
      </c>
      <c r="C858" s="46">
        <v>3332188</v>
      </c>
      <c r="D858" s="322">
        <f t="shared" si="123"/>
        <v>6843</v>
      </c>
      <c r="E858" s="39"/>
      <c r="F858" s="46">
        <v>7951687</v>
      </c>
      <c r="G858" s="273">
        <f t="shared" si="128"/>
        <v>16710</v>
      </c>
      <c r="H858" s="156">
        <f t="shared" si="129"/>
        <v>60.657458563535911</v>
      </c>
      <c r="I858" s="39"/>
      <c r="J858" s="46">
        <v>4467833</v>
      </c>
      <c r="K858" s="2">
        <f t="shared" si="122"/>
        <v>8010</v>
      </c>
      <c r="L858" s="160">
        <f t="shared" si="124"/>
        <v>59.333333333333336</v>
      </c>
      <c r="M858" s="39"/>
      <c r="N858" s="46">
        <v>795145</v>
      </c>
      <c r="O858" s="12">
        <f t="shared" si="126"/>
        <v>859</v>
      </c>
      <c r="P858" s="166">
        <v>21</v>
      </c>
      <c r="Q858" s="42">
        <v>644668</v>
      </c>
      <c r="R858" s="44">
        <f t="shared" si="130"/>
        <v>100</v>
      </c>
      <c r="S858" s="358"/>
      <c r="T858" s="46">
        <v>18448</v>
      </c>
      <c r="U858" s="166">
        <f t="shared" si="127"/>
        <v>12</v>
      </c>
      <c r="V858" s="39"/>
      <c r="W858" s="46">
        <v>46433</v>
      </c>
      <c r="X858" s="12">
        <f t="shared" si="131"/>
        <v>0</v>
      </c>
      <c r="Y858" s="39"/>
      <c r="Z858" s="243"/>
    </row>
    <row r="859" spans="1:26">
      <c r="A859" s="150">
        <v>45388</v>
      </c>
      <c r="B859" s="154" t="s">
        <v>107</v>
      </c>
      <c r="C859" s="46">
        <v>3339031</v>
      </c>
      <c r="D859" s="322">
        <f t="shared" si="123"/>
        <v>0</v>
      </c>
      <c r="E859" s="39"/>
      <c r="F859" s="46">
        <v>7968397</v>
      </c>
      <c r="G859" s="273">
        <f t="shared" si="128"/>
        <v>0</v>
      </c>
      <c r="H859" s="156">
        <f t="shared" si="129"/>
        <v>-4.4060773480662982</v>
      </c>
      <c r="I859" s="39"/>
      <c r="J859" s="46">
        <v>4475843</v>
      </c>
      <c r="K859" s="2">
        <f t="shared" si="122"/>
        <v>0</v>
      </c>
      <c r="L859" s="160">
        <f t="shared" si="124"/>
        <v>0</v>
      </c>
      <c r="M859" s="39"/>
      <c r="N859" s="45">
        <v>796004</v>
      </c>
      <c r="O859" s="8">
        <f t="shared" si="126"/>
        <v>0</v>
      </c>
      <c r="P859" s="9"/>
      <c r="Q859" s="42">
        <v>644997</v>
      </c>
      <c r="R859" s="44">
        <f t="shared" si="130"/>
        <v>329</v>
      </c>
      <c r="S859" s="358"/>
      <c r="T859" s="46">
        <v>18460</v>
      </c>
      <c r="U859" s="166">
        <f t="shared" si="127"/>
        <v>0</v>
      </c>
      <c r="V859" s="39"/>
      <c r="W859" s="46">
        <v>46433</v>
      </c>
      <c r="X859" s="12">
        <f t="shared" si="131"/>
        <v>0</v>
      </c>
      <c r="Y859" s="39"/>
      <c r="Z859" s="243"/>
    </row>
    <row r="860" spans="1:26">
      <c r="A860" s="150">
        <v>45389</v>
      </c>
      <c r="B860" s="154" t="s">
        <v>36</v>
      </c>
      <c r="C860" s="46">
        <v>3339031</v>
      </c>
      <c r="D860" s="322">
        <f t="shared" si="123"/>
        <v>0</v>
      </c>
      <c r="E860" s="39"/>
      <c r="F860" s="46">
        <v>7968397</v>
      </c>
      <c r="G860" s="273">
        <f t="shared" si="128"/>
        <v>0</v>
      </c>
      <c r="H860" s="156">
        <f t="shared" si="129"/>
        <v>-4.4060773480662982</v>
      </c>
      <c r="I860" s="39"/>
      <c r="J860" s="46">
        <v>4475843</v>
      </c>
      <c r="K860" s="2">
        <f t="shared" si="122"/>
        <v>0</v>
      </c>
      <c r="L860" s="160">
        <f t="shared" si="124"/>
        <v>0</v>
      </c>
      <c r="M860" s="39"/>
      <c r="N860" s="45">
        <v>796004</v>
      </c>
      <c r="O860" s="8">
        <f t="shared" si="126"/>
        <v>0</v>
      </c>
      <c r="P860" s="9"/>
      <c r="Q860" s="42">
        <v>644997</v>
      </c>
      <c r="R860" s="44">
        <f t="shared" si="130"/>
        <v>0</v>
      </c>
      <c r="S860" s="358"/>
      <c r="T860" s="46">
        <v>18460</v>
      </c>
      <c r="U860" s="166">
        <f t="shared" si="127"/>
        <v>0</v>
      </c>
      <c r="V860" s="39"/>
      <c r="W860" s="46">
        <v>46433</v>
      </c>
      <c r="X860" s="12">
        <f t="shared" si="131"/>
        <v>0</v>
      </c>
      <c r="Y860" s="39"/>
      <c r="Z860" s="243"/>
    </row>
    <row r="861" spans="1:26">
      <c r="A861" s="150">
        <v>45390</v>
      </c>
      <c r="B861" s="154" t="s">
        <v>108</v>
      </c>
      <c r="C861" s="46">
        <v>3339031</v>
      </c>
      <c r="D861" s="322">
        <f t="shared" si="123"/>
        <v>4128</v>
      </c>
      <c r="E861" s="39"/>
      <c r="F861" s="46">
        <v>7968397</v>
      </c>
      <c r="G861" s="273">
        <f t="shared" si="128"/>
        <v>10064</v>
      </c>
      <c r="H861" s="156">
        <f t="shared" si="129"/>
        <v>34.798342541436462</v>
      </c>
      <c r="I861" s="39"/>
      <c r="J861" s="46">
        <v>4475843</v>
      </c>
      <c r="K861" s="2">
        <f t="shared" si="122"/>
        <v>5390</v>
      </c>
      <c r="L861" s="160">
        <f t="shared" si="124"/>
        <v>39.925925925925924</v>
      </c>
      <c r="M861" s="39"/>
      <c r="N861" s="45">
        <v>796004</v>
      </c>
      <c r="O861" s="8">
        <f t="shared" si="126"/>
        <v>781</v>
      </c>
      <c r="P861" s="9"/>
      <c r="Q861" s="42">
        <v>644997</v>
      </c>
      <c r="R861" s="44">
        <f t="shared" si="130"/>
        <v>0</v>
      </c>
      <c r="S861" s="358"/>
      <c r="T861" s="46">
        <v>18460</v>
      </c>
      <c r="U861" s="166">
        <f t="shared" si="127"/>
        <v>7</v>
      </c>
      <c r="V861" s="39"/>
      <c r="W861" s="46">
        <v>46433</v>
      </c>
      <c r="X861" s="12">
        <f t="shared" si="131"/>
        <v>1</v>
      </c>
      <c r="Y861" s="39"/>
      <c r="Z861" s="243"/>
    </row>
    <row r="862" spans="1:26">
      <c r="A862" s="150">
        <v>45391</v>
      </c>
      <c r="B862" s="154" t="s">
        <v>109</v>
      </c>
      <c r="C862" s="46">
        <v>3343159</v>
      </c>
      <c r="D862" s="322">
        <f t="shared" si="123"/>
        <v>3878</v>
      </c>
      <c r="E862" s="39"/>
      <c r="F862" s="46">
        <v>7978461</v>
      </c>
      <c r="G862" s="273">
        <f t="shared" si="128"/>
        <v>10974</v>
      </c>
      <c r="H862" s="156">
        <f t="shared" si="129"/>
        <v>36.621546961325969</v>
      </c>
      <c r="I862" s="39"/>
      <c r="J862" s="46">
        <v>4481233</v>
      </c>
      <c r="K862" s="2">
        <f t="shared" si="122"/>
        <v>5267</v>
      </c>
      <c r="L862" s="160">
        <f t="shared" si="124"/>
        <v>39.014814814814812</v>
      </c>
      <c r="M862" s="39"/>
      <c r="N862" s="45">
        <v>796785</v>
      </c>
      <c r="O862" s="8">
        <f t="shared" si="126"/>
        <v>1579</v>
      </c>
      <c r="P862" s="9"/>
      <c r="Q862" s="42">
        <v>645179</v>
      </c>
      <c r="R862" s="44">
        <f t="shared" si="130"/>
        <v>182</v>
      </c>
      <c r="S862" s="358"/>
      <c r="T862" s="46">
        <v>18467</v>
      </c>
      <c r="U862" s="166">
        <f t="shared" si="127"/>
        <v>14</v>
      </c>
      <c r="V862" s="39"/>
      <c r="W862" s="46">
        <v>46434</v>
      </c>
      <c r="X862" s="12">
        <f t="shared" si="131"/>
        <v>1</v>
      </c>
      <c r="Y862" s="39"/>
      <c r="Z862" s="243"/>
    </row>
    <row r="863" spans="1:26">
      <c r="A863" s="150">
        <v>45392</v>
      </c>
      <c r="B863" s="154" t="s">
        <v>110</v>
      </c>
      <c r="C863" s="46">
        <v>3347037</v>
      </c>
      <c r="D863" s="322">
        <f t="shared" si="123"/>
        <v>4965</v>
      </c>
      <c r="E863" s="39" t="s">
        <v>124</v>
      </c>
      <c r="F863" s="46">
        <v>7989435</v>
      </c>
      <c r="G863" s="273">
        <f t="shared" si="128"/>
        <v>10932</v>
      </c>
      <c r="H863" s="156">
        <f t="shared" si="129"/>
        <v>39.508287292817677</v>
      </c>
      <c r="I863" s="39">
        <v>251</v>
      </c>
      <c r="J863" s="46">
        <v>4486500</v>
      </c>
      <c r="K863" s="2">
        <f t="shared" si="122"/>
        <v>9535</v>
      </c>
      <c r="L863" s="160">
        <f t="shared" si="124"/>
        <v>70.629629629629633</v>
      </c>
      <c r="M863" s="39">
        <v>122</v>
      </c>
      <c r="N863" s="45">
        <v>798364</v>
      </c>
      <c r="O863" s="8">
        <f t="shared" si="126"/>
        <v>893</v>
      </c>
      <c r="P863" s="9"/>
      <c r="Q863" s="42">
        <v>645315</v>
      </c>
      <c r="R863" s="44">
        <f>Q863-Q862</f>
        <v>136</v>
      </c>
      <c r="S863" s="358"/>
      <c r="T863" s="46">
        <v>18481</v>
      </c>
      <c r="U863" s="166">
        <f t="shared" si="127"/>
        <v>8</v>
      </c>
      <c r="V863" s="39">
        <v>0</v>
      </c>
      <c r="W863" s="46">
        <v>46435</v>
      </c>
      <c r="X863" s="12">
        <f t="shared" si="131"/>
        <v>0</v>
      </c>
      <c r="Y863" s="39">
        <v>1</v>
      </c>
      <c r="Z863" s="243"/>
    </row>
    <row r="864" spans="1:26">
      <c r="A864" s="150">
        <v>45393</v>
      </c>
      <c r="B864" s="154" t="s">
        <v>111</v>
      </c>
      <c r="C864" s="45">
        <v>3352002</v>
      </c>
      <c r="D864" s="323">
        <f t="shared" si="123"/>
        <v>4820</v>
      </c>
      <c r="E864" s="38"/>
      <c r="F864" s="45">
        <v>8000367</v>
      </c>
      <c r="G864" s="274">
        <f t="shared" si="128"/>
        <v>11812</v>
      </c>
      <c r="H864" s="127">
        <f t="shared" si="129"/>
        <v>41.538674033149171</v>
      </c>
      <c r="I864" s="38"/>
      <c r="J864" s="45">
        <v>4496035</v>
      </c>
      <c r="K864" s="1">
        <f t="shared" si="122"/>
        <v>5485</v>
      </c>
      <c r="L864" s="126">
        <f t="shared" si="124"/>
        <v>40.629629629629626</v>
      </c>
      <c r="M864" s="38"/>
      <c r="N864" s="45">
        <v>799257</v>
      </c>
      <c r="O864" s="8">
        <f t="shared" si="126"/>
        <v>1873</v>
      </c>
      <c r="P864" s="9"/>
      <c r="Q864" s="42">
        <v>645482</v>
      </c>
      <c r="R864" s="44">
        <f>Q864-Q863</f>
        <v>167</v>
      </c>
      <c r="S864" s="358"/>
      <c r="T864" s="45">
        <v>18489</v>
      </c>
      <c r="U864" s="9">
        <f t="shared" si="127"/>
        <v>29</v>
      </c>
      <c r="V864" s="38"/>
      <c r="W864" s="45">
        <v>46435</v>
      </c>
      <c r="X864" s="8">
        <f t="shared" si="131"/>
        <v>2</v>
      </c>
      <c r="Y864" s="38"/>
      <c r="Z864" s="243"/>
    </row>
    <row r="865" spans="1:26">
      <c r="A865" s="150">
        <v>45394</v>
      </c>
      <c r="B865" s="154" t="s">
        <v>106</v>
      </c>
      <c r="C865" s="45">
        <v>3356822</v>
      </c>
      <c r="D865" s="323">
        <f t="shared" si="123"/>
        <v>4366</v>
      </c>
      <c r="E865" s="38"/>
      <c r="F865" s="45">
        <v>8012179</v>
      </c>
      <c r="G865" s="274">
        <f t="shared" si="128"/>
        <v>16525</v>
      </c>
      <c r="H865" s="127">
        <f t="shared" si="129"/>
        <v>53.303867403314918</v>
      </c>
      <c r="I865" s="38"/>
      <c r="J865" s="45">
        <v>4501520</v>
      </c>
      <c r="K865" s="1">
        <f t="shared" si="122"/>
        <v>4867</v>
      </c>
      <c r="L865" s="126">
        <f t="shared" si="124"/>
        <v>36.05185185185185</v>
      </c>
      <c r="M865" s="38"/>
      <c r="N865" s="45">
        <v>801130</v>
      </c>
      <c r="O865" s="8">
        <f t="shared" si="126"/>
        <v>0</v>
      </c>
      <c r="P865" s="9"/>
      <c r="Q865" s="42">
        <v>646052</v>
      </c>
      <c r="R865" s="44">
        <f t="shared" ref="R865:R888" si="132">Q865-Q864</f>
        <v>570</v>
      </c>
      <c r="S865" s="358"/>
      <c r="T865" s="45">
        <v>18518</v>
      </c>
      <c r="U865" s="9">
        <f t="shared" si="127"/>
        <v>0</v>
      </c>
      <c r="V865" s="38"/>
      <c r="W865" s="45">
        <v>46437</v>
      </c>
      <c r="X865" s="8">
        <f t="shared" si="131"/>
        <v>0</v>
      </c>
      <c r="Y865" s="38"/>
      <c r="Z865" s="243"/>
    </row>
    <row r="866" spans="1:26">
      <c r="A866" s="150">
        <v>45395</v>
      </c>
      <c r="B866" s="154" t="s">
        <v>107</v>
      </c>
      <c r="C866" s="45">
        <v>3361188</v>
      </c>
      <c r="D866" s="323">
        <f t="shared" si="123"/>
        <v>0</v>
      </c>
      <c r="E866" s="38"/>
      <c r="F866" s="45">
        <v>8028704</v>
      </c>
      <c r="G866" s="274">
        <f t="shared" si="128"/>
        <v>0</v>
      </c>
      <c r="H866" s="127">
        <f t="shared" si="129"/>
        <v>-4.4060773480662982</v>
      </c>
      <c r="I866" s="38"/>
      <c r="J866" s="45">
        <v>4506387</v>
      </c>
      <c r="K866" s="1">
        <f t="shared" si="122"/>
        <v>0</v>
      </c>
      <c r="L866" s="126">
        <f t="shared" si="124"/>
        <v>0</v>
      </c>
      <c r="M866" s="38"/>
      <c r="N866" s="45">
        <v>801130</v>
      </c>
      <c r="O866" s="8">
        <f t="shared" si="126"/>
        <v>0</v>
      </c>
      <c r="P866" s="9"/>
      <c r="Q866" s="42">
        <v>646052</v>
      </c>
      <c r="R866" s="44">
        <f t="shared" si="132"/>
        <v>0</v>
      </c>
      <c r="S866" s="358"/>
      <c r="T866" s="45">
        <v>18518</v>
      </c>
      <c r="U866" s="9">
        <f t="shared" si="127"/>
        <v>0</v>
      </c>
      <c r="V866" s="38"/>
      <c r="W866" s="45">
        <v>46437</v>
      </c>
      <c r="X866" s="8">
        <f t="shared" si="131"/>
        <v>0</v>
      </c>
      <c r="Y866" s="38"/>
      <c r="Z866" s="243"/>
    </row>
    <row r="867" spans="1:26">
      <c r="A867" s="150">
        <v>45396</v>
      </c>
      <c r="B867" s="154" t="s">
        <v>36</v>
      </c>
      <c r="C867" s="45">
        <v>3361188</v>
      </c>
      <c r="D867" s="323">
        <f t="shared" si="123"/>
        <v>0</v>
      </c>
      <c r="E867" s="38"/>
      <c r="F867" s="45">
        <v>8028704</v>
      </c>
      <c r="G867" s="274">
        <f t="shared" si="128"/>
        <v>0</v>
      </c>
      <c r="H867" s="127">
        <f t="shared" si="129"/>
        <v>-4.4060773480662982</v>
      </c>
      <c r="I867" s="38"/>
      <c r="J867" s="45">
        <v>4506387</v>
      </c>
      <c r="K867" s="1">
        <f t="shared" si="122"/>
        <v>0</v>
      </c>
      <c r="L867" s="126">
        <f t="shared" si="124"/>
        <v>0</v>
      </c>
      <c r="M867" s="38"/>
      <c r="N867" s="45">
        <v>801130</v>
      </c>
      <c r="O867" s="8">
        <f t="shared" si="126"/>
        <v>0</v>
      </c>
      <c r="P867" s="9"/>
      <c r="Q867" s="42">
        <v>646052</v>
      </c>
      <c r="R867" s="44">
        <f t="shared" si="132"/>
        <v>0</v>
      </c>
      <c r="S867" s="358"/>
      <c r="T867" s="45">
        <v>18518</v>
      </c>
      <c r="U867" s="9">
        <f t="shared" si="127"/>
        <v>0</v>
      </c>
      <c r="V867" s="38"/>
      <c r="W867" s="45">
        <v>46437</v>
      </c>
      <c r="X867" s="8">
        <f t="shared" si="131"/>
        <v>0</v>
      </c>
      <c r="Y867" s="38"/>
      <c r="Z867" s="243"/>
    </row>
    <row r="868" spans="1:26">
      <c r="A868" s="150">
        <v>45397</v>
      </c>
      <c r="B868" s="154" t="s">
        <v>108</v>
      </c>
      <c r="C868" s="45">
        <v>3361188</v>
      </c>
      <c r="D868" s="323">
        <f t="shared" si="123"/>
        <v>4506</v>
      </c>
      <c r="E868" s="38"/>
      <c r="F868" s="45">
        <v>8028704</v>
      </c>
      <c r="G868" s="274">
        <f t="shared" si="128"/>
        <v>10295</v>
      </c>
      <c r="H868" s="127">
        <f t="shared" si="129"/>
        <v>36.480662983425411</v>
      </c>
      <c r="I868" s="38"/>
      <c r="J868" s="45">
        <v>4506387</v>
      </c>
      <c r="K868" s="1">
        <f t="shared" si="122"/>
        <v>5110</v>
      </c>
      <c r="L868" s="126">
        <f t="shared" si="124"/>
        <v>37.851851851851855</v>
      </c>
      <c r="M868" s="38"/>
      <c r="N868" s="45">
        <v>801130</v>
      </c>
      <c r="O868" s="8">
        <f t="shared" si="126"/>
        <v>1383</v>
      </c>
      <c r="P868" s="9"/>
      <c r="Q868" s="42">
        <v>646052</v>
      </c>
      <c r="R868" s="44">
        <f t="shared" si="132"/>
        <v>0</v>
      </c>
      <c r="S868" s="358"/>
      <c r="T868" s="45">
        <v>18518</v>
      </c>
      <c r="U868" s="9">
        <f t="shared" si="127"/>
        <v>0</v>
      </c>
      <c r="V868" s="38"/>
      <c r="W868" s="45">
        <v>46437</v>
      </c>
      <c r="X868" s="8">
        <f t="shared" si="131"/>
        <v>0</v>
      </c>
      <c r="Y868" s="38"/>
      <c r="Z868" s="243"/>
    </row>
    <row r="869" spans="1:26">
      <c r="A869" s="150">
        <v>45398</v>
      </c>
      <c r="B869" s="154" t="s">
        <v>109</v>
      </c>
      <c r="C869" s="45">
        <v>3365694</v>
      </c>
      <c r="D869" s="323">
        <f t="shared" si="123"/>
        <v>4521</v>
      </c>
      <c r="E869" s="38"/>
      <c r="F869" s="45">
        <v>8038999</v>
      </c>
      <c r="G869" s="274">
        <f t="shared" si="128"/>
        <v>10338</v>
      </c>
      <c r="H869" s="127">
        <f t="shared" si="129"/>
        <v>36.64088397790055</v>
      </c>
      <c r="I869" s="38"/>
      <c r="J869" s="45">
        <v>4511497</v>
      </c>
      <c r="K869" s="1">
        <f t="shared" si="122"/>
        <v>10199</v>
      </c>
      <c r="L869" s="126">
        <f t="shared" si="124"/>
        <v>75.548148148148144</v>
      </c>
      <c r="M869" s="38"/>
      <c r="N869" s="45">
        <v>802513</v>
      </c>
      <c r="O869" s="8">
        <f t="shared" si="126"/>
        <v>0</v>
      </c>
      <c r="P869" s="9"/>
      <c r="Q869" s="42">
        <v>646263</v>
      </c>
      <c r="R869" s="44">
        <f t="shared" si="132"/>
        <v>211</v>
      </c>
      <c r="S869" s="358"/>
      <c r="T869" s="45">
        <v>18518</v>
      </c>
      <c r="U869" s="9">
        <f t="shared" si="127"/>
        <v>4</v>
      </c>
      <c r="V869" s="38"/>
      <c r="W869" s="45">
        <v>46437</v>
      </c>
      <c r="X869" s="8">
        <f t="shared" si="131"/>
        <v>0</v>
      </c>
      <c r="Y869" s="38"/>
      <c r="Z869" s="243"/>
    </row>
    <row r="870" spans="1:26">
      <c r="A870" s="150">
        <v>45399</v>
      </c>
      <c r="B870" s="154" t="s">
        <v>110</v>
      </c>
      <c r="C870" s="45">
        <v>3370215</v>
      </c>
      <c r="D870" s="323">
        <f t="shared" si="123"/>
        <v>4738</v>
      </c>
      <c r="E870" s="38"/>
      <c r="F870" s="45">
        <v>8049337</v>
      </c>
      <c r="G870" s="274">
        <f t="shared" si="128"/>
        <v>10519</v>
      </c>
      <c r="H870" s="127">
        <f t="shared" si="129"/>
        <v>37.740331491712709</v>
      </c>
      <c r="I870" s="38"/>
      <c r="J870" s="45">
        <v>4521696</v>
      </c>
      <c r="K870" s="1">
        <f t="shared" si="122"/>
        <v>0</v>
      </c>
      <c r="L870" s="126">
        <f t="shared" si="124"/>
        <v>0</v>
      </c>
      <c r="M870" s="38"/>
      <c r="N870" s="45">
        <v>802513</v>
      </c>
      <c r="O870" s="8">
        <f t="shared" si="126"/>
        <v>629</v>
      </c>
      <c r="P870" s="9"/>
      <c r="Q870" s="42">
        <v>646428</v>
      </c>
      <c r="R870" s="44">
        <f t="shared" si="132"/>
        <v>165</v>
      </c>
      <c r="S870" s="358"/>
      <c r="T870" s="45">
        <v>18522</v>
      </c>
      <c r="U870" s="9">
        <f t="shared" si="127"/>
        <v>153</v>
      </c>
      <c r="V870" s="38" t="s">
        <v>127</v>
      </c>
      <c r="W870" s="45">
        <v>46437</v>
      </c>
      <c r="X870" s="8">
        <f t="shared" si="131"/>
        <v>1</v>
      </c>
      <c r="Y870" s="38"/>
      <c r="Z870" s="243"/>
    </row>
    <row r="871" spans="1:26">
      <c r="A871" s="150">
        <v>45400</v>
      </c>
      <c r="B871" s="154" t="s">
        <v>111</v>
      </c>
      <c r="C871" s="45">
        <v>3374953</v>
      </c>
      <c r="D871" s="323">
        <f t="shared" si="123"/>
        <v>4527</v>
      </c>
      <c r="E871" s="38"/>
      <c r="F871" s="45">
        <v>8059856</v>
      </c>
      <c r="G871" s="274">
        <f t="shared" si="128"/>
        <v>10226</v>
      </c>
      <c r="H871" s="127">
        <f t="shared" si="129"/>
        <v>36.348066298342545</v>
      </c>
      <c r="I871" s="38"/>
      <c r="J871" s="45">
        <v>4521696</v>
      </c>
      <c r="K871" s="1">
        <f t="shared" si="122"/>
        <v>8679</v>
      </c>
      <c r="L871" s="126">
        <f t="shared" si="124"/>
        <v>64.288888888888891</v>
      </c>
      <c r="M871" s="38"/>
      <c r="N871" s="45">
        <v>803142</v>
      </c>
      <c r="O871" s="8">
        <f t="shared" si="126"/>
        <v>1002</v>
      </c>
      <c r="P871" s="9"/>
      <c r="Q871" s="42">
        <v>646664</v>
      </c>
      <c r="R871" s="44">
        <f t="shared" si="132"/>
        <v>236</v>
      </c>
      <c r="S871" s="358"/>
      <c r="T871" s="45">
        <v>18675</v>
      </c>
      <c r="U871" s="9">
        <f t="shared" si="127"/>
        <v>408</v>
      </c>
      <c r="V871" s="38" t="s">
        <v>126</v>
      </c>
      <c r="W871" s="45">
        <v>46438</v>
      </c>
      <c r="X871" s="8">
        <f t="shared" si="131"/>
        <v>1</v>
      </c>
      <c r="Y871" s="38"/>
      <c r="Z871" s="243"/>
    </row>
    <row r="872" spans="1:26">
      <c r="A872" s="150">
        <v>45401</v>
      </c>
      <c r="B872" s="154" t="s">
        <v>106</v>
      </c>
      <c r="C872" s="45">
        <v>3379480</v>
      </c>
      <c r="D872" s="323">
        <f t="shared" si="123"/>
        <v>3752</v>
      </c>
      <c r="E872" s="38"/>
      <c r="F872" s="45">
        <v>8070082</v>
      </c>
      <c r="G872" s="274">
        <f t="shared" si="128"/>
        <v>14134</v>
      </c>
      <c r="H872" s="127">
        <f t="shared" si="129"/>
        <v>45.002762430939228</v>
      </c>
      <c r="I872" s="38"/>
      <c r="J872" s="45">
        <v>4530375</v>
      </c>
      <c r="K872" s="1">
        <f t="shared" si="122"/>
        <v>5457</v>
      </c>
      <c r="L872" s="126">
        <f t="shared" si="124"/>
        <v>40.422222222222224</v>
      </c>
      <c r="M872" s="38"/>
      <c r="N872" s="45">
        <v>804144</v>
      </c>
      <c r="O872" s="8">
        <f t="shared" si="126"/>
        <v>777</v>
      </c>
      <c r="P872" s="9"/>
      <c r="Q872" s="42">
        <v>646910</v>
      </c>
      <c r="R872" s="44">
        <f t="shared" si="132"/>
        <v>246</v>
      </c>
      <c r="S872" s="358"/>
      <c r="T872" s="45">
        <v>19083</v>
      </c>
      <c r="U872" s="9">
        <f t="shared" si="127"/>
        <v>6</v>
      </c>
      <c r="V872" s="38"/>
      <c r="W872" s="45">
        <v>46439</v>
      </c>
      <c r="X872" s="8">
        <f t="shared" si="131"/>
        <v>1</v>
      </c>
      <c r="Y872" s="38"/>
      <c r="Z872" s="243"/>
    </row>
    <row r="873" spans="1:26">
      <c r="A873" s="150">
        <v>45402</v>
      </c>
      <c r="B873" s="154" t="s">
        <v>107</v>
      </c>
      <c r="C873" s="45">
        <v>3383232</v>
      </c>
      <c r="D873" s="323">
        <f t="shared" si="123"/>
        <v>0</v>
      </c>
      <c r="E873" s="38"/>
      <c r="F873" s="45">
        <v>8084216</v>
      </c>
      <c r="G873" s="274">
        <f t="shared" si="128"/>
        <v>0</v>
      </c>
      <c r="H873" s="127">
        <f t="shared" si="129"/>
        <v>-4.4060773480662982</v>
      </c>
      <c r="I873" s="38"/>
      <c r="J873" s="45">
        <v>4535832</v>
      </c>
      <c r="K873" s="1">
        <f t="shared" si="122"/>
        <v>0</v>
      </c>
      <c r="L873" s="126">
        <f t="shared" si="124"/>
        <v>0</v>
      </c>
      <c r="M873" s="38"/>
      <c r="N873" s="45">
        <v>804921</v>
      </c>
      <c r="O873" s="8">
        <f t="shared" si="126"/>
        <v>797</v>
      </c>
      <c r="P873" s="9"/>
      <c r="Q873" s="42">
        <v>647256</v>
      </c>
      <c r="R873" s="44">
        <f t="shared" si="132"/>
        <v>346</v>
      </c>
      <c r="S873" s="358"/>
      <c r="T873" s="45">
        <v>19089</v>
      </c>
      <c r="U873" s="9">
        <f t="shared" si="127"/>
        <v>0</v>
      </c>
      <c r="V873" s="38"/>
      <c r="W873" s="45">
        <v>46440</v>
      </c>
      <c r="X873" s="8">
        <f t="shared" si="131"/>
        <v>0</v>
      </c>
      <c r="Y873" s="38"/>
      <c r="Z873" s="243"/>
    </row>
    <row r="874" spans="1:26">
      <c r="A874" s="150">
        <v>45403</v>
      </c>
      <c r="B874" s="154" t="s">
        <v>36</v>
      </c>
      <c r="C874" s="45">
        <v>3383232</v>
      </c>
      <c r="D874" s="323">
        <f t="shared" si="123"/>
        <v>0</v>
      </c>
      <c r="E874" s="38"/>
      <c r="F874" s="45">
        <v>8084216</v>
      </c>
      <c r="G874" s="274">
        <f t="shared" si="128"/>
        <v>0</v>
      </c>
      <c r="H874" s="127">
        <f t="shared" si="129"/>
        <v>-4.4060773480662982</v>
      </c>
      <c r="I874" s="38"/>
      <c r="J874" s="45">
        <v>4535832</v>
      </c>
      <c r="K874" s="1">
        <f t="shared" ref="K874:K942" si="133">IF(J875&gt;0,J875-J874," ")</f>
        <v>0</v>
      </c>
      <c r="L874" s="126">
        <f t="shared" si="124"/>
        <v>0</v>
      </c>
      <c r="M874" s="38"/>
      <c r="N874" s="45">
        <v>805718</v>
      </c>
      <c r="O874" s="8">
        <f t="shared" si="126"/>
        <v>0</v>
      </c>
      <c r="P874" s="9"/>
      <c r="Q874" s="42">
        <v>647256</v>
      </c>
      <c r="R874" s="44">
        <f t="shared" si="132"/>
        <v>0</v>
      </c>
      <c r="S874" s="358"/>
      <c r="T874" s="45">
        <v>19089</v>
      </c>
      <c r="U874" s="9">
        <f t="shared" si="127"/>
        <v>0</v>
      </c>
      <c r="V874" s="38"/>
      <c r="W874" s="45">
        <v>46440</v>
      </c>
      <c r="X874" s="8">
        <f t="shared" si="131"/>
        <v>0</v>
      </c>
      <c r="Y874" s="38"/>
      <c r="Z874" s="243"/>
    </row>
    <row r="875" spans="1:26">
      <c r="A875" s="150">
        <v>45404</v>
      </c>
      <c r="B875" s="154" t="s">
        <v>108</v>
      </c>
      <c r="C875" s="45">
        <v>3383232</v>
      </c>
      <c r="D875" s="323">
        <f t="shared" si="123"/>
        <v>4209</v>
      </c>
      <c r="E875" s="38"/>
      <c r="F875" s="45">
        <v>8084216</v>
      </c>
      <c r="G875" s="274">
        <f t="shared" si="128"/>
        <v>9768</v>
      </c>
      <c r="H875" s="127">
        <f t="shared" si="129"/>
        <v>34.204419889502759</v>
      </c>
      <c r="I875" s="38"/>
      <c r="J875" s="45">
        <v>4535832</v>
      </c>
      <c r="K875" s="1">
        <f t="shared" si="133"/>
        <v>5090</v>
      </c>
      <c r="L875" s="126">
        <f t="shared" si="124"/>
        <v>37.703703703703702</v>
      </c>
      <c r="M875" s="38"/>
      <c r="N875" s="45">
        <v>805718</v>
      </c>
      <c r="O875" s="8">
        <f t="shared" si="126"/>
        <v>641</v>
      </c>
      <c r="P875" s="9"/>
      <c r="Q875" s="42">
        <v>647256</v>
      </c>
      <c r="R875" s="44">
        <f t="shared" si="132"/>
        <v>0</v>
      </c>
      <c r="S875" s="358"/>
      <c r="T875" s="45">
        <v>19089</v>
      </c>
      <c r="U875" s="9">
        <f t="shared" si="127"/>
        <v>2</v>
      </c>
      <c r="V875" s="38"/>
      <c r="W875" s="45">
        <v>46440</v>
      </c>
      <c r="X875" s="8">
        <f t="shared" si="131"/>
        <v>2</v>
      </c>
      <c r="Y875" s="38"/>
      <c r="Z875" s="243"/>
    </row>
    <row r="876" spans="1:26">
      <c r="A876" s="150">
        <v>45405</v>
      </c>
      <c r="B876" s="154" t="s">
        <v>109</v>
      </c>
      <c r="C876" s="45">
        <v>3387441</v>
      </c>
      <c r="D876" s="323">
        <f t="shared" si="123"/>
        <v>4315</v>
      </c>
      <c r="E876" s="38"/>
      <c r="F876" s="45">
        <v>8093984</v>
      </c>
      <c r="G876" s="274">
        <f t="shared" si="128"/>
        <v>9768</v>
      </c>
      <c r="H876" s="127">
        <f t="shared" si="129"/>
        <v>34.497237569060772</v>
      </c>
      <c r="I876" s="38"/>
      <c r="J876" s="45">
        <v>4540922</v>
      </c>
      <c r="K876" s="1">
        <f t="shared" si="133"/>
        <v>10215</v>
      </c>
      <c r="L876" s="126">
        <f t="shared" si="124"/>
        <v>75.666666666666671</v>
      </c>
      <c r="M876" s="38"/>
      <c r="N876" s="45">
        <v>806359</v>
      </c>
      <c r="O876" s="8">
        <f t="shared" si="126"/>
        <v>800</v>
      </c>
      <c r="P876" s="9"/>
      <c r="Q876" s="42">
        <v>647429</v>
      </c>
      <c r="R876" s="44">
        <f t="shared" si="132"/>
        <v>173</v>
      </c>
      <c r="S876" s="358"/>
      <c r="T876" s="45">
        <v>19091</v>
      </c>
      <c r="U876" s="9">
        <f t="shared" si="127"/>
        <v>2</v>
      </c>
      <c r="V876" s="38"/>
      <c r="W876" s="45">
        <v>46442</v>
      </c>
      <c r="X876" s="8">
        <f t="shared" si="131"/>
        <v>0</v>
      </c>
      <c r="Y876" s="38"/>
      <c r="Z876" s="243"/>
    </row>
    <row r="877" spans="1:26">
      <c r="A877" s="150">
        <v>45406</v>
      </c>
      <c r="B877" s="154" t="s">
        <v>110</v>
      </c>
      <c r="C877" s="45">
        <v>3391756</v>
      </c>
      <c r="D877" s="323">
        <f t="shared" si="123"/>
        <v>4262</v>
      </c>
      <c r="E877" s="38"/>
      <c r="F877" s="45">
        <v>8103752</v>
      </c>
      <c r="G877" s="274">
        <f t="shared" si="128"/>
        <v>9745</v>
      </c>
      <c r="H877" s="127">
        <f t="shared" si="129"/>
        <v>34.287292817679557</v>
      </c>
      <c r="I877" s="38"/>
      <c r="J877" s="45">
        <v>4551137</v>
      </c>
      <c r="K877" s="1">
        <f t="shared" si="133"/>
        <v>0</v>
      </c>
      <c r="L877" s="126">
        <f t="shared" si="124"/>
        <v>0</v>
      </c>
      <c r="M877" s="38"/>
      <c r="N877" s="45">
        <v>807159</v>
      </c>
      <c r="O877" s="8">
        <f t="shared" si="126"/>
        <v>872</v>
      </c>
      <c r="P877" s="9"/>
      <c r="Q877" s="42">
        <v>647614</v>
      </c>
      <c r="R877" s="44">
        <f t="shared" si="132"/>
        <v>185</v>
      </c>
      <c r="S877" s="358"/>
      <c r="T877" s="45">
        <v>19093</v>
      </c>
      <c r="U877" s="9">
        <f t="shared" si="127"/>
        <v>2</v>
      </c>
      <c r="V877" s="38"/>
      <c r="W877" s="45">
        <v>46442</v>
      </c>
      <c r="X877" s="8">
        <f t="shared" si="131"/>
        <v>1</v>
      </c>
      <c r="Y877" s="38"/>
      <c r="Z877" s="243"/>
    </row>
    <row r="878" spans="1:26">
      <c r="A878" s="150">
        <v>45407</v>
      </c>
      <c r="B878" s="154" t="s">
        <v>111</v>
      </c>
      <c r="C878" s="45">
        <v>3396018</v>
      </c>
      <c r="D878" s="323">
        <f t="shared" si="123"/>
        <v>4298</v>
      </c>
      <c r="E878" s="38"/>
      <c r="F878" s="45">
        <v>8113497</v>
      </c>
      <c r="G878" s="274">
        <f t="shared" si="128"/>
        <v>9806</v>
      </c>
      <c r="H878" s="127">
        <f t="shared" si="129"/>
        <v>34.555248618784532</v>
      </c>
      <c r="I878" s="38"/>
      <c r="J878" s="45">
        <v>4551137</v>
      </c>
      <c r="K878" s="1">
        <f t="shared" si="133"/>
        <v>5477</v>
      </c>
      <c r="L878" s="126">
        <f t="shared" si="124"/>
        <v>40.57037037037037</v>
      </c>
      <c r="M878" s="38"/>
      <c r="N878" s="45">
        <v>808031</v>
      </c>
      <c r="O878" s="8">
        <f t="shared" si="126"/>
        <v>788</v>
      </c>
      <c r="P878" s="9"/>
      <c r="Q878" s="42">
        <v>647798</v>
      </c>
      <c r="R878" s="44">
        <f t="shared" si="132"/>
        <v>184</v>
      </c>
      <c r="S878" s="358"/>
      <c r="T878" s="45">
        <v>19095</v>
      </c>
      <c r="U878" s="9">
        <f t="shared" si="127"/>
        <v>3</v>
      </c>
      <c r="V878" s="38"/>
      <c r="W878" s="45">
        <v>46443</v>
      </c>
      <c r="X878" s="8">
        <f t="shared" si="131"/>
        <v>1</v>
      </c>
      <c r="Y878" s="38"/>
      <c r="Z878" s="243"/>
    </row>
    <row r="879" spans="1:26">
      <c r="A879" s="150">
        <v>45408</v>
      </c>
      <c r="B879" s="154" t="s">
        <v>106</v>
      </c>
      <c r="C879" s="45">
        <v>3400316</v>
      </c>
      <c r="D879" s="323">
        <f t="shared" si="123"/>
        <v>2697</v>
      </c>
      <c r="E879" s="38"/>
      <c r="F879" s="45">
        <v>8123303</v>
      </c>
      <c r="G879" s="274">
        <f t="shared" si="128"/>
        <v>13635</v>
      </c>
      <c r="H879" s="127">
        <f t="shared" si="129"/>
        <v>40.709944751381215</v>
      </c>
      <c r="I879" s="38"/>
      <c r="J879" s="45">
        <v>4556614</v>
      </c>
      <c r="K879" s="1">
        <f t="shared" si="133"/>
        <v>20207</v>
      </c>
      <c r="L879" s="126">
        <f t="shared" si="124"/>
        <v>149.68148148148148</v>
      </c>
      <c r="M879" s="38"/>
      <c r="N879" s="45">
        <v>808819</v>
      </c>
      <c r="O879" s="8">
        <f t="shared" si="126"/>
        <v>759</v>
      </c>
      <c r="P879" s="9"/>
      <c r="Q879" s="42">
        <v>648022</v>
      </c>
      <c r="R879" s="44">
        <f t="shared" si="132"/>
        <v>224</v>
      </c>
      <c r="S879" s="358"/>
      <c r="T879" s="45">
        <v>19098</v>
      </c>
      <c r="U879" s="9">
        <f t="shared" si="127"/>
        <v>7</v>
      </c>
      <c r="V879" s="38"/>
      <c r="W879" s="45">
        <v>46444</v>
      </c>
      <c r="X879" s="8">
        <f t="shared" si="131"/>
        <v>1</v>
      </c>
      <c r="Y879" s="38"/>
      <c r="Z879" s="243"/>
    </row>
    <row r="880" spans="1:26">
      <c r="A880" s="150">
        <v>45409</v>
      </c>
      <c r="B880" s="154" t="s">
        <v>107</v>
      </c>
      <c r="C880" s="45">
        <v>3403013</v>
      </c>
      <c r="D880" s="323">
        <f t="shared" si="123"/>
        <v>0</v>
      </c>
      <c r="E880" s="38"/>
      <c r="F880" s="45">
        <v>8136938</v>
      </c>
      <c r="G880" s="274">
        <f t="shared" si="128"/>
        <v>0</v>
      </c>
      <c r="H880" s="127">
        <f t="shared" si="129"/>
        <v>-4.4060773480662982</v>
      </c>
      <c r="I880" s="38"/>
      <c r="J880" s="45">
        <v>4576821</v>
      </c>
      <c r="K880" s="1">
        <f t="shared" si="133"/>
        <v>0</v>
      </c>
      <c r="L880" s="126">
        <f t="shared" si="124"/>
        <v>0</v>
      </c>
      <c r="M880" s="38"/>
      <c r="N880" s="45">
        <v>809578</v>
      </c>
      <c r="O880" s="8">
        <f t="shared" si="126"/>
        <v>1074</v>
      </c>
      <c r="P880" s="9"/>
      <c r="Q880" s="42">
        <v>648542</v>
      </c>
      <c r="R880" s="44">
        <f t="shared" si="132"/>
        <v>520</v>
      </c>
      <c r="S880" s="358"/>
      <c r="T880" s="45">
        <v>19105</v>
      </c>
      <c r="U880" s="9">
        <f t="shared" si="127"/>
        <v>0</v>
      </c>
      <c r="V880" s="38"/>
      <c r="W880" s="45">
        <v>46445</v>
      </c>
      <c r="X880" s="8">
        <f t="shared" si="131"/>
        <v>0</v>
      </c>
      <c r="Y880" s="38"/>
      <c r="Z880" s="243"/>
    </row>
    <row r="881" spans="1:26">
      <c r="A881" s="150">
        <v>45410</v>
      </c>
      <c r="B881" s="154" t="s">
        <v>36</v>
      </c>
      <c r="C881" s="45">
        <v>3403013</v>
      </c>
      <c r="D881" s="323">
        <f t="shared" si="123"/>
        <v>0</v>
      </c>
      <c r="E881" s="38"/>
      <c r="F881" s="45">
        <v>8136938</v>
      </c>
      <c r="G881" s="274">
        <f t="shared" si="128"/>
        <v>0</v>
      </c>
      <c r="H881" s="127">
        <f t="shared" si="129"/>
        <v>-4.4060773480662982</v>
      </c>
      <c r="I881" s="38"/>
      <c r="J881" s="45">
        <v>4576821</v>
      </c>
      <c r="K881" s="1">
        <f t="shared" si="133"/>
        <v>0</v>
      </c>
      <c r="L881" s="126">
        <f t="shared" si="124"/>
        <v>0</v>
      </c>
      <c r="M881" s="38"/>
      <c r="N881" s="45">
        <v>810652</v>
      </c>
      <c r="O881" s="8">
        <f t="shared" si="126"/>
        <v>0</v>
      </c>
      <c r="P881" s="9"/>
      <c r="Q881" s="42">
        <v>648542</v>
      </c>
      <c r="R881" s="44">
        <f t="shared" si="132"/>
        <v>0</v>
      </c>
      <c r="S881" s="358"/>
      <c r="T881" s="45">
        <v>19105</v>
      </c>
      <c r="U881" s="9">
        <f t="shared" si="127"/>
        <v>0</v>
      </c>
      <c r="V881" s="38"/>
      <c r="W881" s="45">
        <v>46445</v>
      </c>
      <c r="X881" s="8">
        <f t="shared" si="131"/>
        <v>0</v>
      </c>
      <c r="Y881" s="38"/>
      <c r="Z881" s="243"/>
    </row>
    <row r="882" spans="1:26">
      <c r="A882" s="150">
        <v>45411</v>
      </c>
      <c r="B882" s="154" t="s">
        <v>108</v>
      </c>
      <c r="C882" s="45">
        <v>3403013</v>
      </c>
      <c r="D882" s="323">
        <f t="shared" si="123"/>
        <v>9023</v>
      </c>
      <c r="E882" s="38"/>
      <c r="F882" s="45">
        <v>8136938</v>
      </c>
      <c r="G882" s="274">
        <f t="shared" si="128"/>
        <v>23151</v>
      </c>
      <c r="H882" s="127">
        <f t="shared" si="129"/>
        <v>84.472375690607734</v>
      </c>
      <c r="I882" s="38"/>
      <c r="J882" s="45">
        <v>4576821</v>
      </c>
      <c r="K882" s="1">
        <f t="shared" si="133"/>
        <v>0</v>
      </c>
      <c r="L882" s="126">
        <f t="shared" si="124"/>
        <v>0</v>
      </c>
      <c r="M882" s="38"/>
      <c r="N882" s="45">
        <v>810652</v>
      </c>
      <c r="O882" s="8">
        <f t="shared" si="126"/>
        <v>861</v>
      </c>
      <c r="P882" s="9"/>
      <c r="Q882" s="42">
        <v>648542</v>
      </c>
      <c r="R882" s="44">
        <f t="shared" si="132"/>
        <v>0</v>
      </c>
      <c r="S882" s="358"/>
      <c r="T882" s="45">
        <v>19105</v>
      </c>
      <c r="U882" s="9">
        <f t="shared" si="127"/>
        <v>5</v>
      </c>
      <c r="V882" s="38"/>
      <c r="W882" s="45">
        <v>46445</v>
      </c>
      <c r="X882" s="8">
        <f t="shared" si="131"/>
        <v>0</v>
      </c>
      <c r="Y882" s="38"/>
      <c r="Z882" s="243"/>
    </row>
    <row r="883" spans="1:26">
      <c r="A883" s="150">
        <v>45412</v>
      </c>
      <c r="B883" s="154" t="s">
        <v>109</v>
      </c>
      <c r="C883" s="45">
        <v>3412036</v>
      </c>
      <c r="D883" s="323">
        <f t="shared" si="123"/>
        <v>0</v>
      </c>
      <c r="E883" s="38"/>
      <c r="F883" s="45">
        <v>8160089</v>
      </c>
      <c r="G883" s="274">
        <f t="shared" si="128"/>
        <v>0</v>
      </c>
      <c r="H883" s="127">
        <f t="shared" si="129"/>
        <v>-4.4060773480662982</v>
      </c>
      <c r="I883" s="38"/>
      <c r="J883" s="45">
        <v>4576821</v>
      </c>
      <c r="K883" s="1">
        <f t="shared" si="133"/>
        <v>0</v>
      </c>
      <c r="L883" s="126">
        <f t="shared" si="124"/>
        <v>0</v>
      </c>
      <c r="M883" s="38"/>
      <c r="N883" s="45">
        <v>811513</v>
      </c>
      <c r="O883" s="8">
        <f t="shared" si="126"/>
        <v>1138</v>
      </c>
      <c r="P883" s="9"/>
      <c r="Q883" s="42">
        <v>648716</v>
      </c>
      <c r="R883" s="44">
        <f t="shared" si="132"/>
        <v>174</v>
      </c>
      <c r="S883" s="358"/>
      <c r="T883" s="45">
        <v>19110</v>
      </c>
      <c r="U883" s="9">
        <f t="shared" si="127"/>
        <v>34</v>
      </c>
      <c r="V883" s="38"/>
      <c r="W883" s="45">
        <v>46445</v>
      </c>
      <c r="X883" s="8">
        <f t="shared" si="131"/>
        <v>2</v>
      </c>
      <c r="Y883" s="38"/>
      <c r="Z883" s="243"/>
    </row>
    <row r="884" spans="1:26">
      <c r="A884" s="150">
        <v>45413</v>
      </c>
      <c r="B884" s="154" t="s">
        <v>110</v>
      </c>
      <c r="C884" s="45">
        <v>3412036</v>
      </c>
      <c r="D884" s="323">
        <f t="shared" si="123"/>
        <v>0</v>
      </c>
      <c r="E884" s="38"/>
      <c r="F884" s="45">
        <v>8160089</v>
      </c>
      <c r="G884" s="274">
        <f t="shared" si="128"/>
        <v>0</v>
      </c>
      <c r="H884" s="127">
        <f t="shared" si="129"/>
        <v>-4.4060773480662982</v>
      </c>
      <c r="I884" s="38"/>
      <c r="J884" s="45">
        <v>4576821</v>
      </c>
      <c r="K884" s="1">
        <f t="shared" si="133"/>
        <v>0</v>
      </c>
      <c r="L884" s="126">
        <f t="shared" si="124"/>
        <v>0</v>
      </c>
      <c r="M884" s="38"/>
      <c r="N884" s="45">
        <v>812651</v>
      </c>
      <c r="O884" s="8">
        <f t="shared" si="126"/>
        <v>0</v>
      </c>
      <c r="P884" s="9"/>
      <c r="Q884" s="42">
        <v>649027</v>
      </c>
      <c r="R884" s="44">
        <f t="shared" si="132"/>
        <v>311</v>
      </c>
      <c r="S884" s="358"/>
      <c r="T884" s="45">
        <v>19144</v>
      </c>
      <c r="U884" s="9">
        <f t="shared" si="127"/>
        <v>0</v>
      </c>
      <c r="V884" s="38"/>
      <c r="W884" s="45">
        <v>46447</v>
      </c>
      <c r="X884" s="8">
        <f t="shared" si="131"/>
        <v>0</v>
      </c>
      <c r="Y884" s="38"/>
      <c r="Z884" s="243"/>
    </row>
    <row r="885" spans="1:26">
      <c r="A885" s="150">
        <v>45414</v>
      </c>
      <c r="B885" s="154" t="s">
        <v>111</v>
      </c>
      <c r="C885" s="45">
        <v>3412036</v>
      </c>
      <c r="D885" s="323">
        <f t="shared" si="123"/>
        <v>3931</v>
      </c>
      <c r="E885" s="38"/>
      <c r="F885" s="45">
        <v>8160089</v>
      </c>
      <c r="G885" s="274">
        <f t="shared" si="128"/>
        <v>9874</v>
      </c>
      <c r="H885" s="127">
        <f t="shared" si="129"/>
        <v>33.729281767955804</v>
      </c>
      <c r="I885" s="38"/>
      <c r="J885" s="45">
        <v>4576821</v>
      </c>
      <c r="K885" s="1">
        <f t="shared" si="133"/>
        <v>7424</v>
      </c>
      <c r="L885" s="126">
        <f t="shared" si="124"/>
        <v>54.992592592592594</v>
      </c>
      <c r="M885" s="38"/>
      <c r="N885" s="45">
        <v>812651</v>
      </c>
      <c r="O885" s="8">
        <f t="shared" si="126"/>
        <v>1397</v>
      </c>
      <c r="P885" s="9"/>
      <c r="Q885" s="42">
        <v>649027</v>
      </c>
      <c r="R885" s="44">
        <f t="shared" si="132"/>
        <v>0</v>
      </c>
      <c r="S885" s="358"/>
      <c r="T885" s="45">
        <v>19144</v>
      </c>
      <c r="U885" s="9">
        <f t="shared" si="127"/>
        <v>0</v>
      </c>
      <c r="V885" s="38"/>
      <c r="W885" s="45">
        <v>46447</v>
      </c>
      <c r="X885" s="8">
        <f t="shared" si="131"/>
        <v>0</v>
      </c>
      <c r="Y885" s="38"/>
      <c r="Z885" s="243"/>
    </row>
    <row r="886" spans="1:26">
      <c r="A886" s="150">
        <v>45415</v>
      </c>
      <c r="B886" s="154" t="s">
        <v>106</v>
      </c>
      <c r="C886" s="45">
        <v>3415967</v>
      </c>
      <c r="D886" s="323">
        <f t="shared" si="123"/>
        <v>4206</v>
      </c>
      <c r="E886" s="38"/>
      <c r="F886" s="45">
        <v>8169963</v>
      </c>
      <c r="G886" s="274">
        <f t="shared" si="128"/>
        <v>15805</v>
      </c>
      <c r="H886" s="127">
        <f t="shared" si="129"/>
        <v>50.872928176795583</v>
      </c>
      <c r="I886" s="38"/>
      <c r="J886" s="45">
        <v>4584245</v>
      </c>
      <c r="K886" s="1">
        <f t="shared" si="133"/>
        <v>8670</v>
      </c>
      <c r="L886" s="126">
        <f t="shared" si="124"/>
        <v>64.222222222222229</v>
      </c>
      <c r="M886" s="38"/>
      <c r="N886" s="45">
        <v>814048</v>
      </c>
      <c r="O886" s="8">
        <f t="shared" si="126"/>
        <v>707</v>
      </c>
      <c r="P886" s="9"/>
      <c r="Q886" s="42">
        <v>649198</v>
      </c>
      <c r="R886" s="44">
        <f t="shared" si="132"/>
        <v>171</v>
      </c>
      <c r="S886" s="358"/>
      <c r="T886" s="45">
        <v>19144</v>
      </c>
      <c r="U886" s="9">
        <f t="shared" si="127"/>
        <v>0</v>
      </c>
      <c r="V886" s="38"/>
      <c r="W886" s="45">
        <v>46447</v>
      </c>
      <c r="X886" s="8">
        <f t="shared" si="131"/>
        <v>0</v>
      </c>
      <c r="Y886" s="38"/>
      <c r="Z886" s="243"/>
    </row>
    <row r="887" spans="1:26">
      <c r="A887" s="150">
        <v>45416</v>
      </c>
      <c r="B887" s="154" t="s">
        <v>107</v>
      </c>
      <c r="C887" s="45">
        <v>3420173</v>
      </c>
      <c r="D887" s="323">
        <f t="shared" ref="D887:D950" si="134">IF(C888&gt;0,C888-C887," ")</f>
        <v>0</v>
      </c>
      <c r="E887" s="38"/>
      <c r="F887" s="45">
        <v>8185768</v>
      </c>
      <c r="G887" s="274">
        <f t="shared" si="128"/>
        <v>0</v>
      </c>
      <c r="H887" s="127">
        <f t="shared" si="129"/>
        <v>-4.4060773480662982</v>
      </c>
      <c r="I887" s="38"/>
      <c r="J887" s="45">
        <v>4592915</v>
      </c>
      <c r="K887" s="1">
        <f t="shared" si="133"/>
        <v>0</v>
      </c>
      <c r="L887" s="126">
        <f t="shared" ref="L887:L950" si="135">K887/135</f>
        <v>0</v>
      </c>
      <c r="M887" s="38"/>
      <c r="N887" s="45">
        <v>814755</v>
      </c>
      <c r="O887" s="8">
        <f t="shared" si="126"/>
        <v>746</v>
      </c>
      <c r="P887" s="9"/>
      <c r="Q887" s="42">
        <v>649658</v>
      </c>
      <c r="R887" s="44">
        <f t="shared" si="132"/>
        <v>460</v>
      </c>
      <c r="S887" s="358"/>
      <c r="T887" s="45">
        <v>19144</v>
      </c>
      <c r="U887" s="9">
        <f t="shared" si="127"/>
        <v>0</v>
      </c>
      <c r="V887" s="38"/>
      <c r="W887" s="45">
        <v>46447</v>
      </c>
      <c r="X887" s="8">
        <f t="shared" si="131"/>
        <v>0</v>
      </c>
      <c r="Y887" s="38"/>
      <c r="Z887" s="243"/>
    </row>
    <row r="888" spans="1:26">
      <c r="A888" s="150">
        <v>45417</v>
      </c>
      <c r="B888" s="154" t="s">
        <v>36</v>
      </c>
      <c r="C888" s="45">
        <v>3420173</v>
      </c>
      <c r="D888" s="323">
        <f t="shared" si="134"/>
        <v>0</v>
      </c>
      <c r="E888" s="38"/>
      <c r="F888" s="45">
        <v>8185768</v>
      </c>
      <c r="G888" s="274">
        <f t="shared" si="128"/>
        <v>0</v>
      </c>
      <c r="H888" s="127">
        <f t="shared" si="129"/>
        <v>-4.4060773480662982</v>
      </c>
      <c r="I888" s="38"/>
      <c r="J888" s="45">
        <v>4592915</v>
      </c>
      <c r="K888" s="1">
        <f t="shared" si="133"/>
        <v>0</v>
      </c>
      <c r="L888" s="126">
        <f t="shared" si="135"/>
        <v>0</v>
      </c>
      <c r="M888" s="38"/>
      <c r="N888" s="45">
        <v>815501</v>
      </c>
      <c r="O888" s="8">
        <f t="shared" si="126"/>
        <v>0</v>
      </c>
      <c r="P888" s="9"/>
      <c r="Q888" s="42">
        <v>649658</v>
      </c>
      <c r="R888" s="44">
        <f t="shared" si="132"/>
        <v>0</v>
      </c>
      <c r="S888" s="358"/>
      <c r="T888" s="45">
        <v>19144</v>
      </c>
      <c r="U888" s="9">
        <f t="shared" si="127"/>
        <v>0</v>
      </c>
      <c r="V888" s="38"/>
      <c r="W888" s="45">
        <v>46447</v>
      </c>
      <c r="X888" s="8">
        <f t="shared" si="131"/>
        <v>0</v>
      </c>
      <c r="Y888" s="38"/>
      <c r="Z888" s="243"/>
    </row>
    <row r="889" spans="1:26">
      <c r="A889" s="150">
        <v>45418</v>
      </c>
      <c r="B889" s="154" t="s">
        <v>108</v>
      </c>
      <c r="C889" s="45">
        <v>3420173</v>
      </c>
      <c r="D889" s="323">
        <f>IF(C890&gt;0,C890-C889," ")</f>
        <v>4409</v>
      </c>
      <c r="E889" s="38"/>
      <c r="F889" s="45">
        <v>8185768</v>
      </c>
      <c r="G889" s="274">
        <f t="shared" si="128"/>
        <v>10104</v>
      </c>
      <c r="H889" s="127">
        <f t="shared" si="129"/>
        <v>35.685082872928177</v>
      </c>
      <c r="I889" s="38"/>
      <c r="J889" s="45">
        <v>4592915</v>
      </c>
      <c r="K889" s="1">
        <f t="shared" si="133"/>
        <v>8842</v>
      </c>
      <c r="L889" s="126">
        <f t="shared" si="135"/>
        <v>65.496296296296293</v>
      </c>
      <c r="M889" s="38"/>
      <c r="N889" s="45">
        <v>815501</v>
      </c>
      <c r="O889" s="8">
        <f>N890-N889</f>
        <v>797</v>
      </c>
      <c r="P889" s="9">
        <v>20</v>
      </c>
      <c r="Q889" s="42">
        <v>649658</v>
      </c>
      <c r="R889" s="44">
        <f>Q889-Q888</f>
        <v>0</v>
      </c>
      <c r="S889" s="358"/>
      <c r="T889" s="45">
        <v>19144</v>
      </c>
      <c r="U889" s="9">
        <f t="shared" si="127"/>
        <v>6</v>
      </c>
      <c r="V889" s="38"/>
      <c r="W889" s="45">
        <v>46447</v>
      </c>
      <c r="X889" s="8">
        <f t="shared" si="131"/>
        <v>0</v>
      </c>
      <c r="Y889" s="38"/>
      <c r="Z889" s="243"/>
    </row>
    <row r="890" spans="1:26">
      <c r="A890" s="150">
        <v>45419</v>
      </c>
      <c r="B890" s="154" t="s">
        <v>109</v>
      </c>
      <c r="C890" s="45">
        <v>3424582</v>
      </c>
      <c r="D890" s="323">
        <f t="shared" si="134"/>
        <v>4420</v>
      </c>
      <c r="E890" s="38"/>
      <c r="F890" s="45">
        <v>8195872</v>
      </c>
      <c r="G890" s="274">
        <f t="shared" si="128"/>
        <v>10151</v>
      </c>
      <c r="H890" s="127">
        <f t="shared" si="129"/>
        <v>35.845303867403317</v>
      </c>
      <c r="I890" s="38"/>
      <c r="J890" s="45">
        <v>4601757</v>
      </c>
      <c r="K890" s="1">
        <f t="shared" si="133"/>
        <v>6400</v>
      </c>
      <c r="L890" s="126">
        <f t="shared" si="135"/>
        <v>47.407407407407405</v>
      </c>
      <c r="M890" s="38"/>
      <c r="N890" s="42">
        <v>816298</v>
      </c>
      <c r="O890" s="3">
        <f>N891-N890</f>
        <v>783</v>
      </c>
      <c r="P890" s="358"/>
      <c r="Q890" s="42">
        <v>649847</v>
      </c>
      <c r="R890" s="44">
        <f t="shared" ref="R890:R955" si="136">Q890-Q889</f>
        <v>189</v>
      </c>
      <c r="S890" s="358"/>
      <c r="T890" s="45">
        <v>19150</v>
      </c>
      <c r="U890" s="9">
        <f t="shared" si="127"/>
        <v>2</v>
      </c>
      <c r="V890" s="38"/>
      <c r="W890" s="45">
        <v>46447</v>
      </c>
      <c r="X890" s="8">
        <f t="shared" si="131"/>
        <v>1</v>
      </c>
      <c r="Y890" s="38"/>
      <c r="Z890" s="243"/>
    </row>
    <row r="891" spans="1:26">
      <c r="A891" s="150">
        <v>45420</v>
      </c>
      <c r="B891" s="154" t="s">
        <v>110</v>
      </c>
      <c r="C891" s="45">
        <v>3429002</v>
      </c>
      <c r="D891" s="323">
        <f t="shared" si="134"/>
        <v>4580</v>
      </c>
      <c r="E891" s="38"/>
      <c r="F891" s="45">
        <v>8206023</v>
      </c>
      <c r="G891" s="274">
        <f t="shared" si="128"/>
        <v>10090</v>
      </c>
      <c r="H891" s="127">
        <f t="shared" si="129"/>
        <v>36.118784530386741</v>
      </c>
      <c r="I891" s="38"/>
      <c r="J891" s="45">
        <v>4608157</v>
      </c>
      <c r="K891" s="1">
        <f t="shared" si="133"/>
        <v>7983</v>
      </c>
      <c r="L891" s="126">
        <f t="shared" si="135"/>
        <v>59.133333333333333</v>
      </c>
      <c r="M891" s="38"/>
      <c r="N891" s="42">
        <v>817081</v>
      </c>
      <c r="O891" s="3">
        <f>N892-N891</f>
        <v>833</v>
      </c>
      <c r="P891" s="358"/>
      <c r="Q891" s="42">
        <v>650026</v>
      </c>
      <c r="R891" s="44">
        <f t="shared" si="136"/>
        <v>179</v>
      </c>
      <c r="S891" s="358"/>
      <c r="T891" s="45">
        <v>19152</v>
      </c>
      <c r="U891" s="9">
        <f t="shared" si="127"/>
        <v>2</v>
      </c>
      <c r="V891" s="38"/>
      <c r="W891" s="45">
        <v>46448</v>
      </c>
      <c r="X891" s="8">
        <f t="shared" si="131"/>
        <v>0</v>
      </c>
      <c r="Y891" s="38"/>
      <c r="Z891" s="243"/>
    </row>
    <row r="892" spans="1:26">
      <c r="A892" s="150">
        <v>45421</v>
      </c>
      <c r="B892" s="154" t="s">
        <v>111</v>
      </c>
      <c r="C892" s="45">
        <v>3433582</v>
      </c>
      <c r="D892" s="323">
        <f t="shared" si="134"/>
        <v>4425</v>
      </c>
      <c r="E892" s="38"/>
      <c r="F892" s="45">
        <v>8216113</v>
      </c>
      <c r="G892" s="274">
        <f t="shared" si="128"/>
        <v>9652</v>
      </c>
      <c r="H892" s="127">
        <f t="shared" si="129"/>
        <v>34.480662983425411</v>
      </c>
      <c r="I892" s="38"/>
      <c r="J892" s="45">
        <v>4616140</v>
      </c>
      <c r="K892" s="1">
        <f t="shared" si="133"/>
        <v>5326</v>
      </c>
      <c r="L892" s="126">
        <f t="shared" si="135"/>
        <v>39.451851851851849</v>
      </c>
      <c r="M892" s="38"/>
      <c r="N892" s="42">
        <v>817914</v>
      </c>
      <c r="O892" s="3">
        <f>N893-N892</f>
        <v>895</v>
      </c>
      <c r="P892" s="358"/>
      <c r="Q892" s="42">
        <v>650204</v>
      </c>
      <c r="R892" s="44">
        <f t="shared" si="136"/>
        <v>178</v>
      </c>
      <c r="S892" s="358"/>
      <c r="T892" s="45">
        <v>19154</v>
      </c>
      <c r="U892" s="9">
        <f t="shared" si="127"/>
        <v>66</v>
      </c>
      <c r="V892" s="38"/>
      <c r="W892" s="45">
        <v>46448</v>
      </c>
      <c r="X892" s="8">
        <f t="shared" si="131"/>
        <v>0</v>
      </c>
      <c r="Y892" s="38"/>
      <c r="Z892" s="243"/>
    </row>
    <row r="893" spans="1:26">
      <c r="A893" s="150">
        <v>45422</v>
      </c>
      <c r="B893" s="154" t="s">
        <v>106</v>
      </c>
      <c r="C893" s="45">
        <v>3438007</v>
      </c>
      <c r="D893" s="323">
        <f t="shared" si="134"/>
        <v>4195</v>
      </c>
      <c r="E893" s="38"/>
      <c r="F893" s="45">
        <v>8225765</v>
      </c>
      <c r="G893" s="274">
        <f t="shared" si="128"/>
        <v>10813</v>
      </c>
      <c r="H893" s="127">
        <f>(G893+D893-1595)/362</f>
        <v>37.052486187845304</v>
      </c>
      <c r="I893" s="38"/>
      <c r="J893" s="45">
        <v>4621466</v>
      </c>
      <c r="K893" s="1">
        <f t="shared" si="133"/>
        <v>11336</v>
      </c>
      <c r="L893" s="126">
        <f t="shared" si="135"/>
        <v>83.970370370370375</v>
      </c>
      <c r="M893" s="38"/>
      <c r="N893" s="42">
        <v>818809</v>
      </c>
      <c r="O893" s="3">
        <f>N894-N893</f>
        <v>770</v>
      </c>
      <c r="P893" s="358"/>
      <c r="Q893" s="42">
        <v>650375</v>
      </c>
      <c r="R893" s="44">
        <f t="shared" si="136"/>
        <v>171</v>
      </c>
      <c r="S893" s="358"/>
      <c r="T893" s="45">
        <v>19220</v>
      </c>
      <c r="U893" s="9">
        <f t="shared" si="127"/>
        <v>312</v>
      </c>
      <c r="V893" s="38"/>
      <c r="W893" s="45">
        <v>46448</v>
      </c>
      <c r="X893" s="8">
        <f t="shared" si="131"/>
        <v>1</v>
      </c>
      <c r="Y893" s="38"/>
      <c r="Z893" s="243"/>
    </row>
    <row r="894" spans="1:26">
      <c r="A894" s="150">
        <v>45423</v>
      </c>
      <c r="B894" s="154" t="s">
        <v>107</v>
      </c>
      <c r="C894" s="45">
        <v>3442202</v>
      </c>
      <c r="D894" s="323">
        <f t="shared" si="134"/>
        <v>0</v>
      </c>
      <c r="E894" s="38">
        <v>93</v>
      </c>
      <c r="F894" s="45">
        <v>8236578</v>
      </c>
      <c r="G894" s="274">
        <f t="shared" si="128"/>
        <v>0</v>
      </c>
      <c r="H894" s="127">
        <f t="shared" si="129"/>
        <v>-4.4060773480662982</v>
      </c>
      <c r="I894" s="38">
        <v>242</v>
      </c>
      <c r="J894" s="45">
        <v>4632802</v>
      </c>
      <c r="K894" s="1">
        <f t="shared" si="133"/>
        <v>0</v>
      </c>
      <c r="L894" s="126">
        <f t="shared" si="135"/>
        <v>0</v>
      </c>
      <c r="M894" s="38">
        <v>140</v>
      </c>
      <c r="N894" s="42">
        <v>819579</v>
      </c>
      <c r="O894" s="3">
        <f t="shared" ref="O894:O957" si="137">N895-N894</f>
        <v>688</v>
      </c>
      <c r="P894" s="358"/>
      <c r="Q894" s="42">
        <v>650817</v>
      </c>
      <c r="R894" s="44">
        <f t="shared" si="136"/>
        <v>442</v>
      </c>
      <c r="S894" s="358"/>
      <c r="T894" s="45">
        <v>19532</v>
      </c>
      <c r="U894" s="9">
        <f t="shared" si="127"/>
        <v>0</v>
      </c>
      <c r="V894" s="38" t="s">
        <v>129</v>
      </c>
      <c r="W894" s="45">
        <v>46449</v>
      </c>
      <c r="X894" s="8">
        <f t="shared" si="131"/>
        <v>0</v>
      </c>
      <c r="Y894" s="38" t="s">
        <v>130</v>
      </c>
      <c r="Z894" s="243"/>
    </row>
    <row r="895" spans="1:26">
      <c r="A895" s="150">
        <v>45424</v>
      </c>
      <c r="B895" s="154" t="s">
        <v>36</v>
      </c>
      <c r="C895" s="42">
        <v>3442202</v>
      </c>
      <c r="D895" s="315">
        <f t="shared" si="134"/>
        <v>0</v>
      </c>
      <c r="E895" s="41"/>
      <c r="F895" s="42">
        <v>8236578</v>
      </c>
      <c r="G895" s="255">
        <f t="shared" si="128"/>
        <v>0</v>
      </c>
      <c r="H895" s="125">
        <f t="shared" si="129"/>
        <v>-4.4060773480662982</v>
      </c>
      <c r="I895" s="41"/>
      <c r="J895" s="42">
        <v>4632802</v>
      </c>
      <c r="K895" s="85">
        <f t="shared" si="133"/>
        <v>0</v>
      </c>
      <c r="L895" s="124">
        <f t="shared" si="135"/>
        <v>0</v>
      </c>
      <c r="M895" s="41"/>
      <c r="N895" s="42">
        <v>820267</v>
      </c>
      <c r="O895" s="3">
        <f t="shared" si="137"/>
        <v>0</v>
      </c>
      <c r="P895" s="358"/>
      <c r="Q895" s="42">
        <v>650817</v>
      </c>
      <c r="R895" s="44">
        <f t="shared" si="136"/>
        <v>0</v>
      </c>
      <c r="S895" s="358"/>
      <c r="T895" s="42">
        <v>19532</v>
      </c>
      <c r="U895" s="44">
        <f t="shared" si="127"/>
        <v>0</v>
      </c>
      <c r="V895" s="41"/>
      <c r="W895" s="42">
        <v>46449</v>
      </c>
      <c r="X895" s="74">
        <f t="shared" si="131"/>
        <v>0</v>
      </c>
      <c r="Y895" s="41"/>
      <c r="Z895" s="243"/>
    </row>
    <row r="896" spans="1:26">
      <c r="A896" s="150">
        <v>45425</v>
      </c>
      <c r="B896" s="154" t="s">
        <v>108</v>
      </c>
      <c r="C896" s="42">
        <v>3442202</v>
      </c>
      <c r="D896" s="315">
        <f t="shared" si="134"/>
        <v>3318</v>
      </c>
      <c r="E896" s="41"/>
      <c r="F896" s="42">
        <v>8236578</v>
      </c>
      <c r="G896" s="255">
        <f t="shared" si="128"/>
        <v>9568</v>
      </c>
      <c r="H896" s="125">
        <f t="shared" si="129"/>
        <v>31.19060773480663</v>
      </c>
      <c r="I896" s="41"/>
      <c r="J896" s="42">
        <v>4632802</v>
      </c>
      <c r="K896" s="85">
        <f t="shared" si="133"/>
        <v>7242</v>
      </c>
      <c r="L896" s="124">
        <f t="shared" si="135"/>
        <v>53.644444444444446</v>
      </c>
      <c r="M896" s="41"/>
      <c r="N896" s="42">
        <v>820267</v>
      </c>
      <c r="O896" s="3">
        <f t="shared" si="137"/>
        <v>733</v>
      </c>
      <c r="P896" s="358"/>
      <c r="Q896" s="42">
        <v>650817</v>
      </c>
      <c r="R896" s="44">
        <f t="shared" si="136"/>
        <v>0</v>
      </c>
      <c r="S896" s="358"/>
      <c r="T896" s="42">
        <v>19532</v>
      </c>
      <c r="U896" s="44">
        <f t="shared" si="127"/>
        <v>151</v>
      </c>
      <c r="V896" s="41" t="s">
        <v>128</v>
      </c>
      <c r="W896" s="42">
        <v>46449</v>
      </c>
      <c r="X896" s="74">
        <f t="shared" si="131"/>
        <v>2</v>
      </c>
      <c r="Y896" s="41"/>
      <c r="Z896" s="243"/>
    </row>
    <row r="897" spans="1:26">
      <c r="A897" s="150">
        <v>45426</v>
      </c>
      <c r="B897" s="154" t="s">
        <v>109</v>
      </c>
      <c r="C897" s="42">
        <v>3445520</v>
      </c>
      <c r="D897" s="315">
        <f>IF(C898&gt;0,C898-C897," ")</f>
        <v>3357</v>
      </c>
      <c r="E897" s="41"/>
      <c r="F897" s="42">
        <v>8246146</v>
      </c>
      <c r="G897" s="255">
        <f t="shared" si="128"/>
        <v>9478</v>
      </c>
      <c r="H897" s="125">
        <f>(G897+D897-1595)/362</f>
        <v>31.049723756906076</v>
      </c>
      <c r="I897" s="41"/>
      <c r="J897" s="42">
        <v>4640044</v>
      </c>
      <c r="K897" s="85">
        <f t="shared" si="133"/>
        <v>5596</v>
      </c>
      <c r="L897" s="124">
        <f t="shared" si="135"/>
        <v>41.451851851851849</v>
      </c>
      <c r="M897" s="41"/>
      <c r="N897" s="42">
        <v>821000</v>
      </c>
      <c r="O897" s="3">
        <f t="shared" si="137"/>
        <v>709</v>
      </c>
      <c r="P897" s="358"/>
      <c r="Q897" s="42">
        <v>650997</v>
      </c>
      <c r="R897" s="44">
        <f t="shared" si="136"/>
        <v>180</v>
      </c>
      <c r="S897" s="358"/>
      <c r="T897" s="42">
        <v>19683</v>
      </c>
      <c r="U897" s="44">
        <f t="shared" si="127"/>
        <v>152</v>
      </c>
      <c r="V897" s="41" t="s">
        <v>128</v>
      </c>
      <c r="W897" s="42">
        <v>46451</v>
      </c>
      <c r="X897" s="74">
        <f t="shared" si="131"/>
        <v>0</v>
      </c>
      <c r="Y897" s="41"/>
      <c r="Z897" s="243"/>
    </row>
    <row r="898" spans="1:26">
      <c r="A898" s="150">
        <v>45427</v>
      </c>
      <c r="B898" s="154" t="s">
        <v>110</v>
      </c>
      <c r="C898" s="42">
        <v>3448877</v>
      </c>
      <c r="D898" s="315">
        <f t="shared" si="134"/>
        <v>3963</v>
      </c>
      <c r="E898" s="41"/>
      <c r="F898" s="42">
        <v>8255624</v>
      </c>
      <c r="G898" s="255">
        <f t="shared" si="128"/>
        <v>8857</v>
      </c>
      <c r="H898" s="125">
        <f t="shared" si="129"/>
        <v>31.00828729281768</v>
      </c>
      <c r="I898" s="41"/>
      <c r="J898" s="42">
        <v>4645640</v>
      </c>
      <c r="K898" s="85">
        <f t="shared" si="133"/>
        <v>7642</v>
      </c>
      <c r="L898" s="124">
        <f t="shared" si="135"/>
        <v>56.607407407407408</v>
      </c>
      <c r="M898" s="41"/>
      <c r="N898" s="42">
        <v>821709</v>
      </c>
      <c r="O898" s="3">
        <f t="shared" si="137"/>
        <v>727</v>
      </c>
      <c r="P898" s="358"/>
      <c r="Q898" s="42">
        <v>651174</v>
      </c>
      <c r="R898" s="44">
        <f t="shared" si="136"/>
        <v>177</v>
      </c>
      <c r="S898" s="358"/>
      <c r="T898" s="42">
        <v>19835</v>
      </c>
      <c r="U898" s="44">
        <f t="shared" si="127"/>
        <v>2</v>
      </c>
      <c r="V898" s="41"/>
      <c r="W898" s="42">
        <v>46451</v>
      </c>
      <c r="X898" s="74">
        <f t="shared" si="131"/>
        <v>2</v>
      </c>
      <c r="Y898" s="41"/>
      <c r="Z898" s="243"/>
    </row>
    <row r="899" spans="1:26">
      <c r="A899" s="150">
        <v>45428</v>
      </c>
      <c r="B899" s="154" t="s">
        <v>111</v>
      </c>
      <c r="C899" s="42">
        <v>3452840</v>
      </c>
      <c r="D899" s="315">
        <f t="shared" si="134"/>
        <v>5374</v>
      </c>
      <c r="E899" s="41"/>
      <c r="F899" s="42">
        <v>8264481</v>
      </c>
      <c r="G899" s="255">
        <f t="shared" si="128"/>
        <v>11841</v>
      </c>
      <c r="H899" s="125">
        <f t="shared" si="129"/>
        <v>43.149171270718234</v>
      </c>
      <c r="I899" s="41"/>
      <c r="J899" s="42">
        <v>4653282</v>
      </c>
      <c r="K899" s="85">
        <f t="shared" si="133"/>
        <v>4682</v>
      </c>
      <c r="L899" s="124">
        <f t="shared" si="135"/>
        <v>34.681481481481484</v>
      </c>
      <c r="M899" s="41"/>
      <c r="N899" s="42">
        <v>822436</v>
      </c>
      <c r="O899" s="3">
        <f t="shared" si="137"/>
        <v>885</v>
      </c>
      <c r="P899" s="358"/>
      <c r="Q899" s="42">
        <v>651388</v>
      </c>
      <c r="R899" s="44">
        <f t="shared" si="136"/>
        <v>214</v>
      </c>
      <c r="S899" s="358"/>
      <c r="T899" s="42">
        <v>19837</v>
      </c>
      <c r="U899" s="44">
        <f t="shared" si="127"/>
        <v>135</v>
      </c>
      <c r="V899" s="41"/>
      <c r="W899" s="42">
        <v>46453</v>
      </c>
      <c r="X899" s="74">
        <f t="shared" si="131"/>
        <v>1</v>
      </c>
      <c r="Y899" s="41"/>
      <c r="Z899" s="243"/>
    </row>
    <row r="900" spans="1:26">
      <c r="A900" s="150">
        <v>45429</v>
      </c>
      <c r="B900" s="154" t="s">
        <v>106</v>
      </c>
      <c r="C900" s="42">
        <v>3458214</v>
      </c>
      <c r="D900" s="315">
        <f t="shared" si="134"/>
        <v>4359</v>
      </c>
      <c r="E900" s="41"/>
      <c r="F900" s="42">
        <v>8276322</v>
      </c>
      <c r="G900" s="255">
        <f t="shared" si="128"/>
        <v>10995</v>
      </c>
      <c r="H900" s="125">
        <f t="shared" si="129"/>
        <v>38.008287292817677</v>
      </c>
      <c r="I900" s="41"/>
      <c r="J900" s="42">
        <v>4657964</v>
      </c>
      <c r="K900" s="85">
        <f t="shared" si="133"/>
        <v>10545</v>
      </c>
      <c r="L900" s="124">
        <f t="shared" si="135"/>
        <v>78.111111111111114</v>
      </c>
      <c r="M900" s="41"/>
      <c r="N900" s="42">
        <v>823321</v>
      </c>
      <c r="O900" s="3">
        <f t="shared" si="137"/>
        <v>740</v>
      </c>
      <c r="P900" s="358"/>
      <c r="Q900" s="42">
        <v>651588</v>
      </c>
      <c r="R900" s="44">
        <f t="shared" si="136"/>
        <v>200</v>
      </c>
      <c r="S900" s="358"/>
      <c r="T900" s="42">
        <v>19972</v>
      </c>
      <c r="U900" s="44">
        <f t="shared" si="127"/>
        <v>205</v>
      </c>
      <c r="V900" s="41"/>
      <c r="W900" s="42">
        <v>46454</v>
      </c>
      <c r="X900" s="74">
        <f t="shared" si="131"/>
        <v>0</v>
      </c>
      <c r="Y900" s="41"/>
      <c r="Z900" s="243"/>
    </row>
    <row r="901" spans="1:26">
      <c r="A901" s="150">
        <v>45430</v>
      </c>
      <c r="B901" s="154" t="s">
        <v>107</v>
      </c>
      <c r="C901" s="42">
        <v>3462573</v>
      </c>
      <c r="D901" s="315">
        <f t="shared" si="134"/>
        <v>0</v>
      </c>
      <c r="E901" s="41"/>
      <c r="F901" s="42">
        <v>8287317</v>
      </c>
      <c r="G901" s="255">
        <f t="shared" si="128"/>
        <v>0</v>
      </c>
      <c r="H901" s="125">
        <f t="shared" si="129"/>
        <v>-4.4060773480662982</v>
      </c>
      <c r="I901" s="41"/>
      <c r="J901" s="42">
        <v>4668509</v>
      </c>
      <c r="K901" s="85">
        <f t="shared" si="133"/>
        <v>0</v>
      </c>
      <c r="L901" s="124">
        <f t="shared" si="135"/>
        <v>0</v>
      </c>
      <c r="M901" s="41"/>
      <c r="N901" s="42">
        <v>824061</v>
      </c>
      <c r="O901" s="3">
        <f t="shared" si="137"/>
        <v>0</v>
      </c>
      <c r="P901" s="358"/>
      <c r="Q901" s="42">
        <v>652140</v>
      </c>
      <c r="R901" s="44">
        <f t="shared" si="136"/>
        <v>552</v>
      </c>
      <c r="S901" s="358"/>
      <c r="T901" s="42">
        <v>20177</v>
      </c>
      <c r="U901" s="44">
        <f t="shared" si="127"/>
        <v>0</v>
      </c>
      <c r="V901" s="41"/>
      <c r="W901" s="42">
        <v>46454</v>
      </c>
      <c r="X901" s="74">
        <f t="shared" si="131"/>
        <v>0</v>
      </c>
      <c r="Y901" s="41"/>
      <c r="Z901" s="243"/>
    </row>
    <row r="902" spans="1:26">
      <c r="A902" s="150">
        <v>45431</v>
      </c>
      <c r="B902" s="154" t="s">
        <v>36</v>
      </c>
      <c r="C902" s="42">
        <v>3462573</v>
      </c>
      <c r="D902" s="315">
        <f t="shared" si="134"/>
        <v>0</v>
      </c>
      <c r="E902" s="41"/>
      <c r="F902" s="42">
        <v>8287317</v>
      </c>
      <c r="G902" s="255">
        <f t="shared" si="128"/>
        <v>0</v>
      </c>
      <c r="H902" s="125">
        <f t="shared" si="129"/>
        <v>-4.4060773480662982</v>
      </c>
      <c r="I902" s="41"/>
      <c r="J902" s="42">
        <v>4668509</v>
      </c>
      <c r="K902" s="85">
        <f t="shared" si="133"/>
        <v>0</v>
      </c>
      <c r="L902" s="124">
        <f t="shared" si="135"/>
        <v>0</v>
      </c>
      <c r="M902" s="41"/>
      <c r="N902" s="42">
        <v>824061</v>
      </c>
      <c r="O902" s="3">
        <f t="shared" si="137"/>
        <v>950</v>
      </c>
      <c r="P902" s="358"/>
      <c r="Q902" s="42">
        <v>652140</v>
      </c>
      <c r="R902" s="44">
        <f t="shared" si="136"/>
        <v>0</v>
      </c>
      <c r="S902" s="358"/>
      <c r="T902" s="42">
        <v>20177</v>
      </c>
      <c r="U902" s="44">
        <f t="shared" si="127"/>
        <v>0</v>
      </c>
      <c r="V902" s="41"/>
      <c r="W902" s="42">
        <v>46454</v>
      </c>
      <c r="X902" s="74">
        <f t="shared" si="131"/>
        <v>0</v>
      </c>
      <c r="Y902" s="41"/>
      <c r="Z902" s="243"/>
    </row>
    <row r="903" spans="1:26">
      <c r="A903" s="150">
        <v>45432</v>
      </c>
      <c r="B903" s="154" t="s">
        <v>108</v>
      </c>
      <c r="C903" s="42">
        <v>3462573</v>
      </c>
      <c r="D903" s="315">
        <f t="shared" si="134"/>
        <v>12995</v>
      </c>
      <c r="E903" s="41"/>
      <c r="F903" s="42">
        <v>8287317</v>
      </c>
      <c r="G903" s="255">
        <f t="shared" si="128"/>
        <v>29570</v>
      </c>
      <c r="H903" s="125">
        <f t="shared" si="129"/>
        <v>113.17679558011049</v>
      </c>
      <c r="I903" s="41"/>
      <c r="J903" s="42">
        <v>4668509</v>
      </c>
      <c r="K903" s="85">
        <f t="shared" si="133"/>
        <v>20968</v>
      </c>
      <c r="L903" s="124">
        <f t="shared" si="135"/>
        <v>155.31851851851852</v>
      </c>
      <c r="M903" s="41"/>
      <c r="N903" s="42">
        <v>825011</v>
      </c>
      <c r="O903" s="3">
        <f t="shared" si="137"/>
        <v>993</v>
      </c>
      <c r="P903" s="358"/>
      <c r="Q903" s="42">
        <v>652140</v>
      </c>
      <c r="R903" s="44">
        <f t="shared" si="136"/>
        <v>0</v>
      </c>
      <c r="S903" s="358"/>
      <c r="T903" s="42">
        <v>20177</v>
      </c>
      <c r="U903" s="44">
        <f t="shared" si="127"/>
        <v>268</v>
      </c>
      <c r="V903" s="41"/>
      <c r="W903" s="42">
        <v>46454</v>
      </c>
      <c r="X903" s="74">
        <f t="shared" si="131"/>
        <v>0</v>
      </c>
      <c r="Y903" s="41"/>
      <c r="Z903" s="243"/>
    </row>
    <row r="904" spans="1:26">
      <c r="A904" s="150">
        <v>45433</v>
      </c>
      <c r="B904" s="154" t="s">
        <v>109</v>
      </c>
      <c r="C904" s="42">
        <v>3475568</v>
      </c>
      <c r="D904" s="315">
        <f t="shared" si="134"/>
        <v>0</v>
      </c>
      <c r="E904" s="41"/>
      <c r="F904" s="42">
        <v>8316887</v>
      </c>
      <c r="G904" s="255">
        <f t="shared" si="128"/>
        <v>0</v>
      </c>
      <c r="H904" s="125">
        <f t="shared" si="129"/>
        <v>-4.4060773480662982</v>
      </c>
      <c r="I904" s="41"/>
      <c r="J904" s="42">
        <v>4689477</v>
      </c>
      <c r="K904" s="85">
        <f t="shared" si="133"/>
        <v>0</v>
      </c>
      <c r="L904" s="124">
        <f t="shared" si="135"/>
        <v>0</v>
      </c>
      <c r="M904" s="41"/>
      <c r="N904" s="42">
        <v>826004</v>
      </c>
      <c r="O904" s="3">
        <f t="shared" si="137"/>
        <v>735</v>
      </c>
      <c r="P904" s="358"/>
      <c r="Q904" s="42">
        <v>652356</v>
      </c>
      <c r="R904" s="44">
        <f t="shared" si="136"/>
        <v>216</v>
      </c>
      <c r="S904" s="358"/>
      <c r="T904" s="42">
        <v>20445</v>
      </c>
      <c r="U904" s="44">
        <f t="shared" si="127"/>
        <v>170</v>
      </c>
      <c r="V904" s="41"/>
      <c r="W904" s="42">
        <v>46454</v>
      </c>
      <c r="X904" s="74">
        <f t="shared" si="131"/>
        <v>34</v>
      </c>
      <c r="Y904" s="41"/>
      <c r="Z904" s="243"/>
    </row>
    <row r="905" spans="1:26">
      <c r="A905" s="150">
        <v>45434</v>
      </c>
      <c r="B905" s="154" t="s">
        <v>110</v>
      </c>
      <c r="C905" s="42">
        <v>3475568</v>
      </c>
      <c r="D905" s="315">
        <f t="shared" si="134"/>
        <v>0</v>
      </c>
      <c r="E905" s="41"/>
      <c r="F905" s="42">
        <v>8316887</v>
      </c>
      <c r="G905" s="255">
        <f t="shared" si="128"/>
        <v>0</v>
      </c>
      <c r="H905" s="125">
        <f t="shared" si="129"/>
        <v>-4.4060773480662982</v>
      </c>
      <c r="I905" s="41"/>
      <c r="J905" s="42">
        <v>4689477</v>
      </c>
      <c r="K905" s="85">
        <f t="shared" si="133"/>
        <v>0</v>
      </c>
      <c r="L905" s="124">
        <f t="shared" si="135"/>
        <v>0</v>
      </c>
      <c r="M905" s="41"/>
      <c r="N905" s="42">
        <v>826739</v>
      </c>
      <c r="O905" s="3">
        <f t="shared" si="137"/>
        <v>753</v>
      </c>
      <c r="P905" s="358"/>
      <c r="Q905" s="42">
        <v>652572</v>
      </c>
      <c r="R905" s="44">
        <f t="shared" si="136"/>
        <v>216</v>
      </c>
      <c r="S905" s="358"/>
      <c r="T905" s="42">
        <v>20615</v>
      </c>
      <c r="U905" s="44">
        <f t="shared" ref="U905:U923" si="138">T906-T905</f>
        <v>3</v>
      </c>
      <c r="V905" s="41"/>
      <c r="W905" s="42">
        <v>46488</v>
      </c>
      <c r="X905" s="74">
        <f t="shared" si="131"/>
        <v>0</v>
      </c>
      <c r="Y905" s="41"/>
      <c r="Z905" s="243"/>
    </row>
    <row r="906" spans="1:26">
      <c r="A906" s="150">
        <v>45435</v>
      </c>
      <c r="B906" s="154" t="s">
        <v>111</v>
      </c>
      <c r="C906" s="42">
        <v>3475568</v>
      </c>
      <c r="D906" s="315">
        <f t="shared" si="134"/>
        <v>5987</v>
      </c>
      <c r="E906" s="41"/>
      <c r="F906" s="42">
        <v>8316887</v>
      </c>
      <c r="G906" s="255">
        <f t="shared" si="128"/>
        <v>18175</v>
      </c>
      <c r="H906" s="125">
        <f t="shared" si="129"/>
        <v>62.339779005524861</v>
      </c>
      <c r="I906" s="41"/>
      <c r="J906" s="42">
        <v>4689477</v>
      </c>
      <c r="K906" s="85">
        <f t="shared" si="133"/>
        <v>12184</v>
      </c>
      <c r="L906" s="124">
        <f t="shared" si="135"/>
        <v>90.251851851851853</v>
      </c>
      <c r="M906" s="41"/>
      <c r="N906" s="42">
        <v>827492</v>
      </c>
      <c r="O906" s="3">
        <f t="shared" si="137"/>
        <v>632</v>
      </c>
      <c r="P906" s="358"/>
      <c r="Q906" s="42">
        <v>652785</v>
      </c>
      <c r="R906" s="44">
        <f t="shared" si="136"/>
        <v>213</v>
      </c>
      <c r="S906" s="358"/>
      <c r="T906" s="42">
        <v>20618</v>
      </c>
      <c r="U906" s="44">
        <f t="shared" si="138"/>
        <v>213</v>
      </c>
      <c r="V906" s="41"/>
      <c r="W906" s="42">
        <v>46488</v>
      </c>
      <c r="X906" s="74">
        <f t="shared" si="131"/>
        <v>2</v>
      </c>
      <c r="Y906" s="41"/>
      <c r="Z906" s="243"/>
    </row>
    <row r="907" spans="1:26">
      <c r="A907" s="150">
        <v>45436</v>
      </c>
      <c r="B907" s="154" t="s">
        <v>106</v>
      </c>
      <c r="C907" s="42">
        <v>3481555</v>
      </c>
      <c r="D907" s="315">
        <f t="shared" si="134"/>
        <v>0</v>
      </c>
      <c r="E907" s="41"/>
      <c r="F907" s="42">
        <v>8335062</v>
      </c>
      <c r="G907" s="255">
        <f t="shared" si="128"/>
        <v>0</v>
      </c>
      <c r="H907" s="125">
        <f t="shared" si="129"/>
        <v>-4.4060773480662982</v>
      </c>
      <c r="I907" s="41"/>
      <c r="J907" s="42">
        <v>4701661</v>
      </c>
      <c r="K907" s="85">
        <f t="shared" si="133"/>
        <v>0</v>
      </c>
      <c r="L907" s="124">
        <f t="shared" si="135"/>
        <v>0</v>
      </c>
      <c r="M907" s="41"/>
      <c r="N907" s="42">
        <v>828124</v>
      </c>
      <c r="O907" s="3">
        <f t="shared" si="137"/>
        <v>1345</v>
      </c>
      <c r="P907" s="358"/>
      <c r="Q907" s="42">
        <v>653170</v>
      </c>
      <c r="R907" s="44">
        <f t="shared" si="136"/>
        <v>385</v>
      </c>
      <c r="S907" s="358"/>
      <c r="T907" s="42">
        <v>20831</v>
      </c>
      <c r="U907" s="44">
        <f t="shared" si="138"/>
        <v>10</v>
      </c>
      <c r="V907" s="41"/>
      <c r="W907" s="42">
        <v>46490</v>
      </c>
      <c r="X907" s="74">
        <f t="shared" si="131"/>
        <v>0</v>
      </c>
      <c r="Y907" s="41"/>
      <c r="Z907" s="243"/>
    </row>
    <row r="908" spans="1:26">
      <c r="A908" s="150">
        <v>45437</v>
      </c>
      <c r="B908" s="154" t="s">
        <v>107</v>
      </c>
      <c r="C908" s="42">
        <v>3481555</v>
      </c>
      <c r="D908" s="315">
        <f t="shared" si="134"/>
        <v>0</v>
      </c>
      <c r="E908" s="41"/>
      <c r="F908" s="42">
        <v>8335062</v>
      </c>
      <c r="G908" s="255">
        <f t="shared" ref="G908:G971" si="139">IF(F909&gt;0,F909-F908," ")</f>
        <v>0</v>
      </c>
      <c r="H908" s="125">
        <f t="shared" ref="H908:H971" si="140">(G908+D908-1595)/362</f>
        <v>-4.4060773480662982</v>
      </c>
      <c r="I908" s="41"/>
      <c r="J908" s="42">
        <v>4701661</v>
      </c>
      <c r="K908" s="85">
        <f t="shared" si="133"/>
        <v>0</v>
      </c>
      <c r="L908" s="124">
        <f t="shared" si="135"/>
        <v>0</v>
      </c>
      <c r="M908" s="41"/>
      <c r="N908" s="42">
        <v>829469</v>
      </c>
      <c r="O908" s="3">
        <f t="shared" si="137"/>
        <v>0</v>
      </c>
      <c r="P908" s="358"/>
      <c r="Q908" s="42">
        <v>653718</v>
      </c>
      <c r="R908" s="44">
        <f t="shared" si="136"/>
        <v>548</v>
      </c>
      <c r="S908" s="358"/>
      <c r="T908" s="42">
        <v>20841</v>
      </c>
      <c r="U908" s="44">
        <f t="shared" si="138"/>
        <v>0</v>
      </c>
      <c r="V908" s="41"/>
      <c r="W908" s="42">
        <v>46490</v>
      </c>
      <c r="X908" s="74">
        <f t="shared" si="131"/>
        <v>0</v>
      </c>
      <c r="Y908" s="41"/>
      <c r="Z908" s="243"/>
    </row>
    <row r="909" spans="1:26">
      <c r="A909" s="150">
        <v>45438</v>
      </c>
      <c r="B909" s="154" t="s">
        <v>36</v>
      </c>
      <c r="C909" s="42">
        <v>3481555</v>
      </c>
      <c r="D909" s="315">
        <f t="shared" si="134"/>
        <v>0</v>
      </c>
      <c r="E909" s="41"/>
      <c r="F909" s="42">
        <v>8335062</v>
      </c>
      <c r="G909" s="255">
        <f t="shared" si="139"/>
        <v>0</v>
      </c>
      <c r="H909" s="125">
        <f t="shared" si="140"/>
        <v>-4.4060773480662982</v>
      </c>
      <c r="I909" s="41"/>
      <c r="J909" s="42">
        <v>4701661</v>
      </c>
      <c r="K909" s="85">
        <f t="shared" si="133"/>
        <v>0</v>
      </c>
      <c r="L909" s="124">
        <f t="shared" si="135"/>
        <v>0</v>
      </c>
      <c r="M909" s="41"/>
      <c r="N909" s="42">
        <v>829469</v>
      </c>
      <c r="O909" s="3">
        <f t="shared" si="137"/>
        <v>0</v>
      </c>
      <c r="P909" s="358"/>
      <c r="Q909" s="42">
        <v>653718</v>
      </c>
      <c r="R909" s="44">
        <f t="shared" si="136"/>
        <v>0</v>
      </c>
      <c r="S909" s="358"/>
      <c r="T909" s="42">
        <v>20841</v>
      </c>
      <c r="U909" s="44">
        <f t="shared" si="138"/>
        <v>0</v>
      </c>
      <c r="V909" s="41"/>
      <c r="W909" s="42">
        <v>46490</v>
      </c>
      <c r="X909" s="74">
        <f t="shared" si="131"/>
        <v>0</v>
      </c>
      <c r="Y909" s="41"/>
      <c r="Z909" s="243"/>
    </row>
    <row r="910" spans="1:26">
      <c r="A910" s="150">
        <v>45439</v>
      </c>
      <c r="B910" s="154" t="s">
        <v>108</v>
      </c>
      <c r="C910" s="42">
        <v>3481555</v>
      </c>
      <c r="D910" s="315">
        <f t="shared" si="134"/>
        <v>4400</v>
      </c>
      <c r="E910" s="41"/>
      <c r="F910" s="42">
        <v>8335062</v>
      </c>
      <c r="G910" s="255">
        <f t="shared" si="139"/>
        <v>8492</v>
      </c>
      <c r="H910" s="125">
        <f t="shared" si="140"/>
        <v>31.207182320441991</v>
      </c>
      <c r="I910" s="41"/>
      <c r="J910" s="42">
        <v>4701661</v>
      </c>
      <c r="K910" s="85">
        <f t="shared" si="133"/>
        <v>4410</v>
      </c>
      <c r="L910" s="124">
        <f t="shared" si="135"/>
        <v>32.666666666666664</v>
      </c>
      <c r="M910" s="41"/>
      <c r="N910" s="42">
        <v>829469</v>
      </c>
      <c r="O910" s="3">
        <f t="shared" si="137"/>
        <v>731</v>
      </c>
      <c r="P910" s="358"/>
      <c r="Q910" s="42">
        <v>653718</v>
      </c>
      <c r="R910" s="44">
        <f t="shared" si="136"/>
        <v>0</v>
      </c>
      <c r="S910" s="358"/>
      <c r="T910" s="42">
        <v>20841</v>
      </c>
      <c r="U910" s="44">
        <f t="shared" si="138"/>
        <v>3</v>
      </c>
      <c r="V910" s="41"/>
      <c r="W910" s="42">
        <v>46490</v>
      </c>
      <c r="X910" s="74">
        <f t="shared" si="131"/>
        <v>0</v>
      </c>
      <c r="Y910" s="41"/>
      <c r="Z910" s="243"/>
    </row>
    <row r="911" spans="1:26">
      <c r="A911" s="150">
        <v>45440</v>
      </c>
      <c r="B911" s="154" t="s">
        <v>109</v>
      </c>
      <c r="C911" s="42">
        <v>3485955</v>
      </c>
      <c r="D911" s="315">
        <f t="shared" si="134"/>
        <v>3616</v>
      </c>
      <c r="E911" s="41"/>
      <c r="F911" s="42">
        <v>8343554</v>
      </c>
      <c r="G911" s="255">
        <f t="shared" si="139"/>
        <v>8739</v>
      </c>
      <c r="H911" s="125">
        <f t="shared" si="140"/>
        <v>29.723756906077348</v>
      </c>
      <c r="I911" s="41"/>
      <c r="J911" s="42">
        <v>4706071</v>
      </c>
      <c r="K911" s="85">
        <f t="shared" si="133"/>
        <v>4473</v>
      </c>
      <c r="L911" s="124">
        <f t="shared" si="135"/>
        <v>33.133333333333333</v>
      </c>
      <c r="M911" s="41"/>
      <c r="N911" s="42">
        <v>830200</v>
      </c>
      <c r="O911" s="3">
        <f t="shared" si="137"/>
        <v>773</v>
      </c>
      <c r="P911" s="358"/>
      <c r="Q911" s="42">
        <v>653919</v>
      </c>
      <c r="R911" s="44">
        <f t="shared" si="136"/>
        <v>201</v>
      </c>
      <c r="S911" s="358"/>
      <c r="T911" s="42">
        <v>20844</v>
      </c>
      <c r="U911" s="44">
        <f t="shared" si="138"/>
        <v>2</v>
      </c>
      <c r="V911" s="41"/>
      <c r="W911" s="42">
        <v>46490</v>
      </c>
      <c r="X911" s="74">
        <f t="shared" si="131"/>
        <v>330</v>
      </c>
      <c r="Y911" s="41"/>
      <c r="Z911" s="243"/>
    </row>
    <row r="912" spans="1:26">
      <c r="A912" s="150">
        <v>45441</v>
      </c>
      <c r="B912" s="154" t="s">
        <v>110</v>
      </c>
      <c r="C912" s="42">
        <v>3489571</v>
      </c>
      <c r="D912" s="315">
        <f t="shared" si="134"/>
        <v>3791</v>
      </c>
      <c r="E912" s="41"/>
      <c r="F912" s="42">
        <v>8352293</v>
      </c>
      <c r="G912" s="255">
        <f t="shared" si="139"/>
        <v>11578</v>
      </c>
      <c r="H912" s="125">
        <f t="shared" si="140"/>
        <v>38.049723756906076</v>
      </c>
      <c r="I912" s="41"/>
      <c r="J912" s="42">
        <v>4710544</v>
      </c>
      <c r="K912" s="85">
        <f t="shared" si="133"/>
        <v>8579</v>
      </c>
      <c r="L912" s="124">
        <f t="shared" si="135"/>
        <v>63.548148148148151</v>
      </c>
      <c r="M912" s="41"/>
      <c r="N912" s="42">
        <v>830973</v>
      </c>
      <c r="O912" s="3">
        <f t="shared" si="137"/>
        <v>1075</v>
      </c>
      <c r="P912" s="358"/>
      <c r="Q912" s="42">
        <v>654488</v>
      </c>
      <c r="R912" s="44">
        <f t="shared" si="136"/>
        <v>569</v>
      </c>
      <c r="S912" s="358"/>
      <c r="T912" s="42">
        <v>20846</v>
      </c>
      <c r="U912" s="44">
        <f t="shared" si="138"/>
        <v>9</v>
      </c>
      <c r="V912" s="41"/>
      <c r="W912" s="42">
        <v>46820</v>
      </c>
      <c r="X912" s="74">
        <f t="shared" si="131"/>
        <v>35</v>
      </c>
      <c r="Y912" s="41"/>
      <c r="Z912" s="243"/>
    </row>
    <row r="913" spans="1:26">
      <c r="A913" s="150">
        <v>45442</v>
      </c>
      <c r="B913" s="154" t="s">
        <v>111</v>
      </c>
      <c r="C913" s="42">
        <v>3493362</v>
      </c>
      <c r="D913" s="315">
        <f t="shared" si="134"/>
        <v>0</v>
      </c>
      <c r="E913" s="41"/>
      <c r="F913" s="42">
        <v>8363871</v>
      </c>
      <c r="G913" s="255">
        <f t="shared" si="139"/>
        <v>0</v>
      </c>
      <c r="H913" s="125">
        <f t="shared" si="140"/>
        <v>-4.4060773480662982</v>
      </c>
      <c r="I913" s="41"/>
      <c r="J913" s="42">
        <v>4719123</v>
      </c>
      <c r="K913" s="85">
        <f t="shared" si="133"/>
        <v>0</v>
      </c>
      <c r="L913" s="124">
        <f t="shared" si="135"/>
        <v>0</v>
      </c>
      <c r="M913" s="41"/>
      <c r="N913" s="42">
        <v>832048</v>
      </c>
      <c r="O913" s="3">
        <f t="shared" si="137"/>
        <v>0</v>
      </c>
      <c r="P913" s="358"/>
      <c r="Q913" s="42">
        <v>655031</v>
      </c>
      <c r="R913" s="44">
        <f t="shared" si="136"/>
        <v>543</v>
      </c>
      <c r="S913" s="358"/>
      <c r="T913" s="42">
        <v>20855</v>
      </c>
      <c r="U913" s="44">
        <f t="shared" si="138"/>
        <v>0</v>
      </c>
      <c r="V913" s="41"/>
      <c r="W913" s="42">
        <v>46855</v>
      </c>
      <c r="X913" s="74">
        <f t="shared" si="131"/>
        <v>0</v>
      </c>
      <c r="Y913" s="41"/>
      <c r="Z913" s="243"/>
    </row>
    <row r="914" spans="1:26">
      <c r="A914" s="150">
        <v>45443</v>
      </c>
      <c r="B914" s="154" t="s">
        <v>106</v>
      </c>
      <c r="C914" s="42">
        <v>3493362</v>
      </c>
      <c r="D914" s="315">
        <f t="shared" si="134"/>
        <v>0</v>
      </c>
      <c r="E914" s="41"/>
      <c r="F914" s="42">
        <v>8363871</v>
      </c>
      <c r="G914" s="255">
        <f t="shared" si="139"/>
        <v>0</v>
      </c>
      <c r="H914" s="125">
        <f t="shared" si="140"/>
        <v>-4.4060773480662982</v>
      </c>
      <c r="I914" s="41"/>
      <c r="J914" s="42">
        <v>4719123</v>
      </c>
      <c r="K914" s="85">
        <f t="shared" si="133"/>
        <v>0</v>
      </c>
      <c r="L914" s="124">
        <f t="shared" si="135"/>
        <v>0</v>
      </c>
      <c r="M914" s="41"/>
      <c r="N914" s="42">
        <v>832048</v>
      </c>
      <c r="O914" s="3">
        <f t="shared" si="137"/>
        <v>752</v>
      </c>
      <c r="P914" s="358"/>
      <c r="Q914" s="42">
        <v>655031</v>
      </c>
      <c r="R914" s="44">
        <f t="shared" si="136"/>
        <v>0</v>
      </c>
      <c r="S914" s="358"/>
      <c r="T914" s="42">
        <v>20855</v>
      </c>
      <c r="U914" s="44">
        <f t="shared" si="138"/>
        <v>0</v>
      </c>
      <c r="V914" s="41"/>
      <c r="W914" s="42">
        <v>46855</v>
      </c>
      <c r="X914" s="74">
        <f t="shared" ref="X914:X977" si="141">W915-W914</f>
        <v>0</v>
      </c>
      <c r="Y914" s="41"/>
    </row>
    <row r="915" spans="1:26">
      <c r="A915" s="150">
        <v>45444</v>
      </c>
      <c r="B915" s="154" t="s">
        <v>107</v>
      </c>
      <c r="C915" s="42">
        <v>3493362</v>
      </c>
      <c r="D915" s="315">
        <f t="shared" si="134"/>
        <v>0</v>
      </c>
      <c r="E915" s="41"/>
      <c r="F915" s="42">
        <v>8363871</v>
      </c>
      <c r="G915" s="255">
        <f t="shared" si="139"/>
        <v>0</v>
      </c>
      <c r="H915" s="125">
        <f t="shared" si="140"/>
        <v>-4.4060773480662982</v>
      </c>
      <c r="I915" s="41"/>
      <c r="J915" s="42">
        <v>4719123</v>
      </c>
      <c r="K915" s="85">
        <f t="shared" si="133"/>
        <v>0</v>
      </c>
      <c r="L915" s="124">
        <f t="shared" si="135"/>
        <v>0</v>
      </c>
      <c r="M915" s="41"/>
      <c r="N915" s="42">
        <v>832800</v>
      </c>
      <c r="O915" s="3">
        <f t="shared" si="137"/>
        <v>754</v>
      </c>
      <c r="P915" s="358"/>
      <c r="Q915" s="42">
        <v>655031</v>
      </c>
      <c r="R915" s="44">
        <f t="shared" si="136"/>
        <v>0</v>
      </c>
      <c r="S915" s="358"/>
      <c r="T915" s="42">
        <v>20855</v>
      </c>
      <c r="U915" s="44">
        <f t="shared" si="138"/>
        <v>0</v>
      </c>
      <c r="V915" s="41"/>
      <c r="W915" s="42">
        <v>46855</v>
      </c>
      <c r="X915" s="74">
        <f t="shared" si="141"/>
        <v>0</v>
      </c>
      <c r="Y915" s="41"/>
      <c r="Z915" s="243"/>
    </row>
    <row r="916" spans="1:26">
      <c r="A916" s="150">
        <v>45445</v>
      </c>
      <c r="B916" s="154" t="s">
        <v>36</v>
      </c>
      <c r="C916" s="42">
        <v>3493362</v>
      </c>
      <c r="D916" s="315">
        <f t="shared" si="134"/>
        <v>0</v>
      </c>
      <c r="E916" s="41"/>
      <c r="F916" s="42">
        <v>8363871</v>
      </c>
      <c r="G916" s="255">
        <f t="shared" si="139"/>
        <v>0</v>
      </c>
      <c r="H916" s="125">
        <f t="shared" si="140"/>
        <v>-4.4060773480662982</v>
      </c>
      <c r="I916" s="41"/>
      <c r="J916" s="42">
        <v>4719123</v>
      </c>
      <c r="K916" s="85">
        <f t="shared" si="133"/>
        <v>0</v>
      </c>
      <c r="L916" s="124">
        <f t="shared" si="135"/>
        <v>0</v>
      </c>
      <c r="M916" s="41"/>
      <c r="N916" s="42">
        <v>833554</v>
      </c>
      <c r="O916" s="3">
        <f t="shared" si="137"/>
        <v>0</v>
      </c>
      <c r="P916" s="358"/>
      <c r="Q916" s="42">
        <v>655031</v>
      </c>
      <c r="R916" s="44">
        <f t="shared" si="136"/>
        <v>0</v>
      </c>
      <c r="S916" s="358"/>
      <c r="T916" s="42">
        <v>20855</v>
      </c>
      <c r="U916" s="44">
        <f t="shared" si="138"/>
        <v>0</v>
      </c>
      <c r="V916" s="41"/>
      <c r="W916" s="42">
        <v>46855</v>
      </c>
      <c r="X916" s="74">
        <f t="shared" si="141"/>
        <v>0</v>
      </c>
      <c r="Y916" s="41"/>
      <c r="Z916" s="243"/>
    </row>
    <row r="917" spans="1:26">
      <c r="A917" s="150">
        <v>45446</v>
      </c>
      <c r="B917" s="154" t="s">
        <v>108</v>
      </c>
      <c r="C917" s="42">
        <v>3493362</v>
      </c>
      <c r="D917" s="315">
        <f t="shared" si="134"/>
        <v>3719</v>
      </c>
      <c r="E917" s="41"/>
      <c r="F917" s="42">
        <v>8363871</v>
      </c>
      <c r="G917" s="255">
        <f t="shared" si="139"/>
        <v>8463</v>
      </c>
      <c r="H917" s="125">
        <f t="shared" si="140"/>
        <v>29.245856353591162</v>
      </c>
      <c r="I917" s="41"/>
      <c r="J917" s="42">
        <v>4719123</v>
      </c>
      <c r="K917" s="85">
        <f t="shared" si="133"/>
        <v>4817</v>
      </c>
      <c r="L917" s="124">
        <f t="shared" si="135"/>
        <v>35.681481481481484</v>
      </c>
      <c r="M917" s="41"/>
      <c r="N917" s="42">
        <v>833554</v>
      </c>
      <c r="O917" s="3">
        <f t="shared" si="137"/>
        <v>792</v>
      </c>
      <c r="P917" s="358"/>
      <c r="Q917" s="42">
        <v>655031</v>
      </c>
      <c r="R917" s="44">
        <f t="shared" si="136"/>
        <v>0</v>
      </c>
      <c r="S917" s="358"/>
      <c r="T917" s="42">
        <v>20855</v>
      </c>
      <c r="U917" s="44">
        <f t="shared" si="138"/>
        <v>2</v>
      </c>
      <c r="V917" s="41"/>
      <c r="W917" s="42">
        <v>46855</v>
      </c>
      <c r="X917" s="74">
        <f t="shared" si="141"/>
        <v>0</v>
      </c>
      <c r="Y917" s="41"/>
      <c r="Z917" s="243"/>
    </row>
    <row r="918" spans="1:26">
      <c r="A918" s="150">
        <v>45447</v>
      </c>
      <c r="B918" s="154" t="s">
        <v>109</v>
      </c>
      <c r="C918" s="42">
        <v>3497081</v>
      </c>
      <c r="D918" s="315">
        <f t="shared" si="134"/>
        <v>2687</v>
      </c>
      <c r="E918" s="41"/>
      <c r="F918" s="42">
        <v>8372334</v>
      </c>
      <c r="G918" s="255">
        <f t="shared" si="139"/>
        <v>7011</v>
      </c>
      <c r="H918" s="125">
        <f t="shared" si="140"/>
        <v>22.383977900552487</v>
      </c>
      <c r="I918" s="41"/>
      <c r="J918" s="42">
        <v>4723940</v>
      </c>
      <c r="K918" s="85">
        <f t="shared" si="133"/>
        <v>4563</v>
      </c>
      <c r="L918" s="124">
        <f t="shared" si="135"/>
        <v>33.799999999999997</v>
      </c>
      <c r="M918" s="41"/>
      <c r="N918" s="42">
        <v>834346</v>
      </c>
      <c r="O918" s="3">
        <f t="shared" si="137"/>
        <v>739</v>
      </c>
      <c r="P918" s="358"/>
      <c r="Q918" s="42">
        <v>655218</v>
      </c>
      <c r="R918" s="44">
        <f t="shared" si="136"/>
        <v>187</v>
      </c>
      <c r="S918" s="358"/>
      <c r="T918" s="42">
        <v>20857</v>
      </c>
      <c r="U918" s="44">
        <f t="shared" si="138"/>
        <v>21</v>
      </c>
      <c r="V918" s="41"/>
      <c r="W918" s="42">
        <v>46855</v>
      </c>
      <c r="X918" s="74">
        <f t="shared" si="141"/>
        <v>1</v>
      </c>
      <c r="Y918" s="41"/>
      <c r="Z918" s="243"/>
    </row>
    <row r="919" spans="1:26">
      <c r="A919" s="150">
        <v>45448</v>
      </c>
      <c r="B919" s="154" t="s">
        <v>110</v>
      </c>
      <c r="C919" s="42">
        <v>3499768</v>
      </c>
      <c r="D919" s="315">
        <f t="shared" si="134"/>
        <v>4287</v>
      </c>
      <c r="E919" s="41"/>
      <c r="F919" s="42">
        <v>8379345</v>
      </c>
      <c r="G919" s="255">
        <f t="shared" si="139"/>
        <v>10185</v>
      </c>
      <c r="H919" s="125">
        <f t="shared" si="140"/>
        <v>35.571823204419893</v>
      </c>
      <c r="I919" s="41"/>
      <c r="J919" s="42">
        <v>4728503</v>
      </c>
      <c r="K919" s="85">
        <f t="shared" si="133"/>
        <v>7744</v>
      </c>
      <c r="L919" s="124">
        <f t="shared" si="135"/>
        <v>57.36296296296296</v>
      </c>
      <c r="M919" s="41"/>
      <c r="N919" s="45">
        <v>835085</v>
      </c>
      <c r="O919" s="8">
        <f t="shared" si="137"/>
        <v>849</v>
      </c>
      <c r="P919" s="9"/>
      <c r="Q919" s="42">
        <v>655458</v>
      </c>
      <c r="R919" s="44">
        <f t="shared" si="136"/>
        <v>240</v>
      </c>
      <c r="S919" s="358"/>
      <c r="T919" s="42">
        <v>20878</v>
      </c>
      <c r="U919" s="44">
        <f t="shared" si="138"/>
        <v>204</v>
      </c>
      <c r="V919" s="41"/>
      <c r="W919" s="42">
        <v>46856</v>
      </c>
      <c r="X919" s="74">
        <f t="shared" si="141"/>
        <v>2</v>
      </c>
      <c r="Y919" s="41"/>
      <c r="Z919" s="243"/>
    </row>
    <row r="920" spans="1:26">
      <c r="A920" s="150">
        <v>45449</v>
      </c>
      <c r="B920" s="154" t="s">
        <v>111</v>
      </c>
      <c r="C920" s="42">
        <v>3504055</v>
      </c>
      <c r="D920" s="315">
        <f t="shared" si="134"/>
        <v>10998</v>
      </c>
      <c r="E920" s="41"/>
      <c r="F920" s="42">
        <v>8389530</v>
      </c>
      <c r="G920" s="255">
        <f t="shared" si="139"/>
        <v>28087</v>
      </c>
      <c r="H920" s="125">
        <f t="shared" si="140"/>
        <v>103.56353591160222</v>
      </c>
      <c r="I920" s="41"/>
      <c r="J920" s="42">
        <v>4736247</v>
      </c>
      <c r="K920" s="85">
        <f t="shared" si="133"/>
        <v>8532</v>
      </c>
      <c r="L920" s="124">
        <f t="shared" si="135"/>
        <v>63.2</v>
      </c>
      <c r="M920" s="41"/>
      <c r="N920" s="45">
        <v>835934</v>
      </c>
      <c r="O920" s="8">
        <f t="shared" si="137"/>
        <v>2312</v>
      </c>
      <c r="P920" s="9"/>
      <c r="Q920" s="42">
        <v>655684</v>
      </c>
      <c r="R920" s="44">
        <f t="shared" si="136"/>
        <v>226</v>
      </c>
      <c r="S920" s="358"/>
      <c r="T920" s="42">
        <v>21082</v>
      </c>
      <c r="U920" s="44">
        <f t="shared" si="138"/>
        <v>21</v>
      </c>
      <c r="V920" s="41"/>
      <c r="W920" s="42">
        <v>46858</v>
      </c>
      <c r="X920" s="74">
        <f t="shared" si="141"/>
        <v>0</v>
      </c>
      <c r="Y920" s="41"/>
      <c r="Z920" s="243"/>
    </row>
    <row r="921" spans="1:26">
      <c r="A921" s="150">
        <v>45450</v>
      </c>
      <c r="B921" s="154" t="s">
        <v>106</v>
      </c>
      <c r="C921" s="42">
        <v>3515053</v>
      </c>
      <c r="D921" s="315">
        <f t="shared" si="134"/>
        <v>0</v>
      </c>
      <c r="E921" s="41"/>
      <c r="F921" s="42">
        <v>8417617</v>
      </c>
      <c r="G921" s="255">
        <f t="shared" si="139"/>
        <v>0</v>
      </c>
      <c r="H921" s="125">
        <f t="shared" si="140"/>
        <v>-4.4060773480662982</v>
      </c>
      <c r="I921" s="41"/>
      <c r="J921" s="42">
        <v>4744779</v>
      </c>
      <c r="K921" s="85">
        <f t="shared" si="133"/>
        <v>0</v>
      </c>
      <c r="L921" s="124">
        <f t="shared" si="135"/>
        <v>0</v>
      </c>
      <c r="M921" s="41"/>
      <c r="N921" s="45">
        <v>838246</v>
      </c>
      <c r="O921" s="8">
        <f t="shared" si="137"/>
        <v>0</v>
      </c>
      <c r="P921" s="9"/>
      <c r="Q921" s="42">
        <v>655892</v>
      </c>
      <c r="R921" s="44">
        <f t="shared" si="136"/>
        <v>208</v>
      </c>
      <c r="S921" s="358"/>
      <c r="T921" s="42">
        <v>21103</v>
      </c>
      <c r="U921" s="44">
        <f t="shared" si="138"/>
        <v>16</v>
      </c>
      <c r="V921" s="41"/>
      <c r="W921" s="42">
        <v>46858</v>
      </c>
      <c r="X921" s="74">
        <f t="shared" si="141"/>
        <v>0</v>
      </c>
      <c r="Y921" s="41"/>
      <c r="Z921" s="243"/>
    </row>
    <row r="922" spans="1:26">
      <c r="A922" s="150">
        <v>45451</v>
      </c>
      <c r="B922" s="154" t="s">
        <v>107</v>
      </c>
      <c r="C922" s="42">
        <v>3515053</v>
      </c>
      <c r="D922" s="315">
        <f t="shared" si="134"/>
        <v>0</v>
      </c>
      <c r="E922" s="41"/>
      <c r="F922" s="42">
        <v>8417617</v>
      </c>
      <c r="G922" s="255">
        <f t="shared" si="139"/>
        <v>0</v>
      </c>
      <c r="H922" s="125">
        <f t="shared" si="140"/>
        <v>-4.4060773480662982</v>
      </c>
      <c r="I922" s="41"/>
      <c r="J922" s="42">
        <v>4744779</v>
      </c>
      <c r="K922" s="85">
        <f t="shared" si="133"/>
        <v>0</v>
      </c>
      <c r="L922" s="124">
        <f t="shared" si="135"/>
        <v>0</v>
      </c>
      <c r="M922" s="41"/>
      <c r="N922" s="45">
        <v>838246</v>
      </c>
      <c r="O922" s="8">
        <f t="shared" si="137"/>
        <v>0</v>
      </c>
      <c r="P922" s="9"/>
      <c r="Q922" s="42">
        <v>656484</v>
      </c>
      <c r="R922" s="44">
        <f t="shared" si="136"/>
        <v>592</v>
      </c>
      <c r="S922" s="358"/>
      <c r="T922" s="42">
        <v>21119</v>
      </c>
      <c r="U922" s="44">
        <f t="shared" si="138"/>
        <v>0</v>
      </c>
      <c r="V922" s="41"/>
      <c r="W922" s="42">
        <v>46858</v>
      </c>
      <c r="X922" s="74">
        <f t="shared" si="141"/>
        <v>0</v>
      </c>
      <c r="Y922" s="41"/>
      <c r="Z922" s="243"/>
    </row>
    <row r="923" spans="1:26">
      <c r="A923" s="150">
        <v>45452</v>
      </c>
      <c r="B923" s="154" t="s">
        <v>36</v>
      </c>
      <c r="C923" s="42">
        <v>3515053</v>
      </c>
      <c r="D923" s="315">
        <f t="shared" si="134"/>
        <v>0</v>
      </c>
      <c r="E923" s="41"/>
      <c r="F923" s="42">
        <v>8417617</v>
      </c>
      <c r="G923" s="255">
        <f t="shared" si="139"/>
        <v>0</v>
      </c>
      <c r="H923" s="125">
        <f t="shared" si="140"/>
        <v>-4.4060773480662982</v>
      </c>
      <c r="I923" s="41"/>
      <c r="J923" s="42">
        <v>4744779</v>
      </c>
      <c r="K923" s="85">
        <f t="shared" si="133"/>
        <v>0</v>
      </c>
      <c r="L923" s="124">
        <f t="shared" si="135"/>
        <v>0</v>
      </c>
      <c r="M923" s="41"/>
      <c r="N923" s="45">
        <v>838246</v>
      </c>
      <c r="O923" s="8">
        <f t="shared" si="137"/>
        <v>0</v>
      </c>
      <c r="P923" s="9"/>
      <c r="Q923" s="42">
        <v>656484</v>
      </c>
      <c r="R923" s="44">
        <f t="shared" si="136"/>
        <v>0</v>
      </c>
      <c r="S923" s="358"/>
      <c r="T923" s="42">
        <v>21119</v>
      </c>
      <c r="U923" s="44">
        <f t="shared" si="138"/>
        <v>0</v>
      </c>
      <c r="V923" s="41"/>
      <c r="W923" s="42">
        <v>46858</v>
      </c>
      <c r="X923" s="74">
        <f t="shared" si="141"/>
        <v>0</v>
      </c>
      <c r="Y923" s="41"/>
      <c r="Z923" s="243"/>
    </row>
    <row r="924" spans="1:26">
      <c r="A924" s="150">
        <v>45453</v>
      </c>
      <c r="B924" s="154" t="s">
        <v>108</v>
      </c>
      <c r="C924" s="42">
        <v>3515053</v>
      </c>
      <c r="D924" s="315">
        <f t="shared" si="134"/>
        <v>4527</v>
      </c>
      <c r="E924" s="41"/>
      <c r="F924" s="42">
        <v>8417617</v>
      </c>
      <c r="G924" s="255">
        <f t="shared" si="139"/>
        <v>10152</v>
      </c>
      <c r="H924" s="125">
        <f t="shared" si="140"/>
        <v>36.143646408839778</v>
      </c>
      <c r="I924" s="41"/>
      <c r="J924" s="42">
        <v>4744779</v>
      </c>
      <c r="K924" s="85">
        <f t="shared" si="133"/>
        <v>8666</v>
      </c>
      <c r="L924" s="124">
        <f t="shared" si="135"/>
        <v>64.19259259259259</v>
      </c>
      <c r="M924" s="41"/>
      <c r="N924" s="45">
        <v>838246</v>
      </c>
      <c r="O924" s="8">
        <f t="shared" si="137"/>
        <v>703</v>
      </c>
      <c r="P924" s="9"/>
      <c r="Q924" s="42">
        <v>656484</v>
      </c>
      <c r="R924" s="44">
        <f t="shared" si="136"/>
        <v>0</v>
      </c>
      <c r="S924" s="358"/>
      <c r="T924" s="42">
        <v>21119</v>
      </c>
      <c r="U924" s="44">
        <f t="shared" ref="U924:U959" si="142">T925-T924</f>
        <v>8</v>
      </c>
      <c r="V924" s="41"/>
      <c r="W924" s="42">
        <v>46858</v>
      </c>
      <c r="X924" s="74">
        <f t="shared" si="141"/>
        <v>0</v>
      </c>
      <c r="Y924" s="41"/>
      <c r="Z924" s="243"/>
    </row>
    <row r="925" spans="1:26">
      <c r="A925" s="150">
        <v>45454</v>
      </c>
      <c r="B925" s="154" t="s">
        <v>109</v>
      </c>
      <c r="C925" s="45">
        <v>3519580</v>
      </c>
      <c r="D925" s="323">
        <f t="shared" si="134"/>
        <v>5673</v>
      </c>
      <c r="E925" s="38"/>
      <c r="F925" s="45">
        <v>8427769</v>
      </c>
      <c r="G925" s="274">
        <f t="shared" si="139"/>
        <v>11090</v>
      </c>
      <c r="H925" s="127">
        <f t="shared" si="140"/>
        <v>41.900552486187848</v>
      </c>
      <c r="I925" s="38"/>
      <c r="J925" s="45">
        <v>4753445</v>
      </c>
      <c r="K925" s="1">
        <f t="shared" si="133"/>
        <v>4450</v>
      </c>
      <c r="L925" s="126">
        <f t="shared" si="135"/>
        <v>32.962962962962962</v>
      </c>
      <c r="M925" s="38"/>
      <c r="N925" s="45">
        <v>838949</v>
      </c>
      <c r="O925" s="8">
        <f t="shared" si="137"/>
        <v>776</v>
      </c>
      <c r="P925" s="9"/>
      <c r="Q925" s="42">
        <v>656723</v>
      </c>
      <c r="R925" s="44">
        <f t="shared" si="136"/>
        <v>239</v>
      </c>
      <c r="S925" s="358"/>
      <c r="T925" s="45">
        <v>21127</v>
      </c>
      <c r="U925" s="9">
        <f t="shared" si="142"/>
        <v>8</v>
      </c>
      <c r="V925" s="38"/>
      <c r="W925" s="45">
        <v>46858</v>
      </c>
      <c r="X925" s="8">
        <f t="shared" si="141"/>
        <v>0</v>
      </c>
      <c r="Y925" s="38"/>
      <c r="Z925" s="243"/>
    </row>
    <row r="926" spans="1:26">
      <c r="A926" s="150">
        <v>45455</v>
      </c>
      <c r="B926" s="154" t="s">
        <v>110</v>
      </c>
      <c r="C926" s="45">
        <v>3525253</v>
      </c>
      <c r="D926" s="323">
        <f t="shared" si="134"/>
        <v>4389</v>
      </c>
      <c r="E926" s="38"/>
      <c r="F926" s="45">
        <v>8438859</v>
      </c>
      <c r="G926" s="274">
        <f t="shared" si="139"/>
        <v>10330</v>
      </c>
      <c r="H926" s="127">
        <f t="shared" si="140"/>
        <v>36.254143646408842</v>
      </c>
      <c r="I926" s="38"/>
      <c r="J926" s="45">
        <v>4757895</v>
      </c>
      <c r="K926" s="1">
        <f t="shared" si="133"/>
        <v>4825</v>
      </c>
      <c r="L926" s="126">
        <f t="shared" si="135"/>
        <v>35.74074074074074</v>
      </c>
      <c r="M926" s="38"/>
      <c r="N926" s="45">
        <v>839725</v>
      </c>
      <c r="O926" s="8">
        <f t="shared" si="137"/>
        <v>624</v>
      </c>
      <c r="P926" s="9"/>
      <c r="Q926" s="42">
        <v>656989</v>
      </c>
      <c r="R926" s="44">
        <f t="shared" si="136"/>
        <v>266</v>
      </c>
      <c r="S926" s="358"/>
      <c r="T926" s="45">
        <v>21135</v>
      </c>
      <c r="U926" s="9">
        <f t="shared" si="142"/>
        <v>17</v>
      </c>
      <c r="V926" s="38"/>
      <c r="W926" s="45">
        <v>46858</v>
      </c>
      <c r="X926" s="8">
        <f t="shared" si="141"/>
        <v>1</v>
      </c>
      <c r="Y926" s="38"/>
      <c r="Z926" s="243"/>
    </row>
    <row r="927" spans="1:26">
      <c r="A927" s="150">
        <v>45456</v>
      </c>
      <c r="B927" s="154" t="s">
        <v>111</v>
      </c>
      <c r="C927" s="45">
        <v>3529642</v>
      </c>
      <c r="D927" s="323">
        <f t="shared" si="134"/>
        <v>4846</v>
      </c>
      <c r="E927" s="38"/>
      <c r="F927" s="45">
        <v>8449189</v>
      </c>
      <c r="G927" s="274">
        <f t="shared" si="139"/>
        <v>10620</v>
      </c>
      <c r="H927" s="127">
        <f t="shared" si="140"/>
        <v>38.317679558011051</v>
      </c>
      <c r="I927" s="38"/>
      <c r="J927" s="45">
        <v>4762720</v>
      </c>
      <c r="K927" s="1">
        <f t="shared" si="133"/>
        <v>9374</v>
      </c>
      <c r="L927" s="126">
        <f t="shared" si="135"/>
        <v>69.437037037037044</v>
      </c>
      <c r="M927" s="38"/>
      <c r="N927" s="45">
        <v>840349</v>
      </c>
      <c r="O927" s="8">
        <f t="shared" si="137"/>
        <v>1407</v>
      </c>
      <c r="P927" s="9"/>
      <c r="Q927" s="42">
        <v>657247</v>
      </c>
      <c r="R927" s="44">
        <f t="shared" si="136"/>
        <v>258</v>
      </c>
      <c r="S927" s="358"/>
      <c r="T927" s="45">
        <v>21152</v>
      </c>
      <c r="U927" s="9">
        <f t="shared" si="142"/>
        <v>0</v>
      </c>
      <c r="V927" s="38"/>
      <c r="W927" s="45">
        <v>46859</v>
      </c>
      <c r="X927" s="8">
        <f t="shared" si="141"/>
        <v>8</v>
      </c>
      <c r="Y927" s="38"/>
      <c r="Z927" s="243"/>
    </row>
    <row r="928" spans="1:26">
      <c r="A928" s="150">
        <v>45457</v>
      </c>
      <c r="B928" s="154" t="s">
        <v>106</v>
      </c>
      <c r="C928" s="45">
        <v>3534488</v>
      </c>
      <c r="D928" s="323">
        <f t="shared" si="134"/>
        <v>4163</v>
      </c>
      <c r="E928" s="38"/>
      <c r="F928" s="45">
        <v>8459809</v>
      </c>
      <c r="G928" s="274">
        <f t="shared" si="139"/>
        <v>13051</v>
      </c>
      <c r="H928" s="127">
        <f t="shared" si="140"/>
        <v>43.146408839779006</v>
      </c>
      <c r="I928" s="38"/>
      <c r="J928" s="45">
        <v>4772094</v>
      </c>
      <c r="K928" s="1">
        <f t="shared" si="133"/>
        <v>4810</v>
      </c>
      <c r="L928" s="126">
        <f t="shared" si="135"/>
        <v>35.629629629629626</v>
      </c>
      <c r="M928" s="38"/>
      <c r="N928" s="45">
        <v>841756</v>
      </c>
      <c r="O928" s="8">
        <f t="shared" si="137"/>
        <v>671</v>
      </c>
      <c r="P928" s="9"/>
      <c r="Q928" s="42">
        <v>657413</v>
      </c>
      <c r="R928" s="44">
        <f t="shared" si="136"/>
        <v>166</v>
      </c>
      <c r="S928" s="358"/>
      <c r="T928" s="45">
        <v>21152</v>
      </c>
      <c r="U928" s="9">
        <f t="shared" si="142"/>
        <v>300</v>
      </c>
      <c r="V928" s="38"/>
      <c r="W928" s="45">
        <v>46867</v>
      </c>
      <c r="X928" s="8">
        <f t="shared" si="141"/>
        <v>0</v>
      </c>
      <c r="Y928" s="38"/>
      <c r="Z928" s="243"/>
    </row>
    <row r="929" spans="1:26">
      <c r="A929" s="150">
        <v>45458</v>
      </c>
      <c r="B929" s="154" t="s">
        <v>107</v>
      </c>
      <c r="C929" s="45">
        <v>3538651</v>
      </c>
      <c r="D929" s="323">
        <f t="shared" si="134"/>
        <v>0</v>
      </c>
      <c r="E929" s="38"/>
      <c r="F929" s="45">
        <v>8472860</v>
      </c>
      <c r="G929" s="274">
        <f t="shared" si="139"/>
        <v>0</v>
      </c>
      <c r="H929" s="127">
        <f t="shared" si="140"/>
        <v>-4.4060773480662982</v>
      </c>
      <c r="I929" s="38"/>
      <c r="J929" s="45">
        <v>4776904</v>
      </c>
      <c r="K929" s="1">
        <f t="shared" si="133"/>
        <v>0</v>
      </c>
      <c r="L929" s="126">
        <f t="shared" si="135"/>
        <v>0</v>
      </c>
      <c r="M929" s="38"/>
      <c r="N929" s="45">
        <v>842427</v>
      </c>
      <c r="O929" s="8">
        <f t="shared" si="137"/>
        <v>812</v>
      </c>
      <c r="P929" s="9"/>
      <c r="Q929" s="42">
        <v>657994</v>
      </c>
      <c r="R929" s="44">
        <f t="shared" si="136"/>
        <v>581</v>
      </c>
      <c r="S929" s="358"/>
      <c r="T929" s="45">
        <v>21452</v>
      </c>
      <c r="U929" s="9">
        <f t="shared" si="142"/>
        <v>0</v>
      </c>
      <c r="V929" s="38"/>
      <c r="W929" s="45">
        <v>46867</v>
      </c>
      <c r="X929" s="8">
        <f t="shared" si="141"/>
        <v>0</v>
      </c>
      <c r="Y929" s="38"/>
      <c r="Z929" s="243"/>
    </row>
    <row r="930" spans="1:26">
      <c r="A930" s="150">
        <v>45459</v>
      </c>
      <c r="B930" s="154" t="s">
        <v>36</v>
      </c>
      <c r="C930" s="45">
        <v>3538651</v>
      </c>
      <c r="D930" s="323">
        <f t="shared" si="134"/>
        <v>0</v>
      </c>
      <c r="E930" s="38"/>
      <c r="F930" s="45">
        <v>8472860</v>
      </c>
      <c r="G930" s="274">
        <f t="shared" si="139"/>
        <v>0</v>
      </c>
      <c r="H930" s="127">
        <f t="shared" si="140"/>
        <v>-4.4060773480662982</v>
      </c>
      <c r="I930" s="38"/>
      <c r="J930" s="45">
        <v>4776904</v>
      </c>
      <c r="K930" s="1">
        <f t="shared" si="133"/>
        <v>0</v>
      </c>
      <c r="L930" s="126">
        <f t="shared" si="135"/>
        <v>0</v>
      </c>
      <c r="M930" s="38"/>
      <c r="N930" s="45">
        <v>843239</v>
      </c>
      <c r="O930" s="8">
        <f t="shared" si="137"/>
        <v>0</v>
      </c>
      <c r="P930" s="9"/>
      <c r="Q930" s="42">
        <v>657994</v>
      </c>
      <c r="R930" s="44">
        <f t="shared" si="136"/>
        <v>0</v>
      </c>
      <c r="S930" s="358"/>
      <c r="T930" s="45">
        <v>21452</v>
      </c>
      <c r="U930" s="9">
        <f t="shared" si="142"/>
        <v>0</v>
      </c>
      <c r="V930" s="38"/>
      <c r="W930" s="45">
        <v>46867</v>
      </c>
      <c r="X930" s="8">
        <f t="shared" si="141"/>
        <v>0</v>
      </c>
      <c r="Y930" s="38"/>
      <c r="Z930" s="243"/>
    </row>
    <row r="931" spans="1:26">
      <c r="A931" s="150">
        <v>45460</v>
      </c>
      <c r="B931" s="154" t="s">
        <v>108</v>
      </c>
      <c r="C931" s="45">
        <v>3538651</v>
      </c>
      <c r="D931" s="323">
        <f t="shared" si="134"/>
        <v>4690</v>
      </c>
      <c r="E931" s="38"/>
      <c r="F931" s="45">
        <v>8472860</v>
      </c>
      <c r="G931" s="274">
        <f t="shared" si="139"/>
        <v>10290</v>
      </c>
      <c r="H931" s="127">
        <f t="shared" si="140"/>
        <v>36.975138121546962</v>
      </c>
      <c r="I931" s="38"/>
      <c r="J931" s="45">
        <v>4776904</v>
      </c>
      <c r="K931" s="1">
        <f t="shared" si="133"/>
        <v>6318</v>
      </c>
      <c r="L931" s="126">
        <f t="shared" si="135"/>
        <v>46.8</v>
      </c>
      <c r="M931" s="38"/>
      <c r="N931" s="45">
        <v>843239</v>
      </c>
      <c r="O931" s="8">
        <f t="shared" si="137"/>
        <v>747</v>
      </c>
      <c r="P931" s="9"/>
      <c r="Q931" s="42">
        <v>657994</v>
      </c>
      <c r="R931" s="44">
        <f t="shared" si="136"/>
        <v>0</v>
      </c>
      <c r="S931" s="358"/>
      <c r="T931" s="45">
        <v>21452</v>
      </c>
      <c r="U931" s="9">
        <f t="shared" si="142"/>
        <v>239</v>
      </c>
      <c r="V931" s="38"/>
      <c r="W931" s="45">
        <v>46867</v>
      </c>
      <c r="X931" s="8">
        <f t="shared" si="141"/>
        <v>0</v>
      </c>
      <c r="Y931" s="38"/>
      <c r="Z931" s="243"/>
    </row>
    <row r="932" spans="1:26">
      <c r="A932" s="150">
        <v>45461</v>
      </c>
      <c r="B932" s="154" t="s">
        <v>109</v>
      </c>
      <c r="C932" s="45">
        <v>3543341</v>
      </c>
      <c r="D932" s="323">
        <f t="shared" si="134"/>
        <v>5195</v>
      </c>
      <c r="E932" s="38"/>
      <c r="F932" s="45">
        <v>8483150</v>
      </c>
      <c r="G932" s="274">
        <f t="shared" si="139"/>
        <v>10977</v>
      </c>
      <c r="H932" s="127">
        <f t="shared" si="140"/>
        <v>40.267955801104975</v>
      </c>
      <c r="I932" s="38"/>
      <c r="J932" s="45">
        <v>4783222</v>
      </c>
      <c r="K932" s="1">
        <f t="shared" si="133"/>
        <v>7189</v>
      </c>
      <c r="L932" s="126">
        <f t="shared" si="135"/>
        <v>53.251851851851853</v>
      </c>
      <c r="M932" s="38"/>
      <c r="N932" s="45">
        <v>843986</v>
      </c>
      <c r="O932" s="8">
        <f t="shared" si="137"/>
        <v>842</v>
      </c>
      <c r="P932" s="9"/>
      <c r="Q932" s="42">
        <v>658230</v>
      </c>
      <c r="R932" s="44">
        <f t="shared" si="136"/>
        <v>236</v>
      </c>
      <c r="S932" s="358"/>
      <c r="T932" s="45">
        <v>21691</v>
      </c>
      <c r="U932" s="9">
        <f t="shared" si="142"/>
        <v>8</v>
      </c>
      <c r="V932" s="38"/>
      <c r="W932" s="45">
        <v>46867</v>
      </c>
      <c r="X932" s="8">
        <f t="shared" si="141"/>
        <v>0</v>
      </c>
      <c r="Y932" s="38"/>
      <c r="Z932" s="243"/>
    </row>
    <row r="933" spans="1:26">
      <c r="A933" s="150">
        <v>45462</v>
      </c>
      <c r="B933" s="154" t="s">
        <v>110</v>
      </c>
      <c r="C933" s="45">
        <v>3548536</v>
      </c>
      <c r="D933" s="323">
        <f t="shared" si="134"/>
        <v>4442</v>
      </c>
      <c r="E933" s="38"/>
      <c r="F933" s="45">
        <v>8494127</v>
      </c>
      <c r="G933" s="274">
        <f t="shared" si="139"/>
        <v>9771</v>
      </c>
      <c r="H933" s="127">
        <f t="shared" si="140"/>
        <v>34.856353591160222</v>
      </c>
      <c r="I933" s="38"/>
      <c r="J933" s="45">
        <v>4790411</v>
      </c>
      <c r="K933" s="1">
        <f t="shared" si="133"/>
        <v>4096</v>
      </c>
      <c r="L933" s="126">
        <f t="shared" si="135"/>
        <v>30.340740740740742</v>
      </c>
      <c r="M933" s="38"/>
      <c r="N933" s="45">
        <v>844828</v>
      </c>
      <c r="O933" s="8">
        <f t="shared" si="137"/>
        <v>619</v>
      </c>
      <c r="P933" s="9"/>
      <c r="Q933" s="42">
        <v>658556</v>
      </c>
      <c r="R933" s="44">
        <f t="shared" si="136"/>
        <v>326</v>
      </c>
      <c r="S933" s="358"/>
      <c r="T933" s="45">
        <v>21699</v>
      </c>
      <c r="U933" s="9">
        <f t="shared" si="142"/>
        <v>8</v>
      </c>
      <c r="V933" s="38"/>
      <c r="W933" s="45">
        <v>46867</v>
      </c>
      <c r="X933" s="8">
        <f t="shared" si="141"/>
        <v>1</v>
      </c>
      <c r="Y933" s="38"/>
      <c r="Z933" s="243"/>
    </row>
    <row r="934" spans="1:26">
      <c r="A934" s="150">
        <v>45463</v>
      </c>
      <c r="B934" s="154" t="s">
        <v>111</v>
      </c>
      <c r="C934" s="45">
        <v>3552978</v>
      </c>
      <c r="D934" s="323">
        <f t="shared" si="134"/>
        <v>4705</v>
      </c>
      <c r="E934" s="38"/>
      <c r="F934" s="45">
        <v>8503898</v>
      </c>
      <c r="G934" s="274">
        <f t="shared" si="139"/>
        <v>9676</v>
      </c>
      <c r="H934" s="127">
        <f t="shared" si="140"/>
        <v>35.320441988950279</v>
      </c>
      <c r="I934" s="38"/>
      <c r="J934" s="45">
        <v>4794507</v>
      </c>
      <c r="K934" s="1">
        <f t="shared" si="133"/>
        <v>9192</v>
      </c>
      <c r="L934" s="126">
        <f t="shared" si="135"/>
        <v>68.088888888888889</v>
      </c>
      <c r="M934" s="38"/>
      <c r="N934" s="45">
        <v>845447</v>
      </c>
      <c r="O934" s="8">
        <f t="shared" si="137"/>
        <v>894</v>
      </c>
      <c r="P934" s="9"/>
      <c r="Q934" s="42">
        <v>659027</v>
      </c>
      <c r="R934" s="44">
        <f t="shared" si="136"/>
        <v>471</v>
      </c>
      <c r="S934" s="358"/>
      <c r="T934" s="45">
        <v>21707</v>
      </c>
      <c r="U934" s="9">
        <f t="shared" si="142"/>
        <v>32</v>
      </c>
      <c r="V934" s="38"/>
      <c r="W934" s="45">
        <v>46868</v>
      </c>
      <c r="X934" s="8">
        <f t="shared" si="141"/>
        <v>0</v>
      </c>
      <c r="Y934" s="38"/>
      <c r="Z934" s="243"/>
    </row>
    <row r="935" spans="1:26">
      <c r="A935" s="150">
        <v>45464</v>
      </c>
      <c r="B935" s="154" t="s">
        <v>106</v>
      </c>
      <c r="C935" s="45">
        <v>3557683</v>
      </c>
      <c r="D935" s="323">
        <f t="shared" si="134"/>
        <v>4125</v>
      </c>
      <c r="E935" s="38"/>
      <c r="F935" s="45">
        <v>8513574</v>
      </c>
      <c r="G935" s="274">
        <f t="shared" si="139"/>
        <v>14234</v>
      </c>
      <c r="H935" s="127">
        <f t="shared" si="140"/>
        <v>46.309392265193367</v>
      </c>
      <c r="I935" s="38"/>
      <c r="J935" s="45">
        <v>4803699</v>
      </c>
      <c r="K935" s="1">
        <f t="shared" si="133"/>
        <v>4293</v>
      </c>
      <c r="L935" s="126">
        <f t="shared" si="135"/>
        <v>31.8</v>
      </c>
      <c r="M935" s="38"/>
      <c r="N935" s="45">
        <v>846341</v>
      </c>
      <c r="O935" s="8">
        <f t="shared" si="137"/>
        <v>736</v>
      </c>
      <c r="P935" s="9"/>
      <c r="Q935" s="42">
        <v>659027</v>
      </c>
      <c r="R935" s="44">
        <f t="shared" si="136"/>
        <v>0</v>
      </c>
      <c r="S935" s="358"/>
      <c r="T935" s="45">
        <v>21739</v>
      </c>
      <c r="U935" s="9">
        <f t="shared" si="142"/>
        <v>0</v>
      </c>
      <c r="V935" s="38"/>
      <c r="W935" s="45">
        <v>46868</v>
      </c>
      <c r="X935" s="8">
        <f t="shared" si="141"/>
        <v>0</v>
      </c>
      <c r="Y935" s="38"/>
      <c r="Z935" s="243"/>
    </row>
    <row r="936" spans="1:26">
      <c r="A936" s="150">
        <v>45465</v>
      </c>
      <c r="B936" s="154" t="s">
        <v>107</v>
      </c>
      <c r="C936" s="45">
        <v>3561808</v>
      </c>
      <c r="D936" s="323">
        <f t="shared" si="134"/>
        <v>0</v>
      </c>
      <c r="E936" s="38"/>
      <c r="F936" s="45">
        <v>8527808</v>
      </c>
      <c r="G936" s="274">
        <f t="shared" si="139"/>
        <v>0</v>
      </c>
      <c r="H936" s="127">
        <f t="shared" si="140"/>
        <v>-4.4060773480662982</v>
      </c>
      <c r="I936" s="38"/>
      <c r="J936" s="45">
        <v>4807992</v>
      </c>
      <c r="K936" s="1">
        <f t="shared" si="133"/>
        <v>0</v>
      </c>
      <c r="L936" s="126">
        <f t="shared" si="135"/>
        <v>0</v>
      </c>
      <c r="M936" s="38"/>
      <c r="N936" s="45">
        <v>847077</v>
      </c>
      <c r="O936" s="8">
        <f t="shared" si="137"/>
        <v>733</v>
      </c>
      <c r="P936" s="9"/>
      <c r="Q936" s="42">
        <v>659650</v>
      </c>
      <c r="R936" s="44">
        <f t="shared" si="136"/>
        <v>623</v>
      </c>
      <c r="S936" s="358"/>
      <c r="T936" s="45">
        <v>21739</v>
      </c>
      <c r="U936" s="9">
        <f t="shared" si="142"/>
        <v>0</v>
      </c>
      <c r="V936" s="38"/>
      <c r="W936" s="45">
        <v>46868</v>
      </c>
      <c r="X936" s="8">
        <f t="shared" si="141"/>
        <v>0</v>
      </c>
      <c r="Y936" s="38"/>
      <c r="Z936" s="243"/>
    </row>
    <row r="937" spans="1:26">
      <c r="A937" s="150">
        <v>45466</v>
      </c>
      <c r="B937" s="154" t="s">
        <v>36</v>
      </c>
      <c r="C937" s="45">
        <v>3561808</v>
      </c>
      <c r="D937" s="323">
        <f t="shared" si="134"/>
        <v>0</v>
      </c>
      <c r="E937" s="38"/>
      <c r="F937" s="45">
        <v>8527808</v>
      </c>
      <c r="G937" s="274">
        <f t="shared" si="139"/>
        <v>0</v>
      </c>
      <c r="H937" s="127">
        <f t="shared" si="140"/>
        <v>-4.4060773480662982</v>
      </c>
      <c r="I937" s="38"/>
      <c r="J937" s="45">
        <v>4807992</v>
      </c>
      <c r="K937" s="1">
        <f t="shared" si="133"/>
        <v>0</v>
      </c>
      <c r="L937" s="126">
        <f t="shared" si="135"/>
        <v>0</v>
      </c>
      <c r="M937" s="38"/>
      <c r="N937" s="45">
        <v>847810</v>
      </c>
      <c r="O937" s="8">
        <f t="shared" si="137"/>
        <v>0</v>
      </c>
      <c r="P937" s="9"/>
      <c r="Q937" s="42">
        <v>659650</v>
      </c>
      <c r="R937" s="44">
        <f t="shared" si="136"/>
        <v>0</v>
      </c>
      <c r="S937" s="358"/>
      <c r="T937" s="45">
        <v>21739</v>
      </c>
      <c r="U937" s="9">
        <f t="shared" si="142"/>
        <v>0</v>
      </c>
      <c r="V937" s="38"/>
      <c r="W937" s="45">
        <v>46868</v>
      </c>
      <c r="X937" s="8">
        <f t="shared" si="141"/>
        <v>0</v>
      </c>
      <c r="Y937" s="38"/>
      <c r="Z937" s="243"/>
    </row>
    <row r="938" spans="1:26">
      <c r="A938" s="150">
        <v>45467</v>
      </c>
      <c r="B938" s="154" t="s">
        <v>108</v>
      </c>
      <c r="C938" s="45">
        <v>3561808</v>
      </c>
      <c r="D938" s="323">
        <f t="shared" si="134"/>
        <v>4795</v>
      </c>
      <c r="E938" s="38"/>
      <c r="F938" s="45">
        <v>8527808</v>
      </c>
      <c r="G938" s="274">
        <f t="shared" si="139"/>
        <v>10353</v>
      </c>
      <c r="H938" s="127">
        <f t="shared" si="140"/>
        <v>37.439226519337019</v>
      </c>
      <c r="I938" s="38"/>
      <c r="J938" s="45">
        <v>4807992</v>
      </c>
      <c r="K938" s="1">
        <f t="shared" si="133"/>
        <v>4738</v>
      </c>
      <c r="L938" s="126">
        <f t="shared" si="135"/>
        <v>35.096296296296295</v>
      </c>
      <c r="M938" s="38"/>
      <c r="N938" s="45">
        <v>847810</v>
      </c>
      <c r="O938" s="8">
        <f t="shared" si="137"/>
        <v>852</v>
      </c>
      <c r="P938" s="9"/>
      <c r="Q938" s="42">
        <v>659650</v>
      </c>
      <c r="R938" s="44">
        <f t="shared" si="136"/>
        <v>0</v>
      </c>
      <c r="S938" s="358"/>
      <c r="T938" s="45">
        <v>21739</v>
      </c>
      <c r="U938" s="9">
        <f t="shared" si="142"/>
        <v>26</v>
      </c>
      <c r="V938" s="38"/>
      <c r="W938" s="45">
        <v>46868</v>
      </c>
      <c r="X938" s="8">
        <f t="shared" si="141"/>
        <v>3</v>
      </c>
      <c r="Y938" s="38"/>
      <c r="Z938" s="243"/>
    </row>
    <row r="939" spans="1:26">
      <c r="A939" s="150">
        <v>45468</v>
      </c>
      <c r="B939" s="154" t="s">
        <v>109</v>
      </c>
      <c r="C939" s="45">
        <v>3566603</v>
      </c>
      <c r="D939" s="323">
        <f t="shared" si="134"/>
        <v>4091</v>
      </c>
      <c r="E939" s="38"/>
      <c r="F939" s="45">
        <v>8538161</v>
      </c>
      <c r="G939" s="274">
        <f t="shared" si="139"/>
        <v>9375</v>
      </c>
      <c r="H939" s="127">
        <f t="shared" si="140"/>
        <v>32.792817679558013</v>
      </c>
      <c r="I939" s="38"/>
      <c r="J939" s="45">
        <v>4812730</v>
      </c>
      <c r="K939" s="1">
        <f t="shared" si="133"/>
        <v>8907</v>
      </c>
      <c r="L939" s="126">
        <f t="shared" si="135"/>
        <v>65.977777777777774</v>
      </c>
      <c r="M939" s="38"/>
      <c r="N939" s="45">
        <v>848662</v>
      </c>
      <c r="O939" s="8">
        <f t="shared" si="137"/>
        <v>1075</v>
      </c>
      <c r="P939" s="9"/>
      <c r="Q939" s="42">
        <v>659888</v>
      </c>
      <c r="R939" s="44">
        <f t="shared" si="136"/>
        <v>238</v>
      </c>
      <c r="S939" s="358"/>
      <c r="T939" s="45">
        <v>21765</v>
      </c>
      <c r="U939" s="9">
        <f t="shared" si="142"/>
        <v>6</v>
      </c>
      <c r="V939" s="38"/>
      <c r="W939" s="45">
        <v>46871</v>
      </c>
      <c r="X939" s="8">
        <f t="shared" si="141"/>
        <v>0</v>
      </c>
      <c r="Y939" s="38"/>
      <c r="Z939" s="243"/>
    </row>
    <row r="940" spans="1:26">
      <c r="A940" s="150">
        <v>45469</v>
      </c>
      <c r="B940" s="154" t="s">
        <v>110</v>
      </c>
      <c r="C940" s="45">
        <v>3570694</v>
      </c>
      <c r="D940" s="323">
        <f t="shared" si="134"/>
        <v>4800</v>
      </c>
      <c r="E940" s="38"/>
      <c r="F940" s="45">
        <v>8547536</v>
      </c>
      <c r="G940" s="274">
        <f t="shared" si="139"/>
        <v>10353</v>
      </c>
      <c r="H940" s="127">
        <f t="shared" si="140"/>
        <v>37.453038674033152</v>
      </c>
      <c r="I940" s="38"/>
      <c r="J940" s="45">
        <v>4821637</v>
      </c>
      <c r="K940" s="1">
        <f t="shared" si="133"/>
        <v>4565</v>
      </c>
      <c r="L940" s="126">
        <f t="shared" si="135"/>
        <v>33.814814814814817</v>
      </c>
      <c r="M940" s="38"/>
      <c r="N940" s="45">
        <v>849737</v>
      </c>
      <c r="O940" s="8">
        <f t="shared" si="137"/>
        <v>526</v>
      </c>
      <c r="P940" s="9"/>
      <c r="Q940" s="42">
        <v>660105</v>
      </c>
      <c r="R940" s="44">
        <f t="shared" si="136"/>
        <v>217</v>
      </c>
      <c r="S940" s="358"/>
      <c r="T940" s="45">
        <v>21771</v>
      </c>
      <c r="U940" s="9">
        <f t="shared" si="142"/>
        <v>8</v>
      </c>
      <c r="V940" s="38"/>
      <c r="W940" s="45">
        <v>46871</v>
      </c>
      <c r="X940" s="8">
        <f t="shared" si="141"/>
        <v>1</v>
      </c>
      <c r="Y940" s="38"/>
      <c r="Z940" s="243"/>
    </row>
    <row r="941" spans="1:26">
      <c r="A941" s="150">
        <v>45470</v>
      </c>
      <c r="B941" s="154" t="s">
        <v>111</v>
      </c>
      <c r="C941" s="45">
        <v>3575494</v>
      </c>
      <c r="D941" s="323">
        <f t="shared" si="134"/>
        <v>4965</v>
      </c>
      <c r="E941" s="38"/>
      <c r="F941" s="45">
        <v>8557889</v>
      </c>
      <c r="G941" s="274">
        <f t="shared" si="139"/>
        <v>10742</v>
      </c>
      <c r="H941" s="127">
        <f t="shared" si="140"/>
        <v>38.983425414364639</v>
      </c>
      <c r="I941" s="38"/>
      <c r="J941" s="45">
        <v>4826202</v>
      </c>
      <c r="K941" s="1">
        <f t="shared" si="133"/>
        <v>8161</v>
      </c>
      <c r="L941" s="126">
        <f t="shared" si="135"/>
        <v>60.451851851851849</v>
      </c>
      <c r="M941" s="38"/>
      <c r="N941" s="45">
        <v>850263</v>
      </c>
      <c r="O941" s="8">
        <f t="shared" si="137"/>
        <v>926</v>
      </c>
      <c r="P941" s="9"/>
      <c r="Q941" s="42">
        <v>660332</v>
      </c>
      <c r="R941" s="44">
        <f t="shared" si="136"/>
        <v>227</v>
      </c>
      <c r="S941" s="358"/>
      <c r="T941" s="45">
        <v>21779</v>
      </c>
      <c r="U941" s="9">
        <f t="shared" si="142"/>
        <v>9</v>
      </c>
      <c r="V941" s="38"/>
      <c r="W941" s="45">
        <v>46872</v>
      </c>
      <c r="X941" s="8">
        <f t="shared" si="141"/>
        <v>0</v>
      </c>
      <c r="Y941" s="38"/>
      <c r="Z941" s="243"/>
    </row>
    <row r="942" spans="1:26">
      <c r="A942" s="150">
        <v>45471</v>
      </c>
      <c r="B942" s="154" t="s">
        <v>106</v>
      </c>
      <c r="C942" s="45">
        <v>3580459</v>
      </c>
      <c r="D942" s="323">
        <f t="shared" si="134"/>
        <v>3860</v>
      </c>
      <c r="E942" s="38"/>
      <c r="F942" s="45">
        <v>8568631</v>
      </c>
      <c r="G942" s="274">
        <f t="shared" si="139"/>
        <v>12770</v>
      </c>
      <c r="H942" s="127">
        <f t="shared" si="140"/>
        <v>41.533149171270715</v>
      </c>
      <c r="I942" s="38"/>
      <c r="J942" s="45">
        <v>4834363</v>
      </c>
      <c r="K942" s="1">
        <f t="shared" si="133"/>
        <v>4405</v>
      </c>
      <c r="L942" s="126">
        <f t="shared" si="135"/>
        <v>32.629629629629626</v>
      </c>
      <c r="M942" s="38"/>
      <c r="N942" s="45">
        <v>851189</v>
      </c>
      <c r="O942" s="8">
        <f t="shared" si="137"/>
        <v>588</v>
      </c>
      <c r="P942" s="9"/>
      <c r="Q942" s="42">
        <v>660611</v>
      </c>
      <c r="R942" s="44">
        <f t="shared" si="136"/>
        <v>279</v>
      </c>
      <c r="S942" s="358"/>
      <c r="T942" s="45">
        <v>21788</v>
      </c>
      <c r="U942" s="9">
        <f t="shared" si="142"/>
        <v>188</v>
      </c>
      <c r="V942" s="38"/>
      <c r="W942" s="45">
        <v>46872</v>
      </c>
      <c r="X942" s="8">
        <f t="shared" si="141"/>
        <v>1</v>
      </c>
      <c r="Y942" s="38"/>
      <c r="Z942" s="243"/>
    </row>
    <row r="943" spans="1:26">
      <c r="A943" s="150">
        <v>45472</v>
      </c>
      <c r="B943" s="154" t="s">
        <v>107</v>
      </c>
      <c r="C943" s="45">
        <v>3584319</v>
      </c>
      <c r="D943" s="323">
        <f t="shared" si="134"/>
        <v>0</v>
      </c>
      <c r="E943" s="38"/>
      <c r="F943" s="45">
        <v>8581401</v>
      </c>
      <c r="G943" s="274">
        <f t="shared" si="139"/>
        <v>0</v>
      </c>
      <c r="H943" s="127">
        <f t="shared" si="140"/>
        <v>-4.4060773480662982</v>
      </c>
      <c r="I943" s="38"/>
      <c r="J943" s="45">
        <v>4838768</v>
      </c>
      <c r="K943" s="1">
        <f t="shared" ref="K943:K1006" si="143">IF(J944&gt;0,J944-J943," ")</f>
        <v>0</v>
      </c>
      <c r="L943" s="126">
        <f t="shared" si="135"/>
        <v>0</v>
      </c>
      <c r="M943" s="38"/>
      <c r="N943" s="45">
        <v>851777</v>
      </c>
      <c r="O943" s="8">
        <f t="shared" si="137"/>
        <v>758</v>
      </c>
      <c r="P943" s="9"/>
      <c r="Q943" s="42">
        <v>661200</v>
      </c>
      <c r="R943" s="44">
        <f t="shared" si="136"/>
        <v>589</v>
      </c>
      <c r="S943" s="358"/>
      <c r="T943" s="45">
        <v>21976</v>
      </c>
      <c r="U943" s="9">
        <f t="shared" si="142"/>
        <v>0</v>
      </c>
      <c r="V943" s="38"/>
      <c r="W943" s="45">
        <v>46873</v>
      </c>
      <c r="X943" s="8">
        <f t="shared" si="141"/>
        <v>0</v>
      </c>
      <c r="Y943" s="38"/>
      <c r="Z943" s="243"/>
    </row>
    <row r="944" spans="1:26">
      <c r="A944" s="150">
        <v>45473</v>
      </c>
      <c r="B944" s="154" t="s">
        <v>36</v>
      </c>
      <c r="C944" s="45">
        <v>3584319</v>
      </c>
      <c r="D944" s="323">
        <f t="shared" si="134"/>
        <v>0</v>
      </c>
      <c r="E944" s="38"/>
      <c r="F944" s="45">
        <v>8581401</v>
      </c>
      <c r="G944" s="274">
        <f t="shared" si="139"/>
        <v>0</v>
      </c>
      <c r="H944" s="127">
        <f t="shared" si="140"/>
        <v>-4.4060773480662982</v>
      </c>
      <c r="I944" s="38"/>
      <c r="J944" s="45">
        <v>4838768</v>
      </c>
      <c r="K944" s="1">
        <f t="shared" si="143"/>
        <v>0</v>
      </c>
      <c r="L944" s="126">
        <f t="shared" si="135"/>
        <v>0</v>
      </c>
      <c r="M944" s="38"/>
      <c r="N944" s="45">
        <v>852535</v>
      </c>
      <c r="O944" s="8">
        <f t="shared" si="137"/>
        <v>0</v>
      </c>
      <c r="P944" s="9"/>
      <c r="Q944" s="42">
        <v>661200</v>
      </c>
      <c r="R944" s="44">
        <f t="shared" si="136"/>
        <v>0</v>
      </c>
      <c r="S944" s="358"/>
      <c r="T944" s="45">
        <v>21976</v>
      </c>
      <c r="U944" s="9">
        <f t="shared" si="142"/>
        <v>0</v>
      </c>
      <c r="V944" s="38"/>
      <c r="W944" s="45">
        <v>46873</v>
      </c>
      <c r="X944" s="8">
        <f t="shared" si="141"/>
        <v>0</v>
      </c>
      <c r="Y944" s="38"/>
      <c r="Z944" s="243"/>
    </row>
    <row r="945" spans="1:26">
      <c r="A945" s="150">
        <v>45474</v>
      </c>
      <c r="B945" s="154" t="s">
        <v>108</v>
      </c>
      <c r="C945" s="45">
        <v>3584319</v>
      </c>
      <c r="D945" s="323">
        <f t="shared" si="134"/>
        <v>4841</v>
      </c>
      <c r="E945" s="38"/>
      <c r="F945" s="45">
        <v>8581401</v>
      </c>
      <c r="G945" s="274">
        <f t="shared" si="139"/>
        <v>10446</v>
      </c>
      <c r="H945" s="127">
        <f t="shared" si="140"/>
        <v>37.8232044198895</v>
      </c>
      <c r="I945" s="38"/>
      <c r="J945" s="45">
        <v>4838768</v>
      </c>
      <c r="K945" s="1">
        <f t="shared" si="143"/>
        <v>4412</v>
      </c>
      <c r="L945" s="126">
        <f t="shared" si="135"/>
        <v>32.681481481481484</v>
      </c>
      <c r="M945" s="38"/>
      <c r="N945" s="45">
        <v>852535</v>
      </c>
      <c r="O945" s="8">
        <f t="shared" si="137"/>
        <v>710</v>
      </c>
      <c r="P945" s="9"/>
      <c r="Q945" s="42">
        <v>661200</v>
      </c>
      <c r="R945" s="44">
        <f t="shared" si="136"/>
        <v>0</v>
      </c>
      <c r="S945" s="358"/>
      <c r="T945" s="45">
        <v>21976</v>
      </c>
      <c r="U945" s="9">
        <f t="shared" si="142"/>
        <v>0</v>
      </c>
      <c r="V945" s="38"/>
      <c r="W945" s="45">
        <v>46873</v>
      </c>
      <c r="X945" s="8">
        <f t="shared" si="141"/>
        <v>0</v>
      </c>
      <c r="Y945" s="38"/>
      <c r="Z945" s="243"/>
    </row>
    <row r="946" spans="1:26">
      <c r="A946" s="150">
        <v>45475</v>
      </c>
      <c r="B946" s="154" t="s">
        <v>109</v>
      </c>
      <c r="C946" s="45">
        <v>3589160</v>
      </c>
      <c r="D946" s="323">
        <f t="shared" si="134"/>
        <v>3052</v>
      </c>
      <c r="E946" s="38"/>
      <c r="F946" s="45">
        <v>8591847</v>
      </c>
      <c r="G946" s="274">
        <f t="shared" si="139"/>
        <v>7415</v>
      </c>
      <c r="H946" s="127">
        <f t="shared" si="140"/>
        <v>24.50828729281768</v>
      </c>
      <c r="I946" s="38"/>
      <c r="J946" s="45">
        <v>4843180</v>
      </c>
      <c r="K946" s="1">
        <f t="shared" si="143"/>
        <v>9182</v>
      </c>
      <c r="L946" s="126">
        <f t="shared" si="135"/>
        <v>68.014814814814812</v>
      </c>
      <c r="M946" s="38"/>
      <c r="N946" s="45">
        <v>853245</v>
      </c>
      <c r="O946" s="8">
        <f t="shared" si="137"/>
        <v>717</v>
      </c>
      <c r="P946" s="9"/>
      <c r="Q946" s="42">
        <v>661424</v>
      </c>
      <c r="R946" s="44">
        <f t="shared" si="136"/>
        <v>224</v>
      </c>
      <c r="S946" s="358"/>
      <c r="T946" s="45">
        <v>21976</v>
      </c>
      <c r="U946" s="9">
        <f t="shared" si="142"/>
        <v>24</v>
      </c>
      <c r="V946" s="38"/>
      <c r="W946" s="45">
        <v>46873</v>
      </c>
      <c r="X946" s="8">
        <f t="shared" si="141"/>
        <v>0</v>
      </c>
      <c r="Y946" s="38"/>
      <c r="Z946" s="243"/>
    </row>
    <row r="947" spans="1:26">
      <c r="A947" s="150">
        <v>45476</v>
      </c>
      <c r="B947" s="154" t="s">
        <v>110</v>
      </c>
      <c r="C947" s="45">
        <v>3592212</v>
      </c>
      <c r="D947" s="323">
        <f t="shared" si="134"/>
        <v>12123</v>
      </c>
      <c r="E947" s="38"/>
      <c r="F947" s="45">
        <v>8599262</v>
      </c>
      <c r="G947" s="274">
        <f t="shared" si="139"/>
        <v>26263</v>
      </c>
      <c r="H947" s="127">
        <f t="shared" si="140"/>
        <v>101.63259668508287</v>
      </c>
      <c r="I947" s="38"/>
      <c r="J947" s="45">
        <v>4852362</v>
      </c>
      <c r="K947" s="1">
        <f t="shared" si="143"/>
        <v>13805</v>
      </c>
      <c r="L947" s="126">
        <f t="shared" si="135"/>
        <v>102.25925925925925</v>
      </c>
      <c r="M947" s="38"/>
      <c r="N947" s="45">
        <v>853962</v>
      </c>
      <c r="O947" s="8">
        <f t="shared" si="137"/>
        <v>709</v>
      </c>
      <c r="P947" s="9"/>
      <c r="Q947" s="42">
        <v>661629</v>
      </c>
      <c r="R947" s="44">
        <f t="shared" si="136"/>
        <v>205</v>
      </c>
      <c r="S947" s="358"/>
      <c r="T947" s="45">
        <v>22000</v>
      </c>
      <c r="U947" s="9">
        <f t="shared" si="142"/>
        <v>7</v>
      </c>
      <c r="V947" s="38"/>
      <c r="W947" s="45">
        <v>46873</v>
      </c>
      <c r="X947" s="8">
        <f t="shared" si="141"/>
        <v>1</v>
      </c>
      <c r="Y947" s="38"/>
      <c r="Z947" s="243"/>
    </row>
    <row r="948" spans="1:26">
      <c r="A948" s="150">
        <v>45477</v>
      </c>
      <c r="B948" s="154" t="s">
        <v>111</v>
      </c>
      <c r="C948" s="45">
        <v>3604335</v>
      </c>
      <c r="D948" s="323">
        <f t="shared" si="134"/>
        <v>0</v>
      </c>
      <c r="E948" s="38"/>
      <c r="F948" s="45">
        <v>8625525</v>
      </c>
      <c r="G948" s="274">
        <f t="shared" si="139"/>
        <v>0</v>
      </c>
      <c r="H948" s="127">
        <f t="shared" si="140"/>
        <v>-4.4060773480662982</v>
      </c>
      <c r="I948" s="38"/>
      <c r="J948" s="45">
        <v>4866167</v>
      </c>
      <c r="K948" s="1">
        <f t="shared" si="143"/>
        <v>0</v>
      </c>
      <c r="L948" s="126">
        <f t="shared" si="135"/>
        <v>0</v>
      </c>
      <c r="M948" s="38"/>
      <c r="N948" s="45">
        <v>854671</v>
      </c>
      <c r="O948" s="8">
        <f t="shared" si="137"/>
        <v>1510</v>
      </c>
      <c r="P948" s="9"/>
      <c r="Q948" s="42">
        <v>661851</v>
      </c>
      <c r="R948" s="44">
        <f t="shared" si="136"/>
        <v>222</v>
      </c>
      <c r="S948" s="358"/>
      <c r="T948" s="45">
        <v>22007</v>
      </c>
      <c r="U948" s="9">
        <f t="shared" si="142"/>
        <v>265</v>
      </c>
      <c r="V948" s="38"/>
      <c r="W948" s="45">
        <v>46874</v>
      </c>
      <c r="X948" s="8">
        <f t="shared" si="141"/>
        <v>0</v>
      </c>
      <c r="Y948" s="38"/>
      <c r="Z948" s="243"/>
    </row>
    <row r="949" spans="1:26">
      <c r="A949" s="150">
        <v>45478</v>
      </c>
      <c r="B949" s="154" t="s">
        <v>106</v>
      </c>
      <c r="C949" s="45">
        <v>3604335</v>
      </c>
      <c r="D949" s="323">
        <f t="shared" si="134"/>
        <v>1288</v>
      </c>
      <c r="E949" s="38"/>
      <c r="F949" s="45">
        <v>8625525</v>
      </c>
      <c r="G949" s="274">
        <f t="shared" si="139"/>
        <v>11319</v>
      </c>
      <c r="H949" s="127">
        <f t="shared" si="140"/>
        <v>30.41988950276243</v>
      </c>
      <c r="I949" s="38"/>
      <c r="J949" s="45">
        <v>4866167</v>
      </c>
      <c r="K949" s="1">
        <f t="shared" si="143"/>
        <v>3670</v>
      </c>
      <c r="L949" s="126">
        <f t="shared" si="135"/>
        <v>27.185185185185187</v>
      </c>
      <c r="M949" s="38"/>
      <c r="N949" s="45">
        <v>856181</v>
      </c>
      <c r="O949" s="8">
        <f t="shared" si="137"/>
        <v>648</v>
      </c>
      <c r="P949" s="9"/>
      <c r="Q949" s="42">
        <v>662077</v>
      </c>
      <c r="R949" s="44">
        <f t="shared" si="136"/>
        <v>226</v>
      </c>
      <c r="S949" s="358"/>
      <c r="T949" s="45">
        <v>22272</v>
      </c>
      <c r="U949" s="9">
        <f t="shared" si="142"/>
        <v>0</v>
      </c>
      <c r="V949" s="38"/>
      <c r="W949" s="45">
        <v>46874</v>
      </c>
      <c r="X949" s="8">
        <f t="shared" si="141"/>
        <v>0</v>
      </c>
      <c r="Y949" s="38"/>
      <c r="Z949" s="243"/>
    </row>
    <row r="950" spans="1:26">
      <c r="A950" s="150">
        <v>45479</v>
      </c>
      <c r="B950" s="154" t="s">
        <v>107</v>
      </c>
      <c r="C950" s="45">
        <v>3605623</v>
      </c>
      <c r="D950" s="323">
        <f t="shared" si="134"/>
        <v>0</v>
      </c>
      <c r="E950" s="38"/>
      <c r="F950" s="45">
        <v>8636844</v>
      </c>
      <c r="G950" s="274">
        <f t="shared" si="139"/>
        <v>0</v>
      </c>
      <c r="H950" s="127">
        <f t="shared" si="140"/>
        <v>-4.4060773480662982</v>
      </c>
      <c r="I950" s="38"/>
      <c r="J950" s="45">
        <v>4869837</v>
      </c>
      <c r="K950" s="1">
        <f t="shared" si="143"/>
        <v>0</v>
      </c>
      <c r="L950" s="126">
        <f t="shared" si="135"/>
        <v>0</v>
      </c>
      <c r="M950" s="38"/>
      <c r="N950" s="45">
        <v>856829</v>
      </c>
      <c r="O950" s="8">
        <f t="shared" si="137"/>
        <v>0</v>
      </c>
      <c r="P950" s="9"/>
      <c r="Q950" s="42">
        <v>662651</v>
      </c>
      <c r="R950" s="44">
        <f t="shared" si="136"/>
        <v>574</v>
      </c>
      <c r="S950" s="358"/>
      <c r="T950" s="45">
        <v>22272</v>
      </c>
      <c r="U950" s="9">
        <f t="shared" si="142"/>
        <v>0</v>
      </c>
      <c r="V950" s="38"/>
      <c r="W950" s="45">
        <v>46874</v>
      </c>
      <c r="X950" s="8">
        <f t="shared" si="141"/>
        <v>0</v>
      </c>
      <c r="Y950" s="38"/>
      <c r="Z950" s="243"/>
    </row>
    <row r="951" spans="1:26">
      <c r="A951" s="150">
        <v>45480</v>
      </c>
      <c r="B951" s="154" t="s">
        <v>36</v>
      </c>
      <c r="C951" s="45">
        <v>3605623</v>
      </c>
      <c r="D951" s="323">
        <f t="shared" ref="D951:D961" si="144">IF(C952&gt;0,C952-C951," ")</f>
        <v>0</v>
      </c>
      <c r="E951" s="38"/>
      <c r="F951" s="45">
        <v>8636844</v>
      </c>
      <c r="G951" s="274">
        <f t="shared" si="139"/>
        <v>0</v>
      </c>
      <c r="H951" s="127">
        <f t="shared" si="140"/>
        <v>-4.4060773480662982</v>
      </c>
      <c r="I951" s="38"/>
      <c r="J951" s="45">
        <v>4869837</v>
      </c>
      <c r="K951" s="1">
        <f t="shared" si="143"/>
        <v>0</v>
      </c>
      <c r="L951" s="126">
        <f t="shared" ref="L951:L964" si="145">K951/135</f>
        <v>0</v>
      </c>
      <c r="M951" s="38"/>
      <c r="N951" s="45">
        <v>856829</v>
      </c>
      <c r="O951" s="8">
        <f t="shared" si="137"/>
        <v>0</v>
      </c>
      <c r="P951" s="9"/>
      <c r="Q951" s="42">
        <v>662651</v>
      </c>
      <c r="R951" s="44">
        <f t="shared" si="136"/>
        <v>0</v>
      </c>
      <c r="S951" s="358"/>
      <c r="T951" s="45">
        <v>22272</v>
      </c>
      <c r="U951" s="9">
        <f t="shared" si="142"/>
        <v>0</v>
      </c>
      <c r="V951" s="38"/>
      <c r="W951" s="45">
        <v>46874</v>
      </c>
      <c r="X951" s="8">
        <f t="shared" si="141"/>
        <v>0</v>
      </c>
      <c r="Y951" s="38"/>
      <c r="Z951" s="243"/>
    </row>
    <row r="952" spans="1:26">
      <c r="A952" s="150">
        <v>45481</v>
      </c>
      <c r="B952" s="154" t="s">
        <v>108</v>
      </c>
      <c r="C952" s="45">
        <v>3605623</v>
      </c>
      <c r="D952" s="323">
        <f t="shared" si="144"/>
        <v>0</v>
      </c>
      <c r="E952" s="38"/>
      <c r="F952" s="45">
        <v>8636844</v>
      </c>
      <c r="G952" s="274">
        <f t="shared" si="139"/>
        <v>0</v>
      </c>
      <c r="H952" s="127">
        <f t="shared" si="140"/>
        <v>-4.4060773480662982</v>
      </c>
      <c r="I952" s="38"/>
      <c r="J952" s="45">
        <v>4869837</v>
      </c>
      <c r="K952" s="1">
        <f t="shared" si="143"/>
        <v>0</v>
      </c>
      <c r="L952" s="126">
        <f t="shared" si="145"/>
        <v>0</v>
      </c>
      <c r="M952" s="38"/>
      <c r="N952" s="327">
        <v>856829</v>
      </c>
      <c r="O952" s="340">
        <f t="shared" si="137"/>
        <v>886</v>
      </c>
      <c r="P952" s="342"/>
      <c r="Q952" s="42">
        <v>662651</v>
      </c>
      <c r="R952" s="44">
        <f t="shared" si="136"/>
        <v>0</v>
      </c>
      <c r="S952" s="358"/>
      <c r="T952" s="45">
        <v>22272</v>
      </c>
      <c r="U952" s="9">
        <f t="shared" si="142"/>
        <v>0</v>
      </c>
      <c r="V952" s="38"/>
      <c r="W952" s="45">
        <v>46874</v>
      </c>
      <c r="X952" s="8">
        <f t="shared" si="141"/>
        <v>0</v>
      </c>
      <c r="Y952" s="38"/>
      <c r="Z952" s="243"/>
    </row>
    <row r="953" spans="1:26">
      <c r="A953" s="150">
        <v>45482</v>
      </c>
      <c r="B953" s="154" t="s">
        <v>109</v>
      </c>
      <c r="C953" s="45">
        <v>3605623</v>
      </c>
      <c r="D953" s="323">
        <f t="shared" si="144"/>
        <v>0</v>
      </c>
      <c r="E953" s="38"/>
      <c r="F953" s="45">
        <v>8636844</v>
      </c>
      <c r="G953" s="274">
        <f t="shared" si="139"/>
        <v>0</v>
      </c>
      <c r="H953" s="127">
        <f t="shared" si="140"/>
        <v>-4.4060773480662982</v>
      </c>
      <c r="I953" s="38"/>
      <c r="J953" s="45">
        <v>4869837</v>
      </c>
      <c r="K953" s="1">
        <f t="shared" si="143"/>
        <v>0</v>
      </c>
      <c r="L953" s="126">
        <f t="shared" si="145"/>
        <v>0</v>
      </c>
      <c r="M953" s="38"/>
      <c r="N953" s="327">
        <v>857715</v>
      </c>
      <c r="O953" s="340">
        <f t="shared" si="137"/>
        <v>0</v>
      </c>
      <c r="P953" s="342"/>
      <c r="Q953" s="42">
        <v>662856</v>
      </c>
      <c r="R953" s="44">
        <f t="shared" si="136"/>
        <v>205</v>
      </c>
      <c r="S953" s="358"/>
      <c r="T953" s="45">
        <v>22272</v>
      </c>
      <c r="U953" s="9">
        <f t="shared" si="142"/>
        <v>0</v>
      </c>
      <c r="V953" s="38"/>
      <c r="W953" s="45">
        <v>46874</v>
      </c>
      <c r="X953" s="8">
        <f t="shared" si="141"/>
        <v>0</v>
      </c>
      <c r="Y953" s="38"/>
      <c r="Z953" s="243"/>
    </row>
    <row r="954" spans="1:26">
      <c r="A954" s="150">
        <v>45483</v>
      </c>
      <c r="B954" s="154" t="s">
        <v>110</v>
      </c>
      <c r="C954" s="45">
        <v>3605623</v>
      </c>
      <c r="D954" s="323">
        <f t="shared" si="144"/>
        <v>4164</v>
      </c>
      <c r="E954" s="38"/>
      <c r="F954" s="45">
        <v>8636844</v>
      </c>
      <c r="G954" s="274">
        <f t="shared" si="139"/>
        <v>10120</v>
      </c>
      <c r="H954" s="127">
        <f t="shared" si="140"/>
        <v>35.052486187845304</v>
      </c>
      <c r="I954" s="38"/>
      <c r="J954" s="45">
        <v>4869837</v>
      </c>
      <c r="K954" s="1">
        <f t="shared" si="143"/>
        <v>4828</v>
      </c>
      <c r="L954" s="126">
        <f t="shared" si="145"/>
        <v>35.762962962962966</v>
      </c>
      <c r="M954" s="38"/>
      <c r="N954" s="327">
        <v>857715</v>
      </c>
      <c r="O954" s="340">
        <f t="shared" si="137"/>
        <v>666</v>
      </c>
      <c r="P954" s="342"/>
      <c r="Q954" s="42">
        <v>663068</v>
      </c>
      <c r="R954" s="44">
        <f t="shared" si="136"/>
        <v>212</v>
      </c>
      <c r="S954" s="358"/>
      <c r="T954" s="45">
        <v>22272</v>
      </c>
      <c r="U954" s="9">
        <f t="shared" si="142"/>
        <v>10</v>
      </c>
      <c r="V954" s="38"/>
      <c r="W954" s="45">
        <v>46874</v>
      </c>
      <c r="X954" s="8">
        <f t="shared" si="141"/>
        <v>0</v>
      </c>
      <c r="Y954" s="38"/>
      <c r="Z954" s="243"/>
    </row>
    <row r="955" spans="1:26">
      <c r="A955" s="150">
        <v>45484</v>
      </c>
      <c r="B955" s="154" t="s">
        <v>111</v>
      </c>
      <c r="C955" s="45">
        <v>3609787</v>
      </c>
      <c r="D955" s="323">
        <f t="shared" si="144"/>
        <v>4820</v>
      </c>
      <c r="E955" s="38">
        <v>90</v>
      </c>
      <c r="F955" s="45">
        <v>8646964</v>
      </c>
      <c r="G955" s="274">
        <f t="shared" si="139"/>
        <v>10047</v>
      </c>
      <c r="H955" s="127">
        <f t="shared" si="140"/>
        <v>36.662983425414367</v>
      </c>
      <c r="I955" s="38">
        <v>220</v>
      </c>
      <c r="J955" s="45">
        <v>4874665</v>
      </c>
      <c r="K955" s="1">
        <f t="shared" si="143"/>
        <v>4681</v>
      </c>
      <c r="L955" s="126">
        <f t="shared" si="145"/>
        <v>34.674074074074078</v>
      </c>
      <c r="M955" s="38">
        <v>122</v>
      </c>
      <c r="N955" s="327">
        <v>858381</v>
      </c>
      <c r="O955" s="340">
        <f t="shared" si="137"/>
        <v>814</v>
      </c>
      <c r="P955" s="342"/>
      <c r="Q955" s="42">
        <v>663275</v>
      </c>
      <c r="R955" s="44">
        <f t="shared" si="136"/>
        <v>207</v>
      </c>
      <c r="S955" s="358"/>
      <c r="T955" s="45">
        <v>22282</v>
      </c>
      <c r="U955" s="9">
        <f t="shared" si="142"/>
        <v>10</v>
      </c>
      <c r="V955" s="38" t="s">
        <v>131</v>
      </c>
      <c r="W955" s="45">
        <v>46874</v>
      </c>
      <c r="X955" s="8">
        <f t="shared" si="141"/>
        <v>0</v>
      </c>
      <c r="Y955" s="38"/>
      <c r="Z955" s="243"/>
    </row>
    <row r="956" spans="1:26">
      <c r="A956" s="150">
        <v>45485</v>
      </c>
      <c r="B956" s="154" t="s">
        <v>106</v>
      </c>
      <c r="C956" s="327">
        <v>3614607</v>
      </c>
      <c r="D956" s="328">
        <f t="shared" si="144"/>
        <v>3457</v>
      </c>
      <c r="E956" s="329"/>
      <c r="F956" s="327">
        <v>8657011</v>
      </c>
      <c r="G956" s="330">
        <f t="shared" si="139"/>
        <v>14914</v>
      </c>
      <c r="H956" s="331">
        <f t="shared" si="140"/>
        <v>46.342541436464089</v>
      </c>
      <c r="I956" s="329"/>
      <c r="J956" s="327">
        <v>4879346</v>
      </c>
      <c r="K956" s="332">
        <f t="shared" si="143"/>
        <v>9246</v>
      </c>
      <c r="L956" s="333">
        <f t="shared" si="145"/>
        <v>68.488888888888894</v>
      </c>
      <c r="M956" s="329"/>
      <c r="N956" s="327">
        <v>859195</v>
      </c>
      <c r="O956" s="340">
        <f t="shared" si="137"/>
        <v>766</v>
      </c>
      <c r="P956" s="342"/>
      <c r="Q956" s="42">
        <v>663475</v>
      </c>
      <c r="R956" s="44">
        <f t="shared" ref="R956:R1019" si="146">Q956-Q955</f>
        <v>200</v>
      </c>
      <c r="S956" s="358"/>
      <c r="T956" s="327">
        <v>22292</v>
      </c>
      <c r="U956" s="342">
        <f t="shared" si="142"/>
        <v>29</v>
      </c>
      <c r="V956" s="329"/>
      <c r="W956" s="327">
        <v>46874</v>
      </c>
      <c r="X956" s="340">
        <f t="shared" si="141"/>
        <v>2</v>
      </c>
      <c r="Y956" s="329"/>
      <c r="Z956" s="243"/>
    </row>
    <row r="957" spans="1:26">
      <c r="A957" s="150">
        <v>45486</v>
      </c>
      <c r="B957" s="154" t="s">
        <v>107</v>
      </c>
      <c r="C957" s="327">
        <v>3618064</v>
      </c>
      <c r="D957" s="328">
        <f t="shared" si="144"/>
        <v>0</v>
      </c>
      <c r="E957" s="329"/>
      <c r="F957" s="327">
        <v>8671925</v>
      </c>
      <c r="G957" s="330">
        <f t="shared" si="139"/>
        <v>0</v>
      </c>
      <c r="H957" s="331">
        <f t="shared" si="140"/>
        <v>-4.4060773480662982</v>
      </c>
      <c r="I957" s="329"/>
      <c r="J957" s="327">
        <v>4888592</v>
      </c>
      <c r="K957" s="332">
        <f t="shared" si="143"/>
        <v>0</v>
      </c>
      <c r="L957" s="333">
        <f t="shared" si="145"/>
        <v>0</v>
      </c>
      <c r="M957" s="329"/>
      <c r="N957" s="327">
        <v>859961</v>
      </c>
      <c r="O957" s="340">
        <f t="shared" si="137"/>
        <v>797</v>
      </c>
      <c r="P957" s="342"/>
      <c r="Q957" s="42">
        <v>663995</v>
      </c>
      <c r="R957" s="44">
        <f t="shared" si="146"/>
        <v>520</v>
      </c>
      <c r="S957" s="358"/>
      <c r="T957" s="327">
        <v>22321</v>
      </c>
      <c r="U957" s="342">
        <f t="shared" si="142"/>
        <v>0</v>
      </c>
      <c r="V957" s="329"/>
      <c r="W957" s="327">
        <v>46876</v>
      </c>
      <c r="X957" s="340">
        <f t="shared" si="141"/>
        <v>0</v>
      </c>
      <c r="Y957" s="329"/>
      <c r="Z957" s="243"/>
    </row>
    <row r="958" spans="1:26">
      <c r="A958" s="150">
        <v>45487</v>
      </c>
      <c r="B958" s="154" t="s">
        <v>36</v>
      </c>
      <c r="C958" s="327">
        <v>3618064</v>
      </c>
      <c r="D958" s="328">
        <f t="shared" si="144"/>
        <v>0</v>
      </c>
      <c r="E958" s="329"/>
      <c r="F958" s="327">
        <v>8671925</v>
      </c>
      <c r="G958" s="330">
        <f t="shared" si="139"/>
        <v>0</v>
      </c>
      <c r="H958" s="331">
        <f t="shared" si="140"/>
        <v>-4.4060773480662982</v>
      </c>
      <c r="I958" s="329"/>
      <c r="J958" s="327">
        <v>4888592</v>
      </c>
      <c r="K958" s="332">
        <f t="shared" si="143"/>
        <v>0</v>
      </c>
      <c r="L958" s="333">
        <f t="shared" si="145"/>
        <v>0</v>
      </c>
      <c r="M958" s="329"/>
      <c r="N958" s="327">
        <v>860758</v>
      </c>
      <c r="O958" s="340">
        <f t="shared" ref="O958:O1021" si="147">N959-N958</f>
        <v>0</v>
      </c>
      <c r="P958" s="342"/>
      <c r="Q958" s="42">
        <v>663995</v>
      </c>
      <c r="R958" s="44">
        <f t="shared" si="146"/>
        <v>0</v>
      </c>
      <c r="S958" s="358"/>
      <c r="T958" s="327">
        <v>22321</v>
      </c>
      <c r="U958" s="342">
        <f t="shared" si="142"/>
        <v>0</v>
      </c>
      <c r="V958" s="329"/>
      <c r="W958" s="327">
        <v>46876</v>
      </c>
      <c r="X958" s="340">
        <f t="shared" si="141"/>
        <v>0</v>
      </c>
      <c r="Y958" s="329"/>
      <c r="Z958" s="243"/>
    </row>
    <row r="959" spans="1:26">
      <c r="A959" s="150">
        <v>45488</v>
      </c>
      <c r="B959" s="154" t="s">
        <v>108</v>
      </c>
      <c r="C959" s="327">
        <v>3618064</v>
      </c>
      <c r="D959" s="328">
        <f t="shared" si="144"/>
        <v>4208</v>
      </c>
      <c r="E959" s="329"/>
      <c r="F959" s="327">
        <v>8671925</v>
      </c>
      <c r="G959" s="330">
        <f t="shared" si="139"/>
        <v>9606</v>
      </c>
      <c r="H959" s="331">
        <f t="shared" si="140"/>
        <v>33.754143646408842</v>
      </c>
      <c r="I959" s="329"/>
      <c r="J959" s="327">
        <v>4888592</v>
      </c>
      <c r="K959" s="332">
        <f t="shared" si="143"/>
        <v>4579</v>
      </c>
      <c r="L959" s="333">
        <f t="shared" si="145"/>
        <v>33.918518518518518</v>
      </c>
      <c r="M959" s="329"/>
      <c r="N959" s="327">
        <v>860758</v>
      </c>
      <c r="O959" s="340">
        <f t="shared" si="147"/>
        <v>745</v>
      </c>
      <c r="P959" s="342"/>
      <c r="Q959" s="42">
        <v>663995</v>
      </c>
      <c r="R959" s="44">
        <f t="shared" si="146"/>
        <v>0</v>
      </c>
      <c r="S959" s="358"/>
      <c r="T959" s="327">
        <v>22321</v>
      </c>
      <c r="U959" s="342">
        <f t="shared" si="142"/>
        <v>0</v>
      </c>
      <c r="V959" s="329"/>
      <c r="W959" s="327">
        <v>46876</v>
      </c>
      <c r="X959" s="340">
        <f t="shared" si="141"/>
        <v>0</v>
      </c>
      <c r="Y959" s="329"/>
      <c r="Z959" s="243"/>
    </row>
    <row r="960" spans="1:26">
      <c r="A960" s="150">
        <v>45489</v>
      </c>
      <c r="B960" s="154" t="s">
        <v>109</v>
      </c>
      <c r="C960" s="327">
        <v>3622272</v>
      </c>
      <c r="D960" s="328">
        <f t="shared" si="144"/>
        <v>4142</v>
      </c>
      <c r="E960" s="329"/>
      <c r="F960" s="327">
        <v>8681531</v>
      </c>
      <c r="G960" s="330">
        <f t="shared" si="139"/>
        <v>9573</v>
      </c>
      <c r="H960" s="331">
        <f t="shared" si="140"/>
        <v>33.480662983425411</v>
      </c>
      <c r="I960" s="329"/>
      <c r="J960" s="327">
        <v>4893171</v>
      </c>
      <c r="K960" s="332">
        <f t="shared" si="143"/>
        <v>5419</v>
      </c>
      <c r="L960" s="333">
        <f t="shared" si="145"/>
        <v>40.140740740740739</v>
      </c>
      <c r="M960" s="329"/>
      <c r="N960" s="327">
        <v>861503</v>
      </c>
      <c r="O960" s="340">
        <f t="shared" si="147"/>
        <v>684</v>
      </c>
      <c r="P960" s="342"/>
      <c r="Q960" s="42">
        <v>664183</v>
      </c>
      <c r="R960" s="44">
        <f t="shared" si="146"/>
        <v>188</v>
      </c>
      <c r="S960" s="358"/>
      <c r="T960" s="327">
        <v>22321</v>
      </c>
      <c r="U960" s="342">
        <f>T961-T960</f>
        <v>12</v>
      </c>
      <c r="V960" s="329"/>
      <c r="W960" s="327">
        <v>46876</v>
      </c>
      <c r="X960" s="340">
        <f t="shared" si="141"/>
        <v>0</v>
      </c>
      <c r="Y960" s="329"/>
      <c r="Z960" s="243"/>
    </row>
    <row r="961" spans="1:26">
      <c r="A961" s="150">
        <v>45490</v>
      </c>
      <c r="B961" s="154" t="s">
        <v>110</v>
      </c>
      <c r="C961" s="327">
        <v>3626414</v>
      </c>
      <c r="D961" s="328">
        <f t="shared" si="144"/>
        <v>4371</v>
      </c>
      <c r="E961" s="329"/>
      <c r="F961" s="334">
        <v>8691104</v>
      </c>
      <c r="G961" s="335">
        <f t="shared" si="139"/>
        <v>9913</v>
      </c>
      <c r="H961" s="336">
        <f t="shared" si="140"/>
        <v>35.052486187845304</v>
      </c>
      <c r="I961" s="337"/>
      <c r="J961" s="334">
        <v>4898590</v>
      </c>
      <c r="K961" s="338">
        <f t="shared" si="143"/>
        <v>8494</v>
      </c>
      <c r="L961" s="339">
        <f t="shared" si="145"/>
        <v>62.918518518518518</v>
      </c>
      <c r="M961" s="337"/>
      <c r="N961" s="334">
        <v>862187</v>
      </c>
      <c r="O961" s="341">
        <f t="shared" si="147"/>
        <v>698</v>
      </c>
      <c r="P961" s="343"/>
      <c r="Q961" s="132">
        <v>664383</v>
      </c>
      <c r="R961" s="314">
        <f t="shared" si="146"/>
        <v>200</v>
      </c>
      <c r="S961" s="372"/>
      <c r="T961" s="334">
        <v>22333</v>
      </c>
      <c r="U961" s="343">
        <f>T962-T961</f>
        <v>8</v>
      </c>
      <c r="V961" s="337"/>
      <c r="W961" s="334">
        <v>46876</v>
      </c>
      <c r="X961" s="341">
        <f t="shared" si="141"/>
        <v>6</v>
      </c>
      <c r="Y961" s="337"/>
      <c r="Z961" s="243"/>
    </row>
    <row r="962" spans="1:26">
      <c r="A962" s="150">
        <v>45491</v>
      </c>
      <c r="B962" s="154" t="s">
        <v>111</v>
      </c>
      <c r="C962" s="327">
        <v>3630785</v>
      </c>
      <c r="D962" s="328">
        <f t="shared" ref="D962:D1025" si="148">IF(C963&gt;0,C963-C962," ")</f>
        <v>4158</v>
      </c>
      <c r="E962" s="329"/>
      <c r="F962" s="327">
        <v>8701017</v>
      </c>
      <c r="G962" s="335">
        <f t="shared" si="139"/>
        <v>9609</v>
      </c>
      <c r="H962" s="336">
        <f t="shared" si="140"/>
        <v>33.624309392265197</v>
      </c>
      <c r="I962" s="329"/>
      <c r="J962" s="327">
        <v>4907084</v>
      </c>
      <c r="K962" s="338">
        <f t="shared" si="143"/>
        <v>4514</v>
      </c>
      <c r="L962" s="339">
        <f t="shared" si="145"/>
        <v>33.437037037037037</v>
      </c>
      <c r="M962" s="329"/>
      <c r="N962" s="327">
        <v>862885</v>
      </c>
      <c r="O962" s="341">
        <f t="shared" si="147"/>
        <v>620</v>
      </c>
      <c r="P962" s="342"/>
      <c r="Q962" s="42">
        <v>664584</v>
      </c>
      <c r="R962" s="314">
        <f t="shared" si="146"/>
        <v>201</v>
      </c>
      <c r="S962" s="358"/>
      <c r="T962" s="327">
        <v>22341</v>
      </c>
      <c r="U962" s="343">
        <f t="shared" ref="U962:U981" si="149">T963-T962</f>
        <v>36</v>
      </c>
      <c r="V962" s="329"/>
      <c r="W962" s="327">
        <v>46882</v>
      </c>
      <c r="X962" s="341">
        <f t="shared" si="141"/>
        <v>1199</v>
      </c>
      <c r="Y962" s="329"/>
      <c r="Z962" s="243"/>
    </row>
    <row r="963" spans="1:26">
      <c r="A963" s="150">
        <v>45492</v>
      </c>
      <c r="B963" s="154" t="s">
        <v>106</v>
      </c>
      <c r="C963" s="327">
        <v>3634943</v>
      </c>
      <c r="D963" s="328">
        <f t="shared" si="148"/>
        <v>3925</v>
      </c>
      <c r="E963" s="329"/>
      <c r="F963" s="327">
        <v>8710626</v>
      </c>
      <c r="G963" s="335">
        <f t="shared" si="139"/>
        <v>12628</v>
      </c>
      <c r="H963" s="336">
        <f t="shared" si="140"/>
        <v>41.320441988950279</v>
      </c>
      <c r="I963" s="329"/>
      <c r="J963" s="327">
        <v>4911598</v>
      </c>
      <c r="K963" s="338">
        <f t="shared" si="143"/>
        <v>5298</v>
      </c>
      <c r="L963" s="339">
        <f t="shared" si="145"/>
        <v>39.244444444444447</v>
      </c>
      <c r="M963" s="329"/>
      <c r="N963" s="327">
        <v>863505</v>
      </c>
      <c r="O963" s="341">
        <f t="shared" si="147"/>
        <v>1088</v>
      </c>
      <c r="P963" s="342"/>
      <c r="Q963" s="42">
        <v>664773</v>
      </c>
      <c r="R963" s="314">
        <f t="shared" si="146"/>
        <v>189</v>
      </c>
      <c r="S963" s="358"/>
      <c r="T963" s="327">
        <v>22377</v>
      </c>
      <c r="U963" s="343">
        <f t="shared" si="149"/>
        <v>0</v>
      </c>
      <c r="V963" s="329"/>
      <c r="W963" s="327">
        <v>48081</v>
      </c>
      <c r="X963" s="341">
        <f t="shared" si="141"/>
        <v>0</v>
      </c>
      <c r="Y963" s="329"/>
      <c r="Z963" s="243"/>
    </row>
    <row r="964" spans="1:26">
      <c r="A964" s="150">
        <v>45493</v>
      </c>
      <c r="B964" s="154" t="s">
        <v>107</v>
      </c>
      <c r="C964" s="327">
        <v>3638868</v>
      </c>
      <c r="D964" s="328">
        <f t="shared" si="148"/>
        <v>0</v>
      </c>
      <c r="E964" s="329"/>
      <c r="F964" s="327">
        <v>8723254</v>
      </c>
      <c r="G964" s="335">
        <f t="shared" si="139"/>
        <v>0</v>
      </c>
      <c r="H964" s="336">
        <f t="shared" si="140"/>
        <v>-4.4060773480662982</v>
      </c>
      <c r="I964" s="329"/>
      <c r="J964" s="327">
        <v>4916896</v>
      </c>
      <c r="K964" s="338">
        <f t="shared" si="143"/>
        <v>0</v>
      </c>
      <c r="L964" s="339">
        <f t="shared" si="145"/>
        <v>0</v>
      </c>
      <c r="M964" s="329"/>
      <c r="N964" s="327">
        <v>864593</v>
      </c>
      <c r="O964" s="341">
        <f t="shared" si="147"/>
        <v>693</v>
      </c>
      <c r="P964" s="342"/>
      <c r="Q964" s="42">
        <v>665310</v>
      </c>
      <c r="R964" s="314">
        <f t="shared" si="146"/>
        <v>537</v>
      </c>
      <c r="S964" s="358"/>
      <c r="T964" s="327">
        <v>22377</v>
      </c>
      <c r="U964" s="343">
        <f t="shared" si="149"/>
        <v>0</v>
      </c>
      <c r="V964" s="329"/>
      <c r="W964" s="327">
        <v>48081</v>
      </c>
      <c r="X964" s="341">
        <f t="shared" si="141"/>
        <v>0</v>
      </c>
      <c r="Y964" s="329"/>
      <c r="Z964" s="243"/>
    </row>
    <row r="965" spans="1:26">
      <c r="A965" s="150">
        <v>45494</v>
      </c>
      <c r="B965" s="154" t="s">
        <v>36</v>
      </c>
      <c r="C965" s="327">
        <v>3638868</v>
      </c>
      <c r="D965" s="328">
        <f t="shared" si="148"/>
        <v>0</v>
      </c>
      <c r="E965" s="329"/>
      <c r="F965" s="327">
        <v>8723254</v>
      </c>
      <c r="G965" s="335">
        <f t="shared" si="139"/>
        <v>0</v>
      </c>
      <c r="H965" s="336">
        <f t="shared" si="140"/>
        <v>-4.4060773480662982</v>
      </c>
      <c r="I965" s="329"/>
      <c r="J965" s="327">
        <v>4916896</v>
      </c>
      <c r="K965" s="338">
        <f t="shared" si="143"/>
        <v>0</v>
      </c>
      <c r="L965" s="339">
        <f>K965/135</f>
        <v>0</v>
      </c>
      <c r="M965" s="329"/>
      <c r="N965" s="327">
        <v>865286</v>
      </c>
      <c r="O965" s="341">
        <f t="shared" si="147"/>
        <v>0</v>
      </c>
      <c r="P965" s="342"/>
      <c r="Q965" s="42">
        <v>665310</v>
      </c>
      <c r="R965" s="314">
        <f t="shared" si="146"/>
        <v>0</v>
      </c>
      <c r="S965" s="358"/>
      <c r="T965" s="327">
        <v>22377</v>
      </c>
      <c r="U965" s="343">
        <f t="shared" si="149"/>
        <v>0</v>
      </c>
      <c r="V965" s="329"/>
      <c r="W965" s="327">
        <v>48081</v>
      </c>
      <c r="X965" s="341">
        <f t="shared" si="141"/>
        <v>0</v>
      </c>
      <c r="Y965" s="329"/>
      <c r="Z965" s="243"/>
    </row>
    <row r="966" spans="1:26">
      <c r="A966" s="150">
        <v>45495</v>
      </c>
      <c r="B966" s="154" t="s">
        <v>108</v>
      </c>
      <c r="C966" s="327">
        <v>3638868</v>
      </c>
      <c r="D966" s="328">
        <f t="shared" si="148"/>
        <v>5192</v>
      </c>
      <c r="E966" s="329"/>
      <c r="F966" s="327">
        <v>8723254</v>
      </c>
      <c r="G966" s="335">
        <f t="shared" si="139"/>
        <v>11187</v>
      </c>
      <c r="H966" s="336">
        <f t="shared" si="140"/>
        <v>40.839779005524861</v>
      </c>
      <c r="I966" s="329"/>
      <c r="J966" s="327">
        <v>4916896</v>
      </c>
      <c r="K966" s="338">
        <f t="shared" si="143"/>
        <v>8842</v>
      </c>
      <c r="L966" s="339">
        <f>K966/135</f>
        <v>65.496296296296293</v>
      </c>
      <c r="M966" s="329"/>
      <c r="N966" s="327">
        <v>865286</v>
      </c>
      <c r="O966" s="341">
        <f t="shared" si="147"/>
        <v>975</v>
      </c>
      <c r="P966" s="342"/>
      <c r="Q966" s="42">
        <v>665310</v>
      </c>
      <c r="R966" s="314">
        <f t="shared" si="146"/>
        <v>0</v>
      </c>
      <c r="S966" s="358"/>
      <c r="T966" s="327">
        <v>22377</v>
      </c>
      <c r="U966" s="343">
        <f t="shared" si="149"/>
        <v>10</v>
      </c>
      <c r="V966" s="329"/>
      <c r="W966" s="327">
        <v>48081</v>
      </c>
      <c r="X966" s="341">
        <f t="shared" si="141"/>
        <v>1</v>
      </c>
      <c r="Y966" s="329"/>
      <c r="Z966" s="243"/>
    </row>
    <row r="967" spans="1:26">
      <c r="A967" s="150">
        <v>45496</v>
      </c>
      <c r="B967" s="154" t="s">
        <v>109</v>
      </c>
      <c r="C967" s="327">
        <v>3644060</v>
      </c>
      <c r="D967" s="328">
        <f t="shared" si="148"/>
        <v>4460</v>
      </c>
      <c r="E967" s="329"/>
      <c r="F967" s="327">
        <v>8734441</v>
      </c>
      <c r="G967" s="335">
        <f t="shared" si="139"/>
        <v>9316</v>
      </c>
      <c r="H967" s="336">
        <f t="shared" si="140"/>
        <v>33.649171270718234</v>
      </c>
      <c r="I967" s="329"/>
      <c r="J967" s="327">
        <v>4925738</v>
      </c>
      <c r="K967" s="338">
        <f t="shared" si="143"/>
        <v>4453</v>
      </c>
      <c r="L967" s="339">
        <f>K967/135</f>
        <v>32.985185185185188</v>
      </c>
      <c r="M967" s="329"/>
      <c r="N967" s="327">
        <v>866261</v>
      </c>
      <c r="O967" s="341">
        <f t="shared" si="147"/>
        <v>752</v>
      </c>
      <c r="P967" s="342"/>
      <c r="Q967" s="42">
        <v>665515</v>
      </c>
      <c r="R967" s="314">
        <f t="shared" si="146"/>
        <v>205</v>
      </c>
      <c r="S967" s="358"/>
      <c r="T967" s="327">
        <v>22387</v>
      </c>
      <c r="U967" s="343">
        <f t="shared" si="149"/>
        <v>14</v>
      </c>
      <c r="V967" s="329"/>
      <c r="W967" s="327">
        <v>48082</v>
      </c>
      <c r="X967" s="341">
        <f t="shared" si="141"/>
        <v>1</v>
      </c>
      <c r="Y967" s="329"/>
      <c r="Z967" s="243"/>
    </row>
    <row r="968" spans="1:26">
      <c r="A968" s="150">
        <v>45497</v>
      </c>
      <c r="B968" s="154" t="s">
        <v>110</v>
      </c>
      <c r="C968" s="327">
        <v>3648520</v>
      </c>
      <c r="D968" s="328">
        <f t="shared" si="148"/>
        <v>5041</v>
      </c>
      <c r="E968" s="329"/>
      <c r="F968" s="327">
        <v>8743757</v>
      </c>
      <c r="G968" s="335">
        <f t="shared" si="139"/>
        <v>9924</v>
      </c>
      <c r="H968" s="336">
        <f t="shared" si="140"/>
        <v>36.933701657458563</v>
      </c>
      <c r="I968" s="329"/>
      <c r="J968" s="327">
        <v>4930191</v>
      </c>
      <c r="K968" s="338">
        <f t="shared" si="143"/>
        <v>4835</v>
      </c>
      <c r="L968" s="339">
        <f>K968/135</f>
        <v>35.814814814814817</v>
      </c>
      <c r="M968" s="329"/>
      <c r="N968" s="327">
        <v>867013</v>
      </c>
      <c r="O968" s="341">
        <f t="shared" si="147"/>
        <v>898</v>
      </c>
      <c r="P968" s="342"/>
      <c r="Q968" s="42">
        <v>665727</v>
      </c>
      <c r="R968" s="314">
        <f t="shared" si="146"/>
        <v>212</v>
      </c>
      <c r="S968" s="358"/>
      <c r="T968" s="327">
        <v>22401</v>
      </c>
      <c r="U968" s="343">
        <f t="shared" si="149"/>
        <v>10</v>
      </c>
      <c r="V968" s="329"/>
      <c r="W968" s="327">
        <v>48083</v>
      </c>
      <c r="X968" s="341">
        <f t="shared" si="141"/>
        <v>0</v>
      </c>
      <c r="Y968" s="329"/>
      <c r="Z968" s="243"/>
    </row>
    <row r="969" spans="1:26">
      <c r="A969" s="150">
        <v>45498</v>
      </c>
      <c r="B969" s="154" t="s">
        <v>111</v>
      </c>
      <c r="C969" s="327">
        <v>3653561</v>
      </c>
      <c r="D969" s="328">
        <f t="shared" si="148"/>
        <v>3943</v>
      </c>
      <c r="E969" s="329"/>
      <c r="F969" s="327">
        <v>8753681</v>
      </c>
      <c r="G969" s="335">
        <f t="shared" si="139"/>
        <v>9291</v>
      </c>
      <c r="H969" s="336">
        <f t="shared" si="140"/>
        <v>32.151933701657455</v>
      </c>
      <c r="I969" s="329"/>
      <c r="J969" s="327">
        <v>4935026</v>
      </c>
      <c r="K969" s="338">
        <f t="shared" si="143"/>
        <v>5338</v>
      </c>
      <c r="L969" s="339">
        <f>K969/135</f>
        <v>39.540740740740738</v>
      </c>
      <c r="M969" s="329"/>
      <c r="N969" s="327">
        <v>867911</v>
      </c>
      <c r="O969" s="341">
        <f t="shared" si="147"/>
        <v>790</v>
      </c>
      <c r="P969" s="342"/>
      <c r="Q969" s="42">
        <v>665923</v>
      </c>
      <c r="R969" s="314">
        <f t="shared" si="146"/>
        <v>196</v>
      </c>
      <c r="S969" s="358"/>
      <c r="T969" s="327">
        <v>22411</v>
      </c>
      <c r="U969" s="343">
        <f t="shared" si="149"/>
        <v>18</v>
      </c>
      <c r="V969" s="329"/>
      <c r="W969" s="327">
        <v>48083</v>
      </c>
      <c r="X969" s="341">
        <f t="shared" si="141"/>
        <v>2</v>
      </c>
      <c r="Y969" s="329"/>
      <c r="Z969" s="243"/>
    </row>
    <row r="970" spans="1:26">
      <c r="A970" s="150">
        <v>45499</v>
      </c>
      <c r="B970" s="154" t="s">
        <v>106</v>
      </c>
      <c r="C970" s="327">
        <v>3657504</v>
      </c>
      <c r="D970" s="328">
        <f t="shared" si="148"/>
        <v>0</v>
      </c>
      <c r="E970" s="329"/>
      <c r="F970" s="327">
        <v>8762972</v>
      </c>
      <c r="G970" s="335">
        <f t="shared" si="139"/>
        <v>0</v>
      </c>
      <c r="H970" s="336">
        <f t="shared" si="140"/>
        <v>-4.4060773480662982</v>
      </c>
      <c r="I970" s="329"/>
      <c r="J970" s="327">
        <v>4940364</v>
      </c>
      <c r="K970" s="338">
        <f t="shared" si="143"/>
        <v>0</v>
      </c>
      <c r="L970" s="339">
        <f t="shared" ref="L970:L971" si="150">K970/135</f>
        <v>0</v>
      </c>
      <c r="M970" s="329"/>
      <c r="N970" s="327">
        <v>868701</v>
      </c>
      <c r="O970" s="341">
        <f t="shared" si="147"/>
        <v>1637</v>
      </c>
      <c r="P970" s="342"/>
      <c r="Q970" s="42">
        <v>666127</v>
      </c>
      <c r="R970" s="314">
        <f t="shared" si="146"/>
        <v>204</v>
      </c>
      <c r="S970" s="358"/>
      <c r="T970" s="327">
        <v>22429</v>
      </c>
      <c r="U970" s="343">
        <f t="shared" si="149"/>
        <v>0</v>
      </c>
      <c r="V970" s="329"/>
      <c r="W970" s="327">
        <v>48085</v>
      </c>
      <c r="X970" s="341">
        <f t="shared" si="141"/>
        <v>0</v>
      </c>
      <c r="Y970" s="329"/>
      <c r="Z970" s="243"/>
    </row>
    <row r="971" spans="1:26">
      <c r="A971" s="150">
        <v>45500</v>
      </c>
      <c r="B971" s="154" t="s">
        <v>107</v>
      </c>
      <c r="C971" s="327">
        <v>3657504</v>
      </c>
      <c r="D971" s="328">
        <f t="shared" si="148"/>
        <v>0</v>
      </c>
      <c r="E971" s="329"/>
      <c r="F971" s="327">
        <v>8762972</v>
      </c>
      <c r="G971" s="335">
        <f t="shared" si="139"/>
        <v>0</v>
      </c>
      <c r="H971" s="336">
        <f t="shared" si="140"/>
        <v>-4.4060773480662982</v>
      </c>
      <c r="I971" s="329"/>
      <c r="J971" s="327">
        <v>4940364</v>
      </c>
      <c r="K971" s="338">
        <f t="shared" si="143"/>
        <v>0</v>
      </c>
      <c r="L971" s="339">
        <f t="shared" si="150"/>
        <v>0</v>
      </c>
      <c r="M971" s="329"/>
      <c r="N971" s="327">
        <v>870338</v>
      </c>
      <c r="O971" s="341">
        <f t="shared" si="147"/>
        <v>0</v>
      </c>
      <c r="P971" s="342"/>
      <c r="Q971" s="42">
        <v>666616</v>
      </c>
      <c r="R971" s="314">
        <f t="shared" si="146"/>
        <v>489</v>
      </c>
      <c r="S971" s="358"/>
      <c r="T971" s="327">
        <v>22429</v>
      </c>
      <c r="U971" s="343">
        <f t="shared" si="149"/>
        <v>0</v>
      </c>
      <c r="V971" s="329"/>
      <c r="W971" s="327">
        <v>48085</v>
      </c>
      <c r="X971" s="341">
        <f t="shared" si="141"/>
        <v>0</v>
      </c>
      <c r="Y971" s="329"/>
      <c r="Z971" s="243"/>
    </row>
    <row r="972" spans="1:26">
      <c r="A972" s="150">
        <v>45501</v>
      </c>
      <c r="B972" s="154" t="s">
        <v>36</v>
      </c>
      <c r="C972" s="327">
        <v>3657504</v>
      </c>
      <c r="D972" s="328">
        <f t="shared" si="148"/>
        <v>0</v>
      </c>
      <c r="E972" s="329"/>
      <c r="F972" s="327">
        <v>8762972</v>
      </c>
      <c r="G972" s="335">
        <f t="shared" ref="G972:G1040" si="151">IF(F973&gt;0,F973-F972," ")</f>
        <v>0</v>
      </c>
      <c r="H972" s="336">
        <f t="shared" ref="H972:H987" si="152">(G972+D972-1595)/362</f>
        <v>-4.4060773480662982</v>
      </c>
      <c r="I972" s="329"/>
      <c r="J972" s="327">
        <v>4940364</v>
      </c>
      <c r="K972" s="338">
        <f t="shared" si="143"/>
        <v>0</v>
      </c>
      <c r="L972" s="339">
        <f>K972/135</f>
        <v>0</v>
      </c>
      <c r="M972" s="329"/>
      <c r="N972" s="327">
        <v>870338</v>
      </c>
      <c r="O972" s="341">
        <f t="shared" si="147"/>
        <v>0</v>
      </c>
      <c r="P972" s="342"/>
      <c r="Q972" s="42">
        <v>666616</v>
      </c>
      <c r="R972" s="314">
        <f t="shared" si="146"/>
        <v>0</v>
      </c>
      <c r="S972" s="358"/>
      <c r="T972" s="327">
        <v>22429</v>
      </c>
      <c r="U972" s="343">
        <f t="shared" si="149"/>
        <v>0</v>
      </c>
      <c r="V972" s="329"/>
      <c r="W972" s="327">
        <v>48085</v>
      </c>
      <c r="X972" s="341">
        <f t="shared" si="141"/>
        <v>0</v>
      </c>
      <c r="Y972" s="329"/>
      <c r="Z972" s="243"/>
    </row>
    <row r="973" spans="1:26">
      <c r="A973" s="150">
        <v>45502</v>
      </c>
      <c r="B973" s="154" t="s">
        <v>108</v>
      </c>
      <c r="C973" s="327">
        <v>3657504</v>
      </c>
      <c r="D973" s="328">
        <f t="shared" si="148"/>
        <v>7138</v>
      </c>
      <c r="E973" s="329"/>
      <c r="F973" s="327">
        <v>8762972</v>
      </c>
      <c r="G973" s="335">
        <f t="shared" si="151"/>
        <v>20381</v>
      </c>
      <c r="H973" s="336">
        <f t="shared" si="152"/>
        <v>71.613259668508292</v>
      </c>
      <c r="I973" s="329"/>
      <c r="J973" s="327">
        <v>4940364</v>
      </c>
      <c r="K973" s="338">
        <f t="shared" si="143"/>
        <v>16070</v>
      </c>
      <c r="L973" s="339">
        <f>K973/135</f>
        <v>119.03703703703704</v>
      </c>
      <c r="M973" s="329"/>
      <c r="N973" s="327">
        <v>870338</v>
      </c>
      <c r="O973" s="341">
        <f t="shared" si="147"/>
        <v>841</v>
      </c>
      <c r="P973" s="342"/>
      <c r="Q973" s="42">
        <v>666616</v>
      </c>
      <c r="R973" s="314">
        <f t="shared" si="146"/>
        <v>0</v>
      </c>
      <c r="S973" s="358"/>
      <c r="T973" s="327">
        <v>22429</v>
      </c>
      <c r="U973" s="343">
        <f t="shared" si="149"/>
        <v>6</v>
      </c>
      <c r="V973" s="329"/>
      <c r="W973" s="327">
        <v>48085</v>
      </c>
      <c r="X973" s="341">
        <f t="shared" si="141"/>
        <v>0</v>
      </c>
      <c r="Y973" s="329"/>
      <c r="Z973" s="243"/>
    </row>
    <row r="974" spans="1:26">
      <c r="A974" s="150">
        <v>45503</v>
      </c>
      <c r="B974" s="154" t="s">
        <v>109</v>
      </c>
      <c r="C974" s="327">
        <v>3664642</v>
      </c>
      <c r="D974" s="328">
        <f t="shared" si="148"/>
        <v>3446</v>
      </c>
      <c r="E974" s="329"/>
      <c r="F974" s="327">
        <v>8783353</v>
      </c>
      <c r="G974" s="335">
        <f t="shared" si="151"/>
        <v>8523</v>
      </c>
      <c r="H974" s="336">
        <f t="shared" si="152"/>
        <v>28.657458563535911</v>
      </c>
      <c r="I974" s="329"/>
      <c r="J974" s="327">
        <v>4956434</v>
      </c>
      <c r="K974" s="338">
        <f t="shared" si="143"/>
        <v>4889</v>
      </c>
      <c r="L974" s="339">
        <f t="shared" ref="L974:L1037" si="153">K974/135</f>
        <v>36.214814814814815</v>
      </c>
      <c r="M974" s="329"/>
      <c r="N974" s="327">
        <v>871179</v>
      </c>
      <c r="O974" s="341">
        <f t="shared" si="147"/>
        <v>936</v>
      </c>
      <c r="P974" s="342"/>
      <c r="Q974" s="42">
        <v>666815</v>
      </c>
      <c r="R974" s="314">
        <f t="shared" si="146"/>
        <v>199</v>
      </c>
      <c r="S974" s="358"/>
      <c r="T974" s="327">
        <v>22435</v>
      </c>
      <c r="U974" s="343">
        <f t="shared" si="149"/>
        <v>251</v>
      </c>
      <c r="V974" s="329"/>
      <c r="W974" s="327">
        <v>48085</v>
      </c>
      <c r="X974" s="341">
        <f t="shared" si="141"/>
        <v>0</v>
      </c>
      <c r="Y974" s="329"/>
      <c r="Z974" s="243"/>
    </row>
    <row r="975" spans="1:26">
      <c r="A975" s="150">
        <v>45504</v>
      </c>
      <c r="B975" s="154" t="s">
        <v>110</v>
      </c>
      <c r="C975" s="327">
        <v>3668088</v>
      </c>
      <c r="D975" s="328">
        <f t="shared" si="148"/>
        <v>1666</v>
      </c>
      <c r="E975" s="329"/>
      <c r="F975" s="327">
        <v>8791876</v>
      </c>
      <c r="G975" s="335">
        <f t="shared" si="151"/>
        <v>6156</v>
      </c>
      <c r="H975" s="336">
        <f t="shared" si="152"/>
        <v>17.201657458563535</v>
      </c>
      <c r="I975" s="329"/>
      <c r="J975" s="327">
        <v>4961323</v>
      </c>
      <c r="K975" s="338">
        <f t="shared" si="143"/>
        <v>4758</v>
      </c>
      <c r="L975" s="339">
        <f t="shared" si="153"/>
        <v>35.244444444444447</v>
      </c>
      <c r="M975" s="329"/>
      <c r="N975" s="327">
        <v>872115</v>
      </c>
      <c r="O975" s="341">
        <f t="shared" si="147"/>
        <v>775</v>
      </c>
      <c r="P975" s="342"/>
      <c r="Q975" s="42">
        <v>667065</v>
      </c>
      <c r="R975" s="314">
        <f t="shared" si="146"/>
        <v>250</v>
      </c>
      <c r="S975" s="358"/>
      <c r="T975" s="327">
        <v>22686</v>
      </c>
      <c r="U975" s="343">
        <f t="shared" si="149"/>
        <v>8</v>
      </c>
      <c r="V975" s="329"/>
      <c r="W975" s="327">
        <v>48085</v>
      </c>
      <c r="X975" s="341">
        <f t="shared" si="141"/>
        <v>0</v>
      </c>
      <c r="Y975" s="329"/>
      <c r="Z975" s="243"/>
    </row>
    <row r="976" spans="1:26">
      <c r="A976" s="150">
        <v>45505</v>
      </c>
      <c r="B976" s="154" t="s">
        <v>111</v>
      </c>
      <c r="C976" s="327">
        <v>3669754</v>
      </c>
      <c r="D976" s="328">
        <f t="shared" si="148"/>
        <v>168</v>
      </c>
      <c r="E976" s="329"/>
      <c r="F976" s="327">
        <v>8798032</v>
      </c>
      <c r="G976" s="335">
        <f t="shared" si="151"/>
        <v>4217</v>
      </c>
      <c r="H976" s="336">
        <f t="shared" si="152"/>
        <v>7.7071823204419889</v>
      </c>
      <c r="I976" s="329"/>
      <c r="J976" s="327">
        <v>4966081</v>
      </c>
      <c r="K976" s="338">
        <f t="shared" si="143"/>
        <v>4808</v>
      </c>
      <c r="L976" s="339">
        <f t="shared" si="153"/>
        <v>35.614814814814814</v>
      </c>
      <c r="M976" s="329"/>
      <c r="N976" s="327">
        <v>872890</v>
      </c>
      <c r="O976" s="341">
        <f t="shared" si="147"/>
        <v>926</v>
      </c>
      <c r="P976" s="342"/>
      <c r="Q976" s="42">
        <v>667239</v>
      </c>
      <c r="R976" s="314">
        <f t="shared" si="146"/>
        <v>174</v>
      </c>
      <c r="S976" s="358"/>
      <c r="T976" s="327">
        <v>22694</v>
      </c>
      <c r="U976" s="343">
        <f t="shared" si="149"/>
        <v>17</v>
      </c>
      <c r="V976" s="329"/>
      <c r="W976" s="327">
        <v>48085</v>
      </c>
      <c r="X976" s="341">
        <f t="shared" si="141"/>
        <v>0</v>
      </c>
      <c r="Y976" s="329"/>
      <c r="Z976" s="243"/>
    </row>
    <row r="977" spans="1:26">
      <c r="A977" s="150">
        <v>45506</v>
      </c>
      <c r="B977" s="154" t="s">
        <v>106</v>
      </c>
      <c r="C977" s="327">
        <v>3669922</v>
      </c>
      <c r="D977" s="328">
        <f t="shared" si="148"/>
        <v>101</v>
      </c>
      <c r="E977" s="329"/>
      <c r="F977" s="327">
        <v>8802249</v>
      </c>
      <c r="G977" s="335">
        <f t="shared" si="151"/>
        <v>6945</v>
      </c>
      <c r="H977" s="336">
        <f t="shared" si="152"/>
        <v>15.058011049723756</v>
      </c>
      <c r="I977" s="329"/>
      <c r="J977" s="327">
        <v>4970889</v>
      </c>
      <c r="K977" s="338">
        <f t="shared" si="143"/>
        <v>9162</v>
      </c>
      <c r="L977" s="339">
        <f t="shared" si="153"/>
        <v>67.86666666666666</v>
      </c>
      <c r="M977" s="329"/>
      <c r="N977" s="327">
        <v>873816</v>
      </c>
      <c r="O977" s="341">
        <f t="shared" si="147"/>
        <v>806</v>
      </c>
      <c r="P977" s="342"/>
      <c r="Q977" s="42">
        <v>667435</v>
      </c>
      <c r="R977" s="314">
        <f t="shared" si="146"/>
        <v>196</v>
      </c>
      <c r="S977" s="358"/>
      <c r="T977" s="327">
        <v>22711</v>
      </c>
      <c r="U977" s="343">
        <f t="shared" si="149"/>
        <v>0</v>
      </c>
      <c r="V977" s="329"/>
      <c r="W977" s="327">
        <v>48085</v>
      </c>
      <c r="X977" s="341">
        <f t="shared" si="141"/>
        <v>0</v>
      </c>
      <c r="Y977" s="329"/>
      <c r="Z977" s="243"/>
    </row>
    <row r="978" spans="1:26">
      <c r="A978" s="150">
        <v>45507</v>
      </c>
      <c r="B978" s="154" t="s">
        <v>107</v>
      </c>
      <c r="C978" s="327">
        <v>3670023</v>
      </c>
      <c r="D978" s="328">
        <f t="shared" si="148"/>
        <v>0</v>
      </c>
      <c r="E978" s="329"/>
      <c r="F978" s="327">
        <v>8809194</v>
      </c>
      <c r="G978" s="335">
        <f t="shared" si="151"/>
        <v>0</v>
      </c>
      <c r="H978" s="336">
        <f t="shared" si="152"/>
        <v>-4.4060773480662982</v>
      </c>
      <c r="I978" s="329"/>
      <c r="J978" s="327">
        <v>4980051</v>
      </c>
      <c r="K978" s="338">
        <f t="shared" si="143"/>
        <v>0</v>
      </c>
      <c r="L978" s="339">
        <f t="shared" si="153"/>
        <v>0</v>
      </c>
      <c r="M978" s="329"/>
      <c r="N978" s="327">
        <v>874622</v>
      </c>
      <c r="O978" s="341">
        <f t="shared" si="147"/>
        <v>1007</v>
      </c>
      <c r="P978" s="342"/>
      <c r="Q978" s="42">
        <v>668063</v>
      </c>
      <c r="R978" s="314">
        <f t="shared" si="146"/>
        <v>628</v>
      </c>
      <c r="S978" s="358"/>
      <c r="T978" s="327">
        <v>22711</v>
      </c>
      <c r="U978" s="343">
        <f t="shared" si="149"/>
        <v>0</v>
      </c>
      <c r="V978" s="329"/>
      <c r="W978" s="327">
        <v>48085</v>
      </c>
      <c r="X978" s="341">
        <f t="shared" ref="X978:X989" si="154">W979-W978</f>
        <v>0</v>
      </c>
      <c r="Y978" s="329"/>
      <c r="Z978" s="243"/>
    </row>
    <row r="979" spans="1:26">
      <c r="A979" s="150">
        <v>45508</v>
      </c>
      <c r="B979" s="154" t="s">
        <v>36</v>
      </c>
      <c r="C979" s="327">
        <v>3670023</v>
      </c>
      <c r="D979" s="328">
        <f t="shared" si="148"/>
        <v>0</v>
      </c>
      <c r="E979" s="329"/>
      <c r="F979" s="327">
        <v>8809194</v>
      </c>
      <c r="G979" s="335">
        <f t="shared" si="151"/>
        <v>0</v>
      </c>
      <c r="H979" s="336">
        <f t="shared" si="152"/>
        <v>-4.4060773480662982</v>
      </c>
      <c r="I979" s="329"/>
      <c r="J979" s="327">
        <v>4980051</v>
      </c>
      <c r="K979" s="338">
        <f t="shared" si="143"/>
        <v>0</v>
      </c>
      <c r="L979" s="339">
        <f t="shared" si="153"/>
        <v>0</v>
      </c>
      <c r="M979" s="329"/>
      <c r="N979" s="327">
        <v>875629</v>
      </c>
      <c r="O979" s="341">
        <f t="shared" si="147"/>
        <v>0</v>
      </c>
      <c r="P979" s="342"/>
      <c r="Q979" s="42">
        <v>668063</v>
      </c>
      <c r="R979" s="314">
        <f t="shared" si="146"/>
        <v>0</v>
      </c>
      <c r="S979" s="358"/>
      <c r="T979" s="327">
        <v>22711</v>
      </c>
      <c r="U979" s="343">
        <f t="shared" si="149"/>
        <v>0</v>
      </c>
      <c r="V979" s="329"/>
      <c r="W979" s="327">
        <v>48085</v>
      </c>
      <c r="X979" s="341">
        <f t="shared" si="154"/>
        <v>0</v>
      </c>
      <c r="Y979" s="329"/>
      <c r="Z979" s="243"/>
    </row>
    <row r="980" spans="1:26">
      <c r="A980" s="150">
        <v>45509</v>
      </c>
      <c r="B980" s="154" t="s">
        <v>108</v>
      </c>
      <c r="C980" s="327">
        <v>3670023</v>
      </c>
      <c r="D980" s="328">
        <f t="shared" si="148"/>
        <v>54</v>
      </c>
      <c r="E980" s="329"/>
      <c r="F980" s="327">
        <v>8809194</v>
      </c>
      <c r="G980" s="335">
        <f t="shared" si="151"/>
        <v>3737</v>
      </c>
      <c r="H980" s="336">
        <f t="shared" si="152"/>
        <v>6.0662983425414367</v>
      </c>
      <c r="I980" s="329"/>
      <c r="J980" s="327">
        <v>4980051</v>
      </c>
      <c r="K980" s="338">
        <f t="shared" si="143"/>
        <v>5488</v>
      </c>
      <c r="L980" s="339">
        <f t="shared" si="153"/>
        <v>40.651851851851852</v>
      </c>
      <c r="M980" s="329"/>
      <c r="N980" s="327">
        <v>875629</v>
      </c>
      <c r="O980" s="341">
        <f t="shared" si="147"/>
        <v>721</v>
      </c>
      <c r="P980" s="342">
        <v>20</v>
      </c>
      <c r="Q980" s="42">
        <v>668063</v>
      </c>
      <c r="R980" s="314" t="s">
        <v>41</v>
      </c>
      <c r="S980" s="358"/>
      <c r="T980" s="327">
        <v>22711</v>
      </c>
      <c r="U980" s="343">
        <f t="shared" si="149"/>
        <v>81</v>
      </c>
      <c r="V980" s="329"/>
      <c r="W980" s="327">
        <v>48085</v>
      </c>
      <c r="X980" s="341">
        <f t="shared" si="154"/>
        <v>0</v>
      </c>
      <c r="Y980" s="329"/>
      <c r="Z980" s="243"/>
    </row>
    <row r="981" spans="1:26">
      <c r="A981" s="150">
        <v>45510</v>
      </c>
      <c r="B981" s="154" t="s">
        <v>109</v>
      </c>
      <c r="C981" s="327">
        <v>3670077</v>
      </c>
      <c r="D981" s="328">
        <f t="shared" si="148"/>
        <v>3950</v>
      </c>
      <c r="E981" s="329"/>
      <c r="F981" s="327">
        <v>8812931</v>
      </c>
      <c r="G981" s="335">
        <f t="shared" si="151"/>
        <v>5924</v>
      </c>
      <c r="H981" s="336">
        <f t="shared" si="152"/>
        <v>22.870165745856355</v>
      </c>
      <c r="I981" s="329"/>
      <c r="J981" s="327">
        <v>4985539</v>
      </c>
      <c r="K981" s="338">
        <f t="shared" si="143"/>
        <v>4824</v>
      </c>
      <c r="L981" s="339">
        <f t="shared" si="153"/>
        <v>35.733333333333334</v>
      </c>
      <c r="M981" s="329"/>
      <c r="N981" s="45">
        <v>876350</v>
      </c>
      <c r="O981" s="349">
        <f>N982-N981</f>
        <v>795</v>
      </c>
      <c r="P981" s="9"/>
      <c r="Q981" s="42">
        <v>668269</v>
      </c>
      <c r="R981" s="314">
        <f t="shared" si="146"/>
        <v>206</v>
      </c>
      <c r="S981" s="358"/>
      <c r="T981" s="327">
        <v>22792</v>
      </c>
      <c r="U981" s="343">
        <f t="shared" si="149"/>
        <v>18</v>
      </c>
      <c r="V981" s="329"/>
      <c r="W981" s="327">
        <v>48085</v>
      </c>
      <c r="X981" s="341">
        <f t="shared" si="154"/>
        <v>4</v>
      </c>
      <c r="Y981" s="329"/>
      <c r="Z981" s="243"/>
    </row>
    <row r="982" spans="1:26">
      <c r="A982" s="150">
        <v>45511</v>
      </c>
      <c r="B982" s="154" t="s">
        <v>110</v>
      </c>
      <c r="C982" s="327">
        <v>3674027</v>
      </c>
      <c r="D982" s="328">
        <f t="shared" si="148"/>
        <v>8257</v>
      </c>
      <c r="E982" s="329"/>
      <c r="F982" s="327">
        <v>8818855</v>
      </c>
      <c r="G982" s="335">
        <f t="shared" si="151"/>
        <v>3585</v>
      </c>
      <c r="H982" s="336">
        <f t="shared" si="152"/>
        <v>28.306629834254142</v>
      </c>
      <c r="I982" s="329"/>
      <c r="J982" s="327">
        <v>4990363</v>
      </c>
      <c r="K982" s="338">
        <f t="shared" si="143"/>
        <v>9138</v>
      </c>
      <c r="L982" s="339">
        <f t="shared" si="153"/>
        <v>67.688888888888883</v>
      </c>
      <c r="M982" s="329"/>
      <c r="N982" s="45">
        <v>877145</v>
      </c>
      <c r="O982" s="349">
        <f t="shared" si="147"/>
        <v>792</v>
      </c>
      <c r="P982" s="9"/>
      <c r="Q982" s="42">
        <v>668726</v>
      </c>
      <c r="R982" s="314">
        <f t="shared" si="146"/>
        <v>457</v>
      </c>
      <c r="S982" s="358"/>
      <c r="T982" s="327">
        <v>22810</v>
      </c>
      <c r="U982" s="343">
        <f>T983-T982</f>
        <v>2</v>
      </c>
      <c r="V982" s="329"/>
      <c r="W982" s="327">
        <v>48089</v>
      </c>
      <c r="X982" s="341">
        <f t="shared" si="154"/>
        <v>2</v>
      </c>
      <c r="Y982" s="329"/>
      <c r="Z982" s="243"/>
    </row>
    <row r="983" spans="1:26">
      <c r="A983" s="150">
        <v>45512</v>
      </c>
      <c r="B983" s="154" t="s">
        <v>111</v>
      </c>
      <c r="C983" s="327">
        <v>3682284</v>
      </c>
      <c r="D983" s="328">
        <f t="shared" si="148"/>
        <v>12305</v>
      </c>
      <c r="E983" s="329"/>
      <c r="F983" s="327">
        <v>8822440</v>
      </c>
      <c r="G983" s="335">
        <f t="shared" si="151"/>
        <v>16375</v>
      </c>
      <c r="H983" s="336">
        <f t="shared" si="152"/>
        <v>74.820441988950279</v>
      </c>
      <c r="I983" s="329"/>
      <c r="J983" s="327">
        <v>4999501</v>
      </c>
      <c r="K983" s="338">
        <f t="shared" si="143"/>
        <v>8481</v>
      </c>
      <c r="L983" s="339">
        <f t="shared" si="153"/>
        <v>62.822222222222223</v>
      </c>
      <c r="M983" s="329"/>
      <c r="N983" s="45">
        <v>877937</v>
      </c>
      <c r="O983" s="349">
        <f t="shared" si="147"/>
        <v>767</v>
      </c>
      <c r="P983" s="9"/>
      <c r="Q983" s="42">
        <v>668726</v>
      </c>
      <c r="R983" s="314">
        <f t="shared" si="146"/>
        <v>0</v>
      </c>
      <c r="S983" s="358"/>
      <c r="T983" s="327">
        <v>22812</v>
      </c>
      <c r="U983" s="343">
        <f>T984-T983</f>
        <v>314</v>
      </c>
      <c r="V983" s="329"/>
      <c r="W983" s="327">
        <v>48091</v>
      </c>
      <c r="X983" s="341">
        <f t="shared" si="154"/>
        <v>32</v>
      </c>
      <c r="Y983" s="329"/>
      <c r="Z983" s="243"/>
    </row>
    <row r="984" spans="1:26">
      <c r="A984" s="150">
        <v>45513</v>
      </c>
      <c r="B984" s="154" t="s">
        <v>106</v>
      </c>
      <c r="C984" s="327">
        <v>3694589</v>
      </c>
      <c r="D984" s="328">
        <f t="shared" si="148"/>
        <v>6912</v>
      </c>
      <c r="E984" s="329"/>
      <c r="F984" s="327">
        <v>8838815</v>
      </c>
      <c r="G984" s="335">
        <f t="shared" si="151"/>
        <v>22129</v>
      </c>
      <c r="H984" s="336">
        <f t="shared" si="152"/>
        <v>75.817679558011051</v>
      </c>
      <c r="I984" s="329"/>
      <c r="J984" s="327">
        <v>5007982</v>
      </c>
      <c r="K984" s="338">
        <f t="shared" si="143"/>
        <v>5029</v>
      </c>
      <c r="L984" s="339">
        <f t="shared" si="153"/>
        <v>37.251851851851853</v>
      </c>
      <c r="M984" s="329"/>
      <c r="N984" s="45">
        <v>878704</v>
      </c>
      <c r="O984" s="349">
        <f t="shared" si="147"/>
        <v>789</v>
      </c>
      <c r="P984" s="9"/>
      <c r="Q984" s="42">
        <v>668899</v>
      </c>
      <c r="R984" s="314">
        <f t="shared" si="146"/>
        <v>173</v>
      </c>
      <c r="S984" s="358"/>
      <c r="T984" s="327">
        <v>23126</v>
      </c>
      <c r="U984" s="343">
        <f t="shared" ref="U984:U1047" si="155">T985-T984</f>
        <v>98</v>
      </c>
      <c r="V984" s="329"/>
      <c r="W984" s="327">
        <v>48123</v>
      </c>
      <c r="X984" s="341">
        <f t="shared" si="154"/>
        <v>74</v>
      </c>
      <c r="Y984" s="329"/>
      <c r="Z984" s="243"/>
    </row>
    <row r="985" spans="1:26">
      <c r="A985" s="150">
        <v>45514</v>
      </c>
      <c r="B985" s="154" t="s">
        <v>107</v>
      </c>
      <c r="C985" s="327">
        <v>3701501</v>
      </c>
      <c r="D985" s="328">
        <f t="shared" si="148"/>
        <v>0</v>
      </c>
      <c r="E985" s="329">
        <v>89</v>
      </c>
      <c r="F985" s="327">
        <v>8860944</v>
      </c>
      <c r="G985" s="335">
        <f t="shared" si="151"/>
        <v>0</v>
      </c>
      <c r="H985" s="336">
        <f t="shared" si="152"/>
        <v>-4.4060773480662982</v>
      </c>
      <c r="I985" s="329">
        <v>203</v>
      </c>
      <c r="J985" s="327">
        <v>5013011</v>
      </c>
      <c r="K985" s="338">
        <f t="shared" si="143"/>
        <v>0</v>
      </c>
      <c r="L985" s="339">
        <f t="shared" si="153"/>
        <v>0</v>
      </c>
      <c r="M985" s="329">
        <v>133</v>
      </c>
      <c r="N985" s="45">
        <v>879493</v>
      </c>
      <c r="O985" s="349">
        <f t="shared" si="147"/>
        <v>838</v>
      </c>
      <c r="P985" s="9"/>
      <c r="Q985" s="42">
        <v>669458</v>
      </c>
      <c r="R985" s="314">
        <f t="shared" si="146"/>
        <v>559</v>
      </c>
      <c r="S985" s="358"/>
      <c r="T985" s="327">
        <v>23224</v>
      </c>
      <c r="U985" s="343">
        <f t="shared" si="155"/>
        <v>0</v>
      </c>
      <c r="V985" s="329" t="s">
        <v>132</v>
      </c>
      <c r="W985" s="327">
        <v>48197</v>
      </c>
      <c r="X985" s="341">
        <f t="shared" si="154"/>
        <v>0</v>
      </c>
      <c r="Y985" s="329" t="s">
        <v>133</v>
      </c>
      <c r="Z985" s="243"/>
    </row>
    <row r="986" spans="1:26">
      <c r="A986" s="150">
        <v>45515</v>
      </c>
      <c r="B986" s="154" t="s">
        <v>36</v>
      </c>
      <c r="C986" s="45">
        <v>3701501</v>
      </c>
      <c r="D986" s="323">
        <f t="shared" si="148"/>
        <v>0</v>
      </c>
      <c r="E986" s="38"/>
      <c r="F986" s="45">
        <v>8860944</v>
      </c>
      <c r="G986" s="344">
        <f t="shared" si="151"/>
        <v>0</v>
      </c>
      <c r="H986" s="345">
        <f t="shared" si="152"/>
        <v>-4.4060773480662982</v>
      </c>
      <c r="I986" s="38"/>
      <c r="J986" s="45">
        <v>5013011</v>
      </c>
      <c r="K986" s="346">
        <f t="shared" si="143"/>
        <v>0</v>
      </c>
      <c r="L986" s="347">
        <f t="shared" si="153"/>
        <v>0</v>
      </c>
      <c r="M986" s="38"/>
      <c r="N986" s="45">
        <v>880331</v>
      </c>
      <c r="O986" s="349">
        <f t="shared" si="147"/>
        <v>0</v>
      </c>
      <c r="P986" s="9"/>
      <c r="Q986" s="42">
        <v>669458</v>
      </c>
      <c r="R986" s="314">
        <f t="shared" si="146"/>
        <v>0</v>
      </c>
      <c r="S986" s="358"/>
      <c r="T986" s="45">
        <v>23224</v>
      </c>
      <c r="U986" s="348">
        <f t="shared" si="155"/>
        <v>0</v>
      </c>
      <c r="V986" s="38"/>
      <c r="W986" s="45">
        <v>48197</v>
      </c>
      <c r="X986" s="349">
        <f t="shared" si="154"/>
        <v>0</v>
      </c>
      <c r="Y986" s="38"/>
      <c r="Z986" s="243"/>
    </row>
    <row r="987" spans="1:26">
      <c r="A987" s="150">
        <v>45516</v>
      </c>
      <c r="B987" s="154" t="s">
        <v>108</v>
      </c>
      <c r="C987" s="45">
        <v>3701501</v>
      </c>
      <c r="D987" s="323">
        <f t="shared" si="148"/>
        <v>3800</v>
      </c>
      <c r="E987" s="38"/>
      <c r="F987" s="45">
        <v>8860944</v>
      </c>
      <c r="G987" s="344">
        <f t="shared" si="151"/>
        <v>10001</v>
      </c>
      <c r="H987" s="345">
        <f t="shared" si="152"/>
        <v>33.718232044198892</v>
      </c>
      <c r="I987" s="38"/>
      <c r="J987" s="45">
        <v>5013011</v>
      </c>
      <c r="K987" s="346">
        <f t="shared" si="143"/>
        <v>8824</v>
      </c>
      <c r="L987" s="347">
        <f t="shared" si="153"/>
        <v>65.362962962962968</v>
      </c>
      <c r="M987" s="38"/>
      <c r="N987" s="45">
        <v>880331</v>
      </c>
      <c r="O987" s="349">
        <f t="shared" si="147"/>
        <v>803</v>
      </c>
      <c r="P987" s="9"/>
      <c r="Q987" s="42">
        <v>669458</v>
      </c>
      <c r="R987" s="314">
        <f t="shared" si="146"/>
        <v>0</v>
      </c>
      <c r="S987" s="358"/>
      <c r="T987" s="45">
        <v>23224</v>
      </c>
      <c r="U987" s="348">
        <f t="shared" si="155"/>
        <v>0</v>
      </c>
      <c r="V987" s="38"/>
      <c r="W987" s="45">
        <v>48197</v>
      </c>
      <c r="X987" s="349">
        <f t="shared" si="154"/>
        <v>0</v>
      </c>
      <c r="Y987" s="38"/>
      <c r="Z987" s="243"/>
    </row>
    <row r="988" spans="1:26">
      <c r="A988" s="150">
        <v>45517</v>
      </c>
      <c r="B988" s="154" t="s">
        <v>109</v>
      </c>
      <c r="C988" s="45">
        <v>3705301</v>
      </c>
      <c r="D988" s="323">
        <f t="shared" si="148"/>
        <v>4100</v>
      </c>
      <c r="E988" s="38"/>
      <c r="F988" s="45">
        <v>8870945</v>
      </c>
      <c r="G988" s="344">
        <f t="shared" si="151"/>
        <v>10235</v>
      </c>
      <c r="H988" s="345">
        <f>(G988+D988-1595)/362</f>
        <v>35.193370165745854</v>
      </c>
      <c r="I988" s="38"/>
      <c r="J988" s="45">
        <v>5021835</v>
      </c>
      <c r="K988" s="346">
        <f t="shared" si="143"/>
        <v>4573</v>
      </c>
      <c r="L988" s="347">
        <f t="shared" si="153"/>
        <v>33.874074074074073</v>
      </c>
      <c r="M988" s="38"/>
      <c r="N988" s="45">
        <v>881134</v>
      </c>
      <c r="O988" s="349">
        <f t="shared" si="147"/>
        <v>817</v>
      </c>
      <c r="P988" s="9"/>
      <c r="Q988" s="42">
        <v>669684</v>
      </c>
      <c r="R988" s="314">
        <f t="shared" si="146"/>
        <v>226</v>
      </c>
      <c r="S988" s="358"/>
      <c r="T988" s="45">
        <v>23224</v>
      </c>
      <c r="U988" s="348">
        <f t="shared" si="155"/>
        <v>3</v>
      </c>
      <c r="V988" s="38"/>
      <c r="W988" s="45">
        <v>48197</v>
      </c>
      <c r="X988" s="349">
        <f t="shared" si="154"/>
        <v>0</v>
      </c>
      <c r="Y988" s="38"/>
      <c r="Z988" s="243"/>
    </row>
    <row r="989" spans="1:26">
      <c r="A989" s="150">
        <v>45518</v>
      </c>
      <c r="B989" s="154" t="s">
        <v>110</v>
      </c>
      <c r="C989" s="45">
        <v>3709401</v>
      </c>
      <c r="D989" s="323">
        <f t="shared" si="148"/>
        <v>8391</v>
      </c>
      <c r="E989" s="38"/>
      <c r="F989" s="45">
        <v>8881180</v>
      </c>
      <c r="G989" s="344">
        <f t="shared" si="151"/>
        <v>20955</v>
      </c>
      <c r="H989" s="345">
        <f t="shared" ref="H989:H1043" si="156">(G989+D989-1595)/362</f>
        <v>76.660220994475139</v>
      </c>
      <c r="I989" s="38"/>
      <c r="J989" s="45">
        <v>5026408</v>
      </c>
      <c r="K989" s="346">
        <f t="shared" si="143"/>
        <v>10101</v>
      </c>
      <c r="L989" s="347">
        <f t="shared" si="153"/>
        <v>74.822222222222223</v>
      </c>
      <c r="M989" s="38"/>
      <c r="N989" s="45">
        <v>881951</v>
      </c>
      <c r="O989" s="349">
        <f t="shared" si="147"/>
        <v>1972</v>
      </c>
      <c r="P989" s="9"/>
      <c r="Q989" s="42">
        <v>669958</v>
      </c>
      <c r="R989" s="314">
        <f t="shared" si="146"/>
        <v>274</v>
      </c>
      <c r="S989" s="358"/>
      <c r="T989" s="45">
        <v>23227</v>
      </c>
      <c r="U989" s="348">
        <f t="shared" si="155"/>
        <v>87</v>
      </c>
      <c r="V989" s="38"/>
      <c r="W989" s="45">
        <v>48197</v>
      </c>
      <c r="X989" s="349">
        <f t="shared" si="154"/>
        <v>1</v>
      </c>
      <c r="Y989" s="38"/>
      <c r="Z989" s="243"/>
    </row>
    <row r="990" spans="1:26">
      <c r="A990" s="150">
        <v>45519</v>
      </c>
      <c r="B990" s="154" t="s">
        <v>111</v>
      </c>
      <c r="C990" s="45">
        <v>3717792</v>
      </c>
      <c r="D990" s="323">
        <f t="shared" si="148"/>
        <v>0</v>
      </c>
      <c r="E990" s="38"/>
      <c r="F990" s="45">
        <v>8902135</v>
      </c>
      <c r="G990" s="344">
        <f t="shared" si="151"/>
        <v>0</v>
      </c>
      <c r="H990" s="345">
        <f t="shared" si="156"/>
        <v>-4.4060773480662982</v>
      </c>
      <c r="I990" s="38"/>
      <c r="J990" s="45">
        <v>5036509</v>
      </c>
      <c r="K990" s="346">
        <f t="shared" si="143"/>
        <v>0</v>
      </c>
      <c r="L990" s="347">
        <f t="shared" si="153"/>
        <v>0</v>
      </c>
      <c r="M990" s="38"/>
      <c r="N990" s="45">
        <v>883923</v>
      </c>
      <c r="O990" s="349">
        <f t="shared" si="147"/>
        <v>724</v>
      </c>
      <c r="P990" s="9"/>
      <c r="Q990" s="42">
        <v>670343</v>
      </c>
      <c r="R990" s="314">
        <f t="shared" si="146"/>
        <v>385</v>
      </c>
      <c r="S990" s="358"/>
      <c r="T990" s="45">
        <v>23314</v>
      </c>
      <c r="U990" s="348">
        <f t="shared" si="155"/>
        <v>0</v>
      </c>
      <c r="V990" s="38"/>
      <c r="W990" s="45">
        <v>48198</v>
      </c>
      <c r="X990" s="349">
        <f>W991-W990</f>
        <v>0</v>
      </c>
      <c r="Y990" s="38"/>
      <c r="Z990" s="243"/>
    </row>
    <row r="991" spans="1:26">
      <c r="A991" s="150">
        <v>45520</v>
      </c>
      <c r="B991" s="154" t="s">
        <v>106</v>
      </c>
      <c r="C991" s="45">
        <v>3717792</v>
      </c>
      <c r="D991" s="323">
        <f t="shared" si="148"/>
        <v>3875</v>
      </c>
      <c r="E991" s="38"/>
      <c r="F991" s="45">
        <v>8902135</v>
      </c>
      <c r="G991" s="344">
        <f t="shared" si="151"/>
        <v>17000</v>
      </c>
      <c r="H991" s="345">
        <f t="shared" si="156"/>
        <v>53.259668508287291</v>
      </c>
      <c r="I991" s="38"/>
      <c r="J991" s="45">
        <v>5036509</v>
      </c>
      <c r="K991" s="346">
        <f t="shared" si="143"/>
        <v>4888</v>
      </c>
      <c r="L991" s="347">
        <f t="shared" si="153"/>
        <v>36.207407407407409</v>
      </c>
      <c r="M991" s="38"/>
      <c r="N991" s="45">
        <v>884647</v>
      </c>
      <c r="O991" s="349">
        <f t="shared" si="147"/>
        <v>811</v>
      </c>
      <c r="P991" s="9"/>
      <c r="Q991" s="42">
        <v>670343</v>
      </c>
      <c r="R991" s="314">
        <f t="shared" si="146"/>
        <v>0</v>
      </c>
      <c r="S991" s="358"/>
      <c r="T991" s="45">
        <v>23314</v>
      </c>
      <c r="U991" s="348">
        <f t="shared" si="155"/>
        <v>9</v>
      </c>
      <c r="V991" s="38"/>
      <c r="W991" s="45">
        <v>48198</v>
      </c>
      <c r="X991" s="349">
        <f t="shared" ref="X991:X1054" si="157">W992-W991</f>
        <v>7</v>
      </c>
      <c r="Y991" s="38"/>
      <c r="Z991" s="243"/>
    </row>
    <row r="992" spans="1:26">
      <c r="A992" s="150">
        <v>45521</v>
      </c>
      <c r="B992" s="154" t="s">
        <v>107</v>
      </c>
      <c r="C992" s="45">
        <v>3721667</v>
      </c>
      <c r="D992" s="323">
        <f t="shared" si="148"/>
        <v>0</v>
      </c>
      <c r="E992" s="38"/>
      <c r="F992" s="45">
        <v>8919135</v>
      </c>
      <c r="G992" s="344">
        <f t="shared" si="151"/>
        <v>0</v>
      </c>
      <c r="H992" s="345">
        <f t="shared" si="156"/>
        <v>-4.4060773480662982</v>
      </c>
      <c r="I992" s="38"/>
      <c r="J992" s="45">
        <v>5041397</v>
      </c>
      <c r="K992" s="346">
        <f t="shared" si="143"/>
        <v>0</v>
      </c>
      <c r="L992" s="347">
        <f t="shared" si="153"/>
        <v>0</v>
      </c>
      <c r="M992" s="38"/>
      <c r="N992" s="45">
        <v>885458</v>
      </c>
      <c r="O992" s="349">
        <f t="shared" si="147"/>
        <v>0</v>
      </c>
      <c r="P992" s="9"/>
      <c r="Q992" s="42">
        <v>670885</v>
      </c>
      <c r="R992" s="314">
        <f t="shared" si="146"/>
        <v>542</v>
      </c>
      <c r="S992" s="358"/>
      <c r="T992" s="45">
        <v>23323</v>
      </c>
      <c r="U992" s="348">
        <f t="shared" si="155"/>
        <v>0</v>
      </c>
      <c r="V992" s="38"/>
      <c r="W992" s="45">
        <v>48205</v>
      </c>
      <c r="X992" s="349">
        <f t="shared" si="157"/>
        <v>0</v>
      </c>
      <c r="Y992" s="38"/>
      <c r="Z992" s="243"/>
    </row>
    <row r="993" spans="1:26">
      <c r="A993" s="150">
        <v>45522</v>
      </c>
      <c r="B993" s="154" t="s">
        <v>36</v>
      </c>
      <c r="C993" s="45">
        <v>3721667</v>
      </c>
      <c r="D993" s="323">
        <f t="shared" si="148"/>
        <v>0</v>
      </c>
      <c r="E993" s="38"/>
      <c r="F993" s="45">
        <v>8919135</v>
      </c>
      <c r="G993" s="344">
        <f t="shared" si="151"/>
        <v>0</v>
      </c>
      <c r="H993" s="345">
        <f t="shared" si="156"/>
        <v>-4.4060773480662982</v>
      </c>
      <c r="I993" s="38"/>
      <c r="J993" s="45">
        <v>5041397</v>
      </c>
      <c r="K993" s="346">
        <f t="shared" si="143"/>
        <v>0</v>
      </c>
      <c r="L993" s="347">
        <f t="shared" si="153"/>
        <v>0</v>
      </c>
      <c r="M993" s="38"/>
      <c r="N993" s="45">
        <v>885458</v>
      </c>
      <c r="O993" s="349">
        <f t="shared" si="147"/>
        <v>946</v>
      </c>
      <c r="P993" s="9"/>
      <c r="Q993" s="42">
        <v>670885</v>
      </c>
      <c r="R993" s="314">
        <f t="shared" si="146"/>
        <v>0</v>
      </c>
      <c r="S993" s="358"/>
      <c r="T993" s="45">
        <v>23323</v>
      </c>
      <c r="U993" s="348">
        <f t="shared" si="155"/>
        <v>0</v>
      </c>
      <c r="V993" s="38"/>
      <c r="W993" s="45">
        <v>48205</v>
      </c>
      <c r="X993" s="349">
        <f t="shared" si="157"/>
        <v>0</v>
      </c>
      <c r="Y993" s="38"/>
      <c r="Z993" s="243"/>
    </row>
    <row r="994" spans="1:26">
      <c r="A994" s="150">
        <v>45523</v>
      </c>
      <c r="B994" s="154" t="s">
        <v>108</v>
      </c>
      <c r="C994" s="45">
        <v>3721667</v>
      </c>
      <c r="D994" s="323">
        <f t="shared" si="148"/>
        <v>3984</v>
      </c>
      <c r="E994" s="38"/>
      <c r="F994" s="45">
        <v>8919135</v>
      </c>
      <c r="G994" s="344">
        <f t="shared" si="151"/>
        <v>10138</v>
      </c>
      <c r="H994" s="345">
        <f t="shared" si="156"/>
        <v>34.604972375690608</v>
      </c>
      <c r="I994" s="38"/>
      <c r="J994" s="45">
        <v>5041397</v>
      </c>
      <c r="K994" s="346">
        <f t="shared" si="143"/>
        <v>11745</v>
      </c>
      <c r="L994" s="347">
        <f t="shared" si="153"/>
        <v>87</v>
      </c>
      <c r="M994" s="38"/>
      <c r="N994" s="45">
        <v>886404</v>
      </c>
      <c r="O994" s="349">
        <f t="shared" si="147"/>
        <v>0</v>
      </c>
      <c r="P994" s="9"/>
      <c r="Q994" s="42">
        <v>670885</v>
      </c>
      <c r="R994" s="314">
        <f t="shared" si="146"/>
        <v>0</v>
      </c>
      <c r="S994" s="358"/>
      <c r="T994" s="45">
        <v>23323</v>
      </c>
      <c r="U994" s="348">
        <f t="shared" si="155"/>
        <v>4</v>
      </c>
      <c r="V994" s="38"/>
      <c r="W994" s="45">
        <v>48205</v>
      </c>
      <c r="X994" s="349">
        <f t="shared" si="157"/>
        <v>0</v>
      </c>
      <c r="Y994" s="38"/>
      <c r="Z994" s="243"/>
    </row>
    <row r="995" spans="1:26">
      <c r="A995" s="150">
        <v>45524</v>
      </c>
      <c r="B995" s="154" t="s">
        <v>109</v>
      </c>
      <c r="C995" s="45">
        <v>3725651</v>
      </c>
      <c r="D995" s="323">
        <f t="shared" si="148"/>
        <v>4280</v>
      </c>
      <c r="E995" s="38"/>
      <c r="F995" s="45">
        <v>8929273</v>
      </c>
      <c r="G995" s="344">
        <f t="shared" si="151"/>
        <v>11051</v>
      </c>
      <c r="H995" s="345">
        <f t="shared" si="156"/>
        <v>37.944751381215468</v>
      </c>
      <c r="I995" s="38"/>
      <c r="J995" s="45">
        <v>5053142</v>
      </c>
      <c r="K995" s="346">
        <f t="shared" si="143"/>
        <v>5303</v>
      </c>
      <c r="L995" s="347">
        <f t="shared" si="153"/>
        <v>39.281481481481478</v>
      </c>
      <c r="M995" s="38"/>
      <c r="N995" s="45">
        <v>886404</v>
      </c>
      <c r="O995" s="349">
        <f t="shared" si="147"/>
        <v>791</v>
      </c>
      <c r="P995" s="9"/>
      <c r="Q995" s="42">
        <v>671106</v>
      </c>
      <c r="R995" s="314">
        <f t="shared" si="146"/>
        <v>221</v>
      </c>
      <c r="S995" s="358"/>
      <c r="T995" s="45">
        <v>23327</v>
      </c>
      <c r="U995" s="348">
        <f t="shared" si="155"/>
        <v>2</v>
      </c>
      <c r="V995" s="38"/>
      <c r="W995" s="45">
        <v>48205</v>
      </c>
      <c r="X995" s="349">
        <f t="shared" si="157"/>
        <v>0</v>
      </c>
      <c r="Y995" s="38"/>
      <c r="Z995" s="243"/>
    </row>
    <row r="996" spans="1:26">
      <c r="A996" s="150">
        <v>45525</v>
      </c>
      <c r="B996" s="154" t="s">
        <v>110</v>
      </c>
      <c r="C996" s="45">
        <v>3729931</v>
      </c>
      <c r="D996" s="323">
        <f t="shared" si="148"/>
        <v>4560</v>
      </c>
      <c r="E996" s="38"/>
      <c r="F996" s="45">
        <v>8940324</v>
      </c>
      <c r="G996" s="344">
        <f t="shared" si="151"/>
        <v>11224</v>
      </c>
      <c r="H996" s="345">
        <f t="shared" si="156"/>
        <v>39.196132596685082</v>
      </c>
      <c r="I996" s="38"/>
      <c r="J996" s="45">
        <v>5058445</v>
      </c>
      <c r="K996" s="346">
        <f t="shared" si="143"/>
        <v>4709</v>
      </c>
      <c r="L996" s="347">
        <f t="shared" si="153"/>
        <v>34.88148148148148</v>
      </c>
      <c r="M996" s="38"/>
      <c r="N996" s="45">
        <v>887195</v>
      </c>
      <c r="O996" s="349">
        <f t="shared" si="147"/>
        <v>719</v>
      </c>
      <c r="P996" s="9"/>
      <c r="Q996" s="42">
        <v>671344</v>
      </c>
      <c r="R996" s="314">
        <f t="shared" si="146"/>
        <v>238</v>
      </c>
      <c r="S996" s="358"/>
      <c r="T996" s="45">
        <v>23329</v>
      </c>
      <c r="U996" s="348">
        <f t="shared" si="155"/>
        <v>3</v>
      </c>
      <c r="V996" s="38"/>
      <c r="W996" s="45">
        <v>48205</v>
      </c>
      <c r="X996" s="349">
        <f t="shared" si="157"/>
        <v>1</v>
      </c>
      <c r="Y996" s="38"/>
      <c r="Z996" s="243"/>
    </row>
    <row r="997" spans="1:26">
      <c r="A997" s="150">
        <v>45526</v>
      </c>
      <c r="B997" s="154" t="s">
        <v>111</v>
      </c>
      <c r="C997" s="45">
        <v>3734491</v>
      </c>
      <c r="D997" s="323">
        <f t="shared" si="148"/>
        <v>4280</v>
      </c>
      <c r="E997" s="38"/>
      <c r="F997" s="45">
        <v>8951548</v>
      </c>
      <c r="G997" s="344">
        <f t="shared" si="151"/>
        <v>10813</v>
      </c>
      <c r="H997" s="345">
        <f t="shared" si="156"/>
        <v>37.287292817679557</v>
      </c>
      <c r="I997" s="38"/>
      <c r="J997" s="45">
        <v>5063154</v>
      </c>
      <c r="K997" s="346">
        <f t="shared" si="143"/>
        <v>5178</v>
      </c>
      <c r="L997" s="347">
        <f t="shared" si="153"/>
        <v>38.355555555555554</v>
      </c>
      <c r="M997" s="38"/>
      <c r="N997" s="45">
        <v>887914</v>
      </c>
      <c r="O997" s="349">
        <f t="shared" si="147"/>
        <v>800</v>
      </c>
      <c r="P997" s="9"/>
      <c r="Q997" s="42">
        <v>671554</v>
      </c>
      <c r="R997" s="314">
        <f t="shared" si="146"/>
        <v>210</v>
      </c>
      <c r="S997" s="358"/>
      <c r="T997" s="45">
        <v>23332</v>
      </c>
      <c r="U997" s="348">
        <f t="shared" si="155"/>
        <v>4</v>
      </c>
      <c r="V997" s="38"/>
      <c r="W997" s="45">
        <v>48206</v>
      </c>
      <c r="X997" s="349">
        <f t="shared" si="157"/>
        <v>0</v>
      </c>
      <c r="Y997" s="38"/>
      <c r="Z997" s="243"/>
    </row>
    <row r="998" spans="1:26">
      <c r="A998" s="150">
        <v>45527</v>
      </c>
      <c r="B998" s="154" t="s">
        <v>106</v>
      </c>
      <c r="C998" s="45">
        <v>3738771</v>
      </c>
      <c r="D998" s="323">
        <f t="shared" si="148"/>
        <v>12656</v>
      </c>
      <c r="E998" s="38"/>
      <c r="F998" s="45">
        <v>8962361</v>
      </c>
      <c r="G998" s="344">
        <f t="shared" si="151"/>
        <v>38509</v>
      </c>
      <c r="H998" s="345">
        <f t="shared" si="156"/>
        <v>136.93370165745856</v>
      </c>
      <c r="I998" s="38"/>
      <c r="J998" s="45">
        <v>5068332</v>
      </c>
      <c r="K998" s="346">
        <f t="shared" si="143"/>
        <v>24668</v>
      </c>
      <c r="L998" s="347">
        <f t="shared" si="153"/>
        <v>182.72592592592594</v>
      </c>
      <c r="M998" s="38"/>
      <c r="N998" s="45">
        <v>888714</v>
      </c>
      <c r="O998" s="349">
        <f t="shared" si="147"/>
        <v>825</v>
      </c>
      <c r="P998" s="9"/>
      <c r="Q998" s="42">
        <v>671750</v>
      </c>
      <c r="R998" s="314">
        <f t="shared" si="146"/>
        <v>196</v>
      </c>
      <c r="S998" s="358"/>
      <c r="T998" s="45">
        <v>23336</v>
      </c>
      <c r="U998" s="348">
        <f t="shared" si="155"/>
        <v>8</v>
      </c>
      <c r="V998" s="38"/>
      <c r="W998" s="45">
        <v>48206</v>
      </c>
      <c r="X998" s="349">
        <f t="shared" si="157"/>
        <v>0</v>
      </c>
      <c r="Y998" s="38"/>
      <c r="Z998" s="243"/>
    </row>
    <row r="999" spans="1:26">
      <c r="A999" s="150">
        <v>45528</v>
      </c>
      <c r="B999" s="154" t="s">
        <v>107</v>
      </c>
      <c r="C999" s="45">
        <v>3751427</v>
      </c>
      <c r="D999" s="323">
        <f t="shared" si="148"/>
        <v>0</v>
      </c>
      <c r="E999" s="38"/>
      <c r="F999" s="45">
        <v>9000870</v>
      </c>
      <c r="G999" s="344">
        <f t="shared" si="151"/>
        <v>0</v>
      </c>
      <c r="H999" s="345">
        <f t="shared" si="156"/>
        <v>-4.4060773480662982</v>
      </c>
      <c r="I999" s="38"/>
      <c r="J999" s="45">
        <v>5093000</v>
      </c>
      <c r="K999" s="346">
        <f t="shared" si="143"/>
        <v>0</v>
      </c>
      <c r="L999" s="347">
        <f t="shared" si="153"/>
        <v>0</v>
      </c>
      <c r="M999" s="38"/>
      <c r="N999" s="45">
        <v>889539</v>
      </c>
      <c r="O999" s="349">
        <f t="shared" si="147"/>
        <v>1335</v>
      </c>
      <c r="P999" s="9"/>
      <c r="Q999" s="42">
        <v>672246</v>
      </c>
      <c r="R999" s="314">
        <f t="shared" si="146"/>
        <v>496</v>
      </c>
      <c r="S999" s="358"/>
      <c r="T999" s="45">
        <v>23344</v>
      </c>
      <c r="U999" s="348">
        <f t="shared" si="155"/>
        <v>3</v>
      </c>
      <c r="V999" s="38"/>
      <c r="W999" s="45">
        <v>48206</v>
      </c>
      <c r="X999" s="349">
        <f t="shared" si="157"/>
        <v>0</v>
      </c>
      <c r="Y999" s="38"/>
      <c r="Z999" s="243"/>
    </row>
    <row r="1000" spans="1:26">
      <c r="A1000" s="150">
        <v>45529</v>
      </c>
      <c r="B1000" s="154" t="s">
        <v>36</v>
      </c>
      <c r="C1000" s="45">
        <v>3751427</v>
      </c>
      <c r="D1000" s="323">
        <f t="shared" si="148"/>
        <v>0</v>
      </c>
      <c r="E1000" s="38"/>
      <c r="F1000" s="45">
        <v>9000870</v>
      </c>
      <c r="G1000" s="344">
        <f t="shared" si="151"/>
        <v>0</v>
      </c>
      <c r="H1000" s="345">
        <f t="shared" si="156"/>
        <v>-4.4060773480662982</v>
      </c>
      <c r="I1000" s="38"/>
      <c r="J1000" s="45">
        <v>5093000</v>
      </c>
      <c r="K1000" s="346">
        <f t="shared" si="143"/>
        <v>0</v>
      </c>
      <c r="L1000" s="347">
        <f t="shared" si="153"/>
        <v>0</v>
      </c>
      <c r="M1000" s="38"/>
      <c r="N1000" s="45">
        <v>890874</v>
      </c>
      <c r="O1000" s="349">
        <f t="shared" si="147"/>
        <v>0</v>
      </c>
      <c r="P1000" s="9"/>
      <c r="Q1000" s="42">
        <v>672246</v>
      </c>
      <c r="R1000" s="314">
        <f t="shared" si="146"/>
        <v>0</v>
      </c>
      <c r="S1000" s="358"/>
      <c r="T1000" s="45">
        <v>23347</v>
      </c>
      <c r="U1000" s="348">
        <f t="shared" si="155"/>
        <v>0</v>
      </c>
      <c r="V1000" s="38"/>
      <c r="W1000" s="45">
        <v>48206</v>
      </c>
      <c r="X1000" s="349">
        <f t="shared" si="157"/>
        <v>0</v>
      </c>
      <c r="Y1000" s="38"/>
      <c r="Z1000" s="243"/>
    </row>
    <row r="1001" spans="1:26">
      <c r="A1001" s="150">
        <v>45530</v>
      </c>
      <c r="B1001" s="154" t="s">
        <v>108</v>
      </c>
      <c r="C1001" s="45">
        <v>3751427</v>
      </c>
      <c r="D1001" s="323">
        <f t="shared" si="148"/>
        <v>0</v>
      </c>
      <c r="E1001" s="38"/>
      <c r="F1001" s="45">
        <v>9000870</v>
      </c>
      <c r="G1001" s="344">
        <f t="shared" si="151"/>
        <v>0</v>
      </c>
      <c r="H1001" s="345">
        <f t="shared" si="156"/>
        <v>-4.4060773480662982</v>
      </c>
      <c r="I1001" s="38"/>
      <c r="J1001" s="45">
        <v>5093000</v>
      </c>
      <c r="K1001" s="346">
        <f t="shared" si="143"/>
        <v>0</v>
      </c>
      <c r="L1001" s="347">
        <f t="shared" si="153"/>
        <v>0</v>
      </c>
      <c r="M1001" s="38"/>
      <c r="N1001" s="45">
        <v>890874</v>
      </c>
      <c r="O1001" s="349">
        <f t="shared" si="147"/>
        <v>904</v>
      </c>
      <c r="P1001" s="9"/>
      <c r="Q1001" s="42">
        <v>672246</v>
      </c>
      <c r="R1001" s="314">
        <f t="shared" si="146"/>
        <v>0</v>
      </c>
      <c r="S1001" s="358"/>
      <c r="T1001" s="45">
        <v>23347</v>
      </c>
      <c r="U1001" s="348">
        <f t="shared" si="155"/>
        <v>1</v>
      </c>
      <c r="V1001" s="38"/>
      <c r="W1001" s="45">
        <v>48206</v>
      </c>
      <c r="X1001" s="349">
        <f t="shared" si="157"/>
        <v>0</v>
      </c>
      <c r="Y1001" s="38"/>
      <c r="Z1001" s="243"/>
    </row>
    <row r="1002" spans="1:26">
      <c r="A1002" s="150">
        <v>45531</v>
      </c>
      <c r="B1002" s="154" t="s">
        <v>109</v>
      </c>
      <c r="C1002" s="45">
        <v>3751427</v>
      </c>
      <c r="D1002" s="323">
        <f t="shared" si="148"/>
        <v>0</v>
      </c>
      <c r="E1002" s="38"/>
      <c r="F1002" s="45">
        <v>9000870</v>
      </c>
      <c r="G1002" s="344">
        <f t="shared" si="151"/>
        <v>0</v>
      </c>
      <c r="H1002" s="345">
        <f t="shared" si="156"/>
        <v>-4.4060773480662982</v>
      </c>
      <c r="I1002" s="38"/>
      <c r="J1002" s="45">
        <v>5093000</v>
      </c>
      <c r="K1002" s="346">
        <f t="shared" si="143"/>
        <v>0</v>
      </c>
      <c r="L1002" s="347">
        <f t="shared" si="153"/>
        <v>0</v>
      </c>
      <c r="M1002" s="38"/>
      <c r="N1002" s="45">
        <v>891778</v>
      </c>
      <c r="O1002" s="349">
        <f t="shared" si="147"/>
        <v>892</v>
      </c>
      <c r="P1002" s="9"/>
      <c r="Q1002" s="42">
        <v>672445</v>
      </c>
      <c r="R1002" s="314">
        <f t="shared" si="146"/>
        <v>199</v>
      </c>
      <c r="S1002" s="358"/>
      <c r="T1002" s="45">
        <v>23348</v>
      </c>
      <c r="U1002" s="348">
        <f t="shared" si="155"/>
        <v>2</v>
      </c>
      <c r="V1002" s="38"/>
      <c r="W1002" s="45">
        <v>48206</v>
      </c>
      <c r="X1002" s="349">
        <f t="shared" si="157"/>
        <v>1</v>
      </c>
      <c r="Y1002" s="38"/>
      <c r="Z1002" s="243"/>
    </row>
    <row r="1003" spans="1:26">
      <c r="A1003" s="150">
        <v>45532</v>
      </c>
      <c r="B1003" s="154" t="s">
        <v>110</v>
      </c>
      <c r="C1003" s="45">
        <v>3751427</v>
      </c>
      <c r="D1003" s="323">
        <f t="shared" si="148"/>
        <v>13505</v>
      </c>
      <c r="E1003" s="38"/>
      <c r="F1003" s="45">
        <v>9000870</v>
      </c>
      <c r="G1003" s="344">
        <f t="shared" si="151"/>
        <v>41003</v>
      </c>
      <c r="H1003" s="345">
        <f t="shared" si="156"/>
        <v>146.16850828729281</v>
      </c>
      <c r="I1003" s="38"/>
      <c r="J1003" s="45">
        <v>5093000</v>
      </c>
      <c r="K1003" s="346">
        <f t="shared" si="143"/>
        <v>15403</v>
      </c>
      <c r="L1003" s="347">
        <f t="shared" si="153"/>
        <v>114.0962962962963</v>
      </c>
      <c r="M1003" s="38"/>
      <c r="N1003" s="45">
        <v>892670</v>
      </c>
      <c r="O1003" s="349">
        <f t="shared" si="147"/>
        <v>1606</v>
      </c>
      <c r="P1003" s="9"/>
      <c r="Q1003" s="42">
        <v>672677</v>
      </c>
      <c r="R1003" s="314">
        <f t="shared" si="146"/>
        <v>232</v>
      </c>
      <c r="S1003" s="358"/>
      <c r="T1003" s="45">
        <v>23350</v>
      </c>
      <c r="U1003" s="348">
        <f t="shared" si="155"/>
        <v>3</v>
      </c>
      <c r="V1003" s="38"/>
      <c r="W1003" s="45">
        <v>48207</v>
      </c>
      <c r="X1003" s="349">
        <f t="shared" si="157"/>
        <v>1</v>
      </c>
      <c r="Y1003" s="38"/>
      <c r="Z1003" s="243"/>
    </row>
    <row r="1004" spans="1:26">
      <c r="A1004" s="150">
        <v>45533</v>
      </c>
      <c r="B1004" s="154" t="s">
        <v>111</v>
      </c>
      <c r="C1004" s="45">
        <v>3764932</v>
      </c>
      <c r="D1004" s="323">
        <f t="shared" si="148"/>
        <v>0</v>
      </c>
      <c r="E1004" s="38"/>
      <c r="F1004" s="45">
        <v>9041873</v>
      </c>
      <c r="G1004" s="344">
        <f t="shared" si="151"/>
        <v>0</v>
      </c>
      <c r="H1004" s="345">
        <f t="shared" si="156"/>
        <v>-4.4060773480662982</v>
      </c>
      <c r="I1004" s="38"/>
      <c r="J1004" s="45">
        <v>5108403</v>
      </c>
      <c r="K1004" s="346">
        <f t="shared" si="143"/>
        <v>0</v>
      </c>
      <c r="L1004" s="347">
        <f t="shared" si="153"/>
        <v>0</v>
      </c>
      <c r="M1004" s="38"/>
      <c r="N1004" s="45">
        <v>894276</v>
      </c>
      <c r="O1004" s="349">
        <f t="shared" si="147"/>
        <v>873</v>
      </c>
      <c r="P1004" s="9"/>
      <c r="Q1004" s="42">
        <v>672918</v>
      </c>
      <c r="R1004" s="314">
        <f t="shared" si="146"/>
        <v>241</v>
      </c>
      <c r="S1004" s="358"/>
      <c r="T1004" s="45">
        <v>23353</v>
      </c>
      <c r="U1004" s="348">
        <f t="shared" si="155"/>
        <v>5</v>
      </c>
      <c r="V1004" s="38"/>
      <c r="W1004" s="45">
        <v>48208</v>
      </c>
      <c r="X1004" s="349">
        <f t="shared" si="157"/>
        <v>0</v>
      </c>
      <c r="Y1004" s="38"/>
      <c r="Z1004" s="243"/>
    </row>
    <row r="1005" spans="1:26">
      <c r="A1005" s="150">
        <v>45534</v>
      </c>
      <c r="B1005" s="154" t="s">
        <v>106</v>
      </c>
      <c r="C1005" s="45">
        <v>3764932</v>
      </c>
      <c r="D1005" s="323">
        <f t="shared" si="148"/>
        <v>0</v>
      </c>
      <c r="E1005" s="38"/>
      <c r="F1005" s="45">
        <v>9041873</v>
      </c>
      <c r="G1005" s="344">
        <f t="shared" si="151"/>
        <v>0</v>
      </c>
      <c r="H1005" s="345">
        <f t="shared" si="156"/>
        <v>-4.4060773480662982</v>
      </c>
      <c r="I1005" s="38"/>
      <c r="J1005" s="45">
        <v>5108403</v>
      </c>
      <c r="K1005" s="346">
        <f t="shared" si="143"/>
        <v>0</v>
      </c>
      <c r="L1005" s="347">
        <f t="shared" si="153"/>
        <v>0</v>
      </c>
      <c r="M1005" s="38"/>
      <c r="N1005" s="45">
        <v>895149</v>
      </c>
      <c r="O1005" s="349">
        <f t="shared" si="147"/>
        <v>807</v>
      </c>
      <c r="P1005" s="9"/>
      <c r="Q1005" s="42">
        <v>673129</v>
      </c>
      <c r="R1005" s="314">
        <f t="shared" si="146"/>
        <v>211</v>
      </c>
      <c r="S1005" s="358"/>
      <c r="T1005" s="45">
        <v>23358</v>
      </c>
      <c r="U1005" s="348">
        <f t="shared" si="155"/>
        <v>6</v>
      </c>
      <c r="V1005" s="38"/>
      <c r="W1005" s="45">
        <v>48208</v>
      </c>
      <c r="X1005" s="349">
        <f t="shared" si="157"/>
        <v>0</v>
      </c>
      <c r="Y1005" s="38"/>
      <c r="Z1005" s="243"/>
    </row>
    <row r="1006" spans="1:26">
      <c r="A1006" s="150">
        <v>45535</v>
      </c>
      <c r="B1006" s="154" t="s">
        <v>107</v>
      </c>
      <c r="C1006" s="45">
        <v>3764932</v>
      </c>
      <c r="D1006" s="323">
        <f t="shared" si="148"/>
        <v>0</v>
      </c>
      <c r="E1006" s="38"/>
      <c r="F1006" s="45">
        <v>9041873</v>
      </c>
      <c r="G1006" s="344">
        <f t="shared" si="151"/>
        <v>0</v>
      </c>
      <c r="H1006" s="345">
        <f t="shared" si="156"/>
        <v>-4.4060773480662982</v>
      </c>
      <c r="I1006" s="38"/>
      <c r="J1006" s="45">
        <v>5108403</v>
      </c>
      <c r="K1006" s="346">
        <f t="shared" si="143"/>
        <v>0</v>
      </c>
      <c r="L1006" s="347">
        <f t="shared" si="153"/>
        <v>0</v>
      </c>
      <c r="M1006" s="38"/>
      <c r="N1006" s="45">
        <v>895956</v>
      </c>
      <c r="O1006" s="349">
        <f t="shared" si="147"/>
        <v>0</v>
      </c>
      <c r="P1006" s="9"/>
      <c r="Q1006" s="42">
        <v>673655</v>
      </c>
      <c r="R1006" s="314">
        <f t="shared" si="146"/>
        <v>526</v>
      </c>
      <c r="S1006" s="358"/>
      <c r="T1006" s="45">
        <v>23364</v>
      </c>
      <c r="U1006" s="348">
        <f t="shared" si="155"/>
        <v>0</v>
      </c>
      <c r="V1006" s="38"/>
      <c r="W1006" s="45">
        <v>48208</v>
      </c>
      <c r="X1006" s="349">
        <f t="shared" si="157"/>
        <v>0</v>
      </c>
      <c r="Y1006" s="38"/>
      <c r="Z1006" s="243"/>
    </row>
    <row r="1007" spans="1:26">
      <c r="A1007" s="150">
        <v>45536</v>
      </c>
      <c r="B1007" s="154" t="s">
        <v>36</v>
      </c>
      <c r="C1007" s="45">
        <v>3764932</v>
      </c>
      <c r="D1007" s="323">
        <f t="shared" si="148"/>
        <v>0</v>
      </c>
      <c r="E1007" s="38"/>
      <c r="F1007" s="45">
        <v>9041873</v>
      </c>
      <c r="G1007" s="344">
        <f t="shared" si="151"/>
        <v>0</v>
      </c>
      <c r="H1007" s="345">
        <f t="shared" si="156"/>
        <v>-4.4060773480662982</v>
      </c>
      <c r="I1007" s="38"/>
      <c r="J1007" s="45">
        <v>5108403</v>
      </c>
      <c r="K1007" s="346">
        <f t="shared" ref="K1007:K1075" si="158">IF(J1008&gt;0,J1008-J1007," ")</f>
        <v>0</v>
      </c>
      <c r="L1007" s="347">
        <f t="shared" si="153"/>
        <v>0</v>
      </c>
      <c r="M1007" s="38"/>
      <c r="N1007" s="45">
        <v>895956</v>
      </c>
      <c r="O1007" s="349">
        <f t="shared" si="147"/>
        <v>0</v>
      </c>
      <c r="P1007" s="9"/>
      <c r="Q1007" s="42">
        <v>673655</v>
      </c>
      <c r="R1007" s="314">
        <f t="shared" si="146"/>
        <v>0</v>
      </c>
      <c r="S1007" s="358"/>
      <c r="T1007" s="45">
        <v>23364</v>
      </c>
      <c r="U1007" s="348">
        <f t="shared" si="155"/>
        <v>0</v>
      </c>
      <c r="V1007" s="38"/>
      <c r="W1007" s="45">
        <v>48208</v>
      </c>
      <c r="X1007" s="349">
        <f t="shared" si="157"/>
        <v>0</v>
      </c>
      <c r="Y1007" s="38"/>
      <c r="Z1007" s="243"/>
    </row>
    <row r="1008" spans="1:26">
      <c r="A1008" s="150">
        <v>45537</v>
      </c>
      <c r="B1008" s="154" t="s">
        <v>108</v>
      </c>
      <c r="C1008" s="45">
        <v>3764932</v>
      </c>
      <c r="D1008" s="323">
        <f t="shared" si="148"/>
        <v>4292</v>
      </c>
      <c r="E1008" s="38"/>
      <c r="F1008" s="45">
        <v>9041873</v>
      </c>
      <c r="G1008" s="344">
        <f t="shared" si="151"/>
        <v>10699</v>
      </c>
      <c r="H1008" s="345">
        <f t="shared" si="156"/>
        <v>37.005524861878456</v>
      </c>
      <c r="I1008" s="38"/>
      <c r="J1008" s="45">
        <v>5108403</v>
      </c>
      <c r="K1008" s="346">
        <f t="shared" si="158"/>
        <v>8600</v>
      </c>
      <c r="L1008" s="347">
        <f t="shared" si="153"/>
        <v>63.703703703703702</v>
      </c>
      <c r="M1008" s="38"/>
      <c r="N1008" s="45">
        <v>895956</v>
      </c>
      <c r="O1008" s="349">
        <f t="shared" si="147"/>
        <v>848</v>
      </c>
      <c r="P1008" s="9"/>
      <c r="Q1008" s="42">
        <v>673655</v>
      </c>
      <c r="R1008" s="314">
        <f t="shared" si="146"/>
        <v>0</v>
      </c>
      <c r="S1008" s="358"/>
      <c r="T1008" s="45">
        <v>23364</v>
      </c>
      <c r="U1008" s="348">
        <f t="shared" si="155"/>
        <v>3</v>
      </c>
      <c r="V1008" s="38"/>
      <c r="W1008" s="45">
        <v>48208</v>
      </c>
      <c r="X1008" s="349">
        <f t="shared" si="157"/>
        <v>582</v>
      </c>
      <c r="Y1008" s="38"/>
      <c r="Z1008" s="243"/>
    </row>
    <row r="1009" spans="1:26">
      <c r="A1009" s="150">
        <v>45538</v>
      </c>
      <c r="B1009" s="154" t="s">
        <v>109</v>
      </c>
      <c r="C1009" s="45">
        <v>3769224</v>
      </c>
      <c r="D1009" s="323">
        <f t="shared" si="148"/>
        <v>9777</v>
      </c>
      <c r="E1009" s="38"/>
      <c r="F1009" s="45">
        <v>9052572</v>
      </c>
      <c r="G1009" s="344">
        <f t="shared" si="151"/>
        <v>24769</v>
      </c>
      <c r="H1009" s="345">
        <f t="shared" si="156"/>
        <v>91.024861878453038</v>
      </c>
      <c r="I1009" s="38"/>
      <c r="J1009" s="45">
        <v>5117003</v>
      </c>
      <c r="K1009" s="346">
        <f t="shared" si="158"/>
        <v>9195</v>
      </c>
      <c r="L1009" s="347">
        <f t="shared" si="153"/>
        <v>68.111111111111114</v>
      </c>
      <c r="M1009" s="38"/>
      <c r="N1009" s="45">
        <v>896804</v>
      </c>
      <c r="O1009" s="349">
        <f t="shared" si="147"/>
        <v>1029</v>
      </c>
      <c r="P1009" s="9"/>
      <c r="Q1009" s="42">
        <v>673901</v>
      </c>
      <c r="R1009" s="314">
        <f t="shared" si="146"/>
        <v>246</v>
      </c>
      <c r="S1009" s="358"/>
      <c r="T1009" s="45">
        <v>23367</v>
      </c>
      <c r="U1009" s="348">
        <f t="shared" si="155"/>
        <v>3583</v>
      </c>
      <c r="V1009" s="38"/>
      <c r="W1009" s="42">
        <v>48790</v>
      </c>
      <c r="X1009" s="349">
        <f t="shared" si="157"/>
        <v>0</v>
      </c>
      <c r="Y1009" s="38"/>
      <c r="Z1009" s="243"/>
    </row>
    <row r="1010" spans="1:26">
      <c r="A1010" s="150">
        <v>45539</v>
      </c>
      <c r="B1010" s="154" t="s">
        <v>110</v>
      </c>
      <c r="C1010" s="45">
        <v>3779001</v>
      </c>
      <c r="D1010" s="323">
        <f t="shared" si="148"/>
        <v>0</v>
      </c>
      <c r="E1010" s="38"/>
      <c r="F1010" s="45">
        <v>9077341</v>
      </c>
      <c r="G1010" s="344">
        <f t="shared" si="151"/>
        <v>0</v>
      </c>
      <c r="H1010" s="345">
        <f t="shared" si="156"/>
        <v>-4.4060773480662982</v>
      </c>
      <c r="I1010" s="38"/>
      <c r="J1010" s="45">
        <v>5126198</v>
      </c>
      <c r="K1010" s="346">
        <f t="shared" si="158"/>
        <v>0</v>
      </c>
      <c r="L1010" s="347">
        <f t="shared" si="153"/>
        <v>0</v>
      </c>
      <c r="M1010" s="38"/>
      <c r="N1010" s="45">
        <v>897833</v>
      </c>
      <c r="O1010" s="349">
        <f t="shared" si="147"/>
        <v>795</v>
      </c>
      <c r="P1010" s="9"/>
      <c r="Q1010" s="42">
        <v>674232</v>
      </c>
      <c r="R1010" s="314">
        <f t="shared" si="146"/>
        <v>331</v>
      </c>
      <c r="S1010" s="358"/>
      <c r="T1010" s="42">
        <v>26950</v>
      </c>
      <c r="U1010" s="348">
        <f t="shared" si="155"/>
        <v>0</v>
      </c>
      <c r="V1010" s="38"/>
      <c r="W1010" s="42">
        <v>48790</v>
      </c>
      <c r="X1010" s="349">
        <f t="shared" si="157"/>
        <v>0</v>
      </c>
      <c r="Y1010" s="38"/>
      <c r="Z1010" s="243"/>
    </row>
    <row r="1011" spans="1:26">
      <c r="A1011" s="150">
        <v>45540</v>
      </c>
      <c r="B1011" s="154" t="s">
        <v>111</v>
      </c>
      <c r="C1011" s="45">
        <v>3779001</v>
      </c>
      <c r="D1011" s="323">
        <f t="shared" si="148"/>
        <v>9991</v>
      </c>
      <c r="E1011" s="38"/>
      <c r="F1011" s="45">
        <v>9077341</v>
      </c>
      <c r="G1011" s="344">
        <f t="shared" si="151"/>
        <v>32409</v>
      </c>
      <c r="H1011" s="345">
        <f t="shared" si="156"/>
        <v>112.72099447513813</v>
      </c>
      <c r="I1011" s="38"/>
      <c r="J1011" s="45">
        <v>5126198</v>
      </c>
      <c r="K1011" s="346">
        <f t="shared" si="158"/>
        <v>13696</v>
      </c>
      <c r="L1011" s="347">
        <f t="shared" si="153"/>
        <v>101.45185185185186</v>
      </c>
      <c r="M1011" s="38"/>
      <c r="N1011" s="45">
        <v>898628</v>
      </c>
      <c r="O1011" s="349">
        <f t="shared" si="147"/>
        <v>925</v>
      </c>
      <c r="P1011" s="9">
        <v>22</v>
      </c>
      <c r="Q1011" s="42">
        <v>674422</v>
      </c>
      <c r="R1011" s="314">
        <f t="shared" si="146"/>
        <v>190</v>
      </c>
      <c r="S1011" s="358"/>
      <c r="T1011" s="42">
        <v>26950</v>
      </c>
      <c r="U1011" s="348">
        <f t="shared" si="155"/>
        <v>0</v>
      </c>
      <c r="V1011" s="38"/>
      <c r="W1011" s="42">
        <v>48790</v>
      </c>
      <c r="X1011" s="349">
        <f t="shared" si="157"/>
        <v>0</v>
      </c>
      <c r="Y1011" s="38"/>
      <c r="Z1011" s="243"/>
    </row>
    <row r="1012" spans="1:26">
      <c r="A1012" s="150">
        <v>674</v>
      </c>
      <c r="B1012" s="154" t="s">
        <v>106</v>
      </c>
      <c r="C1012" s="45">
        <v>3788992</v>
      </c>
      <c r="D1012" s="323">
        <f t="shared" si="148"/>
        <v>0</v>
      </c>
      <c r="E1012" s="38"/>
      <c r="F1012" s="45">
        <v>9109750</v>
      </c>
      <c r="G1012" s="344">
        <f t="shared" si="151"/>
        <v>0</v>
      </c>
      <c r="H1012" s="345">
        <f t="shared" si="156"/>
        <v>-4.4060773480662982</v>
      </c>
      <c r="I1012" s="38"/>
      <c r="J1012" s="45">
        <v>5139894</v>
      </c>
      <c r="K1012" s="346">
        <f t="shared" si="158"/>
        <v>0</v>
      </c>
      <c r="L1012" s="347">
        <f t="shared" si="153"/>
        <v>0</v>
      </c>
      <c r="M1012" s="38"/>
      <c r="N1012" s="46">
        <v>899553</v>
      </c>
      <c r="O1012" s="375">
        <f t="shared" si="147"/>
        <v>1412</v>
      </c>
      <c r="P1012" s="166"/>
      <c r="Q1012" s="42">
        <v>674657</v>
      </c>
      <c r="R1012" s="314">
        <f t="shared" si="146"/>
        <v>235</v>
      </c>
      <c r="S1012" s="358"/>
      <c r="T1012" s="42">
        <v>26950</v>
      </c>
      <c r="U1012" s="348">
        <f t="shared" si="155"/>
        <v>0</v>
      </c>
      <c r="V1012" s="38"/>
      <c r="W1012" s="42">
        <v>48790</v>
      </c>
      <c r="X1012" s="349">
        <f t="shared" si="157"/>
        <v>0</v>
      </c>
      <c r="Y1012" s="38"/>
      <c r="Z1012" s="243"/>
    </row>
    <row r="1013" spans="1:26">
      <c r="A1013" s="150">
        <v>45542</v>
      </c>
      <c r="B1013" s="154" t="s">
        <v>107</v>
      </c>
      <c r="C1013" s="45">
        <v>3788992</v>
      </c>
      <c r="D1013" s="323">
        <f t="shared" si="148"/>
        <v>0</v>
      </c>
      <c r="E1013" s="38"/>
      <c r="F1013" s="45">
        <v>9109750</v>
      </c>
      <c r="G1013" s="344">
        <f t="shared" si="151"/>
        <v>0</v>
      </c>
      <c r="H1013" s="345">
        <f t="shared" si="156"/>
        <v>-4.4060773480662982</v>
      </c>
      <c r="I1013" s="38"/>
      <c r="J1013" s="45">
        <v>5139894</v>
      </c>
      <c r="K1013" s="346">
        <f t="shared" si="158"/>
        <v>0</v>
      </c>
      <c r="L1013" s="347">
        <f t="shared" si="153"/>
        <v>0</v>
      </c>
      <c r="M1013" s="38"/>
      <c r="N1013" s="46">
        <v>900965</v>
      </c>
      <c r="O1013" s="375">
        <f t="shared" si="147"/>
        <v>0</v>
      </c>
      <c r="P1013" s="166"/>
      <c r="Q1013" s="42">
        <v>675181</v>
      </c>
      <c r="R1013" s="314">
        <f t="shared" si="146"/>
        <v>524</v>
      </c>
      <c r="S1013" s="358"/>
      <c r="T1013" s="42">
        <v>26950</v>
      </c>
      <c r="U1013" s="348">
        <f t="shared" si="155"/>
        <v>0</v>
      </c>
      <c r="V1013" s="38"/>
      <c r="W1013" s="42">
        <v>48790</v>
      </c>
      <c r="X1013" s="349">
        <f t="shared" si="157"/>
        <v>0</v>
      </c>
      <c r="Y1013" s="38"/>
      <c r="Z1013" s="243"/>
    </row>
    <row r="1014" spans="1:26">
      <c r="A1014" s="150">
        <v>45543</v>
      </c>
      <c r="B1014" s="154" t="s">
        <v>36</v>
      </c>
      <c r="C1014" s="45">
        <v>3788992</v>
      </c>
      <c r="D1014" s="323">
        <f t="shared" si="148"/>
        <v>0</v>
      </c>
      <c r="E1014" s="38"/>
      <c r="F1014" s="45">
        <v>9109750</v>
      </c>
      <c r="G1014" s="344">
        <f t="shared" si="151"/>
        <v>0</v>
      </c>
      <c r="H1014" s="345">
        <f t="shared" si="156"/>
        <v>-4.4060773480662982</v>
      </c>
      <c r="I1014" s="38"/>
      <c r="J1014" s="45">
        <v>5139894</v>
      </c>
      <c r="K1014" s="346">
        <f t="shared" si="158"/>
        <v>0</v>
      </c>
      <c r="L1014" s="347">
        <f t="shared" si="153"/>
        <v>0</v>
      </c>
      <c r="M1014" s="38"/>
      <c r="N1014" s="46">
        <v>900965</v>
      </c>
      <c r="O1014" s="375">
        <f t="shared" si="147"/>
        <v>0</v>
      </c>
      <c r="P1014" s="166"/>
      <c r="Q1014" s="42">
        <v>675181</v>
      </c>
      <c r="R1014" s="314">
        <f t="shared" si="146"/>
        <v>0</v>
      </c>
      <c r="S1014" s="358"/>
      <c r="T1014" s="42">
        <v>26950</v>
      </c>
      <c r="U1014" s="348">
        <f t="shared" si="155"/>
        <v>0</v>
      </c>
      <c r="V1014" s="38"/>
      <c r="W1014" s="42">
        <v>48790</v>
      </c>
      <c r="X1014" s="349">
        <f t="shared" si="157"/>
        <v>0</v>
      </c>
      <c r="Y1014" s="38"/>
      <c r="Z1014" s="243"/>
    </row>
    <row r="1015" spans="1:26">
      <c r="A1015" s="150">
        <v>45544</v>
      </c>
      <c r="B1015" s="154" t="s">
        <v>108</v>
      </c>
      <c r="C1015" s="45">
        <v>3788992</v>
      </c>
      <c r="D1015" s="323">
        <f t="shared" si="148"/>
        <v>3340</v>
      </c>
      <c r="E1015" s="38"/>
      <c r="F1015" s="45">
        <v>9109750</v>
      </c>
      <c r="G1015" s="344">
        <f t="shared" si="151"/>
        <v>9117</v>
      </c>
      <c r="H1015" s="345">
        <f t="shared" si="156"/>
        <v>30.005524861878452</v>
      </c>
      <c r="I1015" s="38"/>
      <c r="J1015" s="45">
        <v>5139894</v>
      </c>
      <c r="K1015" s="346">
        <f t="shared" si="158"/>
        <v>4746</v>
      </c>
      <c r="L1015" s="347">
        <f t="shared" si="153"/>
        <v>35.155555555555559</v>
      </c>
      <c r="M1015" s="38"/>
      <c r="N1015" s="46">
        <v>900965</v>
      </c>
      <c r="O1015" s="375">
        <f t="shared" si="147"/>
        <v>829</v>
      </c>
      <c r="P1015" s="166"/>
      <c r="Q1015" s="42">
        <v>675181</v>
      </c>
      <c r="R1015" s="314">
        <f t="shared" si="146"/>
        <v>0</v>
      </c>
      <c r="S1015" s="358"/>
      <c r="T1015" s="42">
        <v>26950</v>
      </c>
      <c r="U1015" s="348">
        <f t="shared" si="155"/>
        <v>0</v>
      </c>
      <c r="V1015" s="38"/>
      <c r="W1015" s="42">
        <v>48790</v>
      </c>
      <c r="X1015" s="349">
        <f t="shared" si="157"/>
        <v>0</v>
      </c>
      <c r="Y1015" s="38"/>
      <c r="Z1015" s="243"/>
    </row>
    <row r="1016" spans="1:26">
      <c r="A1016" s="150">
        <v>45545</v>
      </c>
      <c r="B1016" s="154" t="s">
        <v>109</v>
      </c>
      <c r="C1016" s="45">
        <v>3792332</v>
      </c>
      <c r="D1016" s="323">
        <f t="shared" si="148"/>
        <v>4048</v>
      </c>
      <c r="E1016" s="38"/>
      <c r="F1016" s="45">
        <v>9118867</v>
      </c>
      <c r="G1016" s="344">
        <f t="shared" si="151"/>
        <v>10583</v>
      </c>
      <c r="H1016" s="345">
        <f t="shared" si="156"/>
        <v>36.011049723756905</v>
      </c>
      <c r="I1016" s="38"/>
      <c r="J1016" s="45">
        <v>5144640</v>
      </c>
      <c r="K1016" s="346">
        <f t="shared" si="158"/>
        <v>5010</v>
      </c>
      <c r="L1016" s="347">
        <f t="shared" si="153"/>
        <v>37.111111111111114</v>
      </c>
      <c r="M1016" s="38"/>
      <c r="N1016" s="46">
        <v>901794</v>
      </c>
      <c r="O1016" s="375">
        <f t="shared" si="147"/>
        <v>854</v>
      </c>
      <c r="P1016" s="166"/>
      <c r="Q1016" s="42">
        <v>675408</v>
      </c>
      <c r="R1016" s="314">
        <f t="shared" si="146"/>
        <v>227</v>
      </c>
      <c r="S1016" s="358"/>
      <c r="T1016" s="42">
        <v>26950</v>
      </c>
      <c r="U1016" s="348">
        <f t="shared" si="155"/>
        <v>0</v>
      </c>
      <c r="V1016" s="38"/>
      <c r="W1016" s="42">
        <v>48790</v>
      </c>
      <c r="X1016" s="349">
        <f t="shared" si="157"/>
        <v>0</v>
      </c>
      <c r="Y1016" s="38"/>
      <c r="Z1016" s="243"/>
    </row>
    <row r="1017" spans="1:26">
      <c r="A1017" s="150">
        <v>45546</v>
      </c>
      <c r="B1017" s="154" t="s">
        <v>110</v>
      </c>
      <c r="C1017" s="45">
        <v>3796380</v>
      </c>
      <c r="D1017" s="323">
        <f t="shared" si="148"/>
        <v>4730</v>
      </c>
      <c r="E1017" s="38">
        <v>92</v>
      </c>
      <c r="F1017" s="45">
        <v>9129450</v>
      </c>
      <c r="G1017" s="344">
        <f t="shared" si="151"/>
        <v>12793</v>
      </c>
      <c r="H1017" s="345">
        <f t="shared" si="156"/>
        <v>44</v>
      </c>
      <c r="I1017" s="38">
        <v>267</v>
      </c>
      <c r="J1017" s="45">
        <v>5149650</v>
      </c>
      <c r="K1017" s="346">
        <f t="shared" si="158"/>
        <v>4933</v>
      </c>
      <c r="L1017" s="347">
        <f t="shared" si="153"/>
        <v>36.540740740740738</v>
      </c>
      <c r="M1017" s="38">
        <v>131</v>
      </c>
      <c r="N1017" s="46">
        <v>902648</v>
      </c>
      <c r="O1017" s="375">
        <f t="shared" si="147"/>
        <v>837</v>
      </c>
      <c r="P1017" s="166"/>
      <c r="Q1017" s="42">
        <v>675611</v>
      </c>
      <c r="R1017" s="314">
        <f t="shared" si="146"/>
        <v>203</v>
      </c>
      <c r="S1017" s="358"/>
      <c r="T1017" s="42">
        <v>26950</v>
      </c>
      <c r="U1017" s="348">
        <f t="shared" si="155"/>
        <v>0</v>
      </c>
      <c r="V1017" s="38">
        <v>2</v>
      </c>
      <c r="W1017" s="42">
        <v>48790</v>
      </c>
      <c r="X1017" s="349">
        <f t="shared" si="157"/>
        <v>0</v>
      </c>
      <c r="Y1017" s="38">
        <v>14</v>
      </c>
      <c r="Z1017" s="243"/>
    </row>
    <row r="1018" spans="1:26">
      <c r="A1018" s="150">
        <v>45547</v>
      </c>
      <c r="B1018" s="154" t="s">
        <v>111</v>
      </c>
      <c r="C1018" s="46">
        <v>3801110</v>
      </c>
      <c r="D1018" s="322">
        <f t="shared" si="148"/>
        <v>5984</v>
      </c>
      <c r="E1018" s="39"/>
      <c r="F1018" s="46">
        <v>9142243</v>
      </c>
      <c r="G1018" s="354">
        <f t="shared" si="151"/>
        <v>15210</v>
      </c>
      <c r="H1018" s="355">
        <f t="shared" si="156"/>
        <v>54.14088397790055</v>
      </c>
      <c r="I1018" s="39"/>
      <c r="J1018" s="46">
        <v>5154583</v>
      </c>
      <c r="K1018" s="356">
        <f t="shared" si="158"/>
        <v>9591</v>
      </c>
      <c r="L1018" s="357">
        <f t="shared" si="153"/>
        <v>71.044444444444451</v>
      </c>
      <c r="M1018" s="39"/>
      <c r="N1018" s="46">
        <v>903485</v>
      </c>
      <c r="O1018" s="375">
        <f t="shared" si="147"/>
        <v>955</v>
      </c>
      <c r="P1018" s="166"/>
      <c r="Q1018" s="42">
        <v>675885</v>
      </c>
      <c r="R1018" s="314">
        <f t="shared" si="146"/>
        <v>274</v>
      </c>
      <c r="S1018" s="358"/>
      <c r="T1018" s="42">
        <v>26950</v>
      </c>
      <c r="U1018" s="348">
        <f t="shared" si="155"/>
        <v>0</v>
      </c>
      <c r="V1018" s="41"/>
      <c r="W1018" s="42">
        <v>48790</v>
      </c>
      <c r="X1018" s="349">
        <f t="shared" si="157"/>
        <v>0</v>
      </c>
      <c r="Y1018" s="41"/>
      <c r="Z1018" s="243"/>
    </row>
    <row r="1019" spans="1:26">
      <c r="A1019" s="150">
        <v>45548</v>
      </c>
      <c r="B1019" s="154" t="s">
        <v>106</v>
      </c>
      <c r="C1019" s="46">
        <v>3807094</v>
      </c>
      <c r="D1019" s="322">
        <f t="shared" si="148"/>
        <v>3324</v>
      </c>
      <c r="E1019" s="39"/>
      <c r="F1019" s="46">
        <v>9157453</v>
      </c>
      <c r="G1019" s="354">
        <f t="shared" si="151"/>
        <v>15859</v>
      </c>
      <c r="H1019" s="355">
        <f t="shared" si="156"/>
        <v>48.585635359116019</v>
      </c>
      <c r="I1019" s="39"/>
      <c r="J1019" s="46">
        <v>5164174</v>
      </c>
      <c r="K1019" s="356">
        <f t="shared" si="158"/>
        <v>8715</v>
      </c>
      <c r="L1019" s="357">
        <f t="shared" si="153"/>
        <v>64.555555555555557</v>
      </c>
      <c r="M1019" s="39"/>
      <c r="N1019" s="46">
        <v>904440</v>
      </c>
      <c r="O1019" s="375">
        <f t="shared" si="147"/>
        <v>979</v>
      </c>
      <c r="P1019" s="166"/>
      <c r="Q1019" s="42">
        <v>676159</v>
      </c>
      <c r="R1019" s="314">
        <f t="shared" si="146"/>
        <v>274</v>
      </c>
      <c r="S1019" s="358"/>
      <c r="T1019" s="42">
        <v>26950</v>
      </c>
      <c r="U1019" s="348">
        <f t="shared" si="155"/>
        <v>0</v>
      </c>
      <c r="V1019" s="41"/>
      <c r="W1019" s="42">
        <v>48790</v>
      </c>
      <c r="X1019" s="349">
        <f t="shared" si="157"/>
        <v>0</v>
      </c>
      <c r="Y1019" s="41"/>
      <c r="Z1019" s="243"/>
    </row>
    <row r="1020" spans="1:26">
      <c r="A1020" s="150">
        <v>45549</v>
      </c>
      <c r="B1020" s="154" t="s">
        <v>107</v>
      </c>
      <c r="C1020" s="46">
        <v>3810418</v>
      </c>
      <c r="D1020" s="322">
        <f t="shared" si="148"/>
        <v>0</v>
      </c>
      <c r="E1020" s="39"/>
      <c r="F1020" s="46">
        <v>9173312</v>
      </c>
      <c r="G1020" s="354">
        <f t="shared" si="151"/>
        <v>0</v>
      </c>
      <c r="H1020" s="355">
        <f t="shared" si="156"/>
        <v>-4.4060773480662982</v>
      </c>
      <c r="I1020" s="39"/>
      <c r="J1020" s="46">
        <v>5172889</v>
      </c>
      <c r="K1020" s="356">
        <f t="shared" si="158"/>
        <v>0</v>
      </c>
      <c r="L1020" s="357">
        <f t="shared" si="153"/>
        <v>0</v>
      </c>
      <c r="M1020" s="39"/>
      <c r="N1020" s="46">
        <v>905419</v>
      </c>
      <c r="O1020" s="375">
        <f t="shared" si="147"/>
        <v>1120</v>
      </c>
      <c r="P1020" s="166"/>
      <c r="Q1020" s="42">
        <v>676718</v>
      </c>
      <c r="R1020" s="314">
        <f t="shared" ref="R1020:R1083" si="159">Q1020-Q1019</f>
        <v>559</v>
      </c>
      <c r="S1020" s="358"/>
      <c r="T1020" s="42">
        <v>26950</v>
      </c>
      <c r="U1020" s="348">
        <f t="shared" si="155"/>
        <v>0</v>
      </c>
      <c r="V1020" s="41"/>
      <c r="W1020" s="42">
        <v>48790</v>
      </c>
      <c r="X1020" s="349">
        <f t="shared" si="157"/>
        <v>0</v>
      </c>
      <c r="Y1020" s="41"/>
      <c r="Z1020" s="243"/>
    </row>
    <row r="1021" spans="1:26">
      <c r="A1021" s="150">
        <v>45550</v>
      </c>
      <c r="B1021" s="154" t="s">
        <v>36</v>
      </c>
      <c r="C1021" s="46">
        <v>3810418</v>
      </c>
      <c r="D1021" s="322">
        <f t="shared" si="148"/>
        <v>0</v>
      </c>
      <c r="E1021" s="39"/>
      <c r="F1021" s="46">
        <v>9173312</v>
      </c>
      <c r="G1021" s="354">
        <f t="shared" si="151"/>
        <v>0</v>
      </c>
      <c r="H1021" s="355">
        <f t="shared" si="156"/>
        <v>-4.4060773480662982</v>
      </c>
      <c r="I1021" s="39"/>
      <c r="J1021" s="46">
        <v>5172889</v>
      </c>
      <c r="K1021" s="356">
        <f t="shared" si="158"/>
        <v>0</v>
      </c>
      <c r="L1021" s="357">
        <f t="shared" si="153"/>
        <v>0</v>
      </c>
      <c r="M1021" s="39"/>
      <c r="N1021" s="46">
        <v>906539</v>
      </c>
      <c r="O1021" s="375">
        <f t="shared" si="147"/>
        <v>0</v>
      </c>
      <c r="P1021" s="166"/>
      <c r="Q1021" s="42">
        <v>676718</v>
      </c>
      <c r="R1021" s="314">
        <f t="shared" si="159"/>
        <v>0</v>
      </c>
      <c r="S1021" s="358"/>
      <c r="T1021" s="42">
        <v>26950</v>
      </c>
      <c r="U1021" s="348">
        <f t="shared" si="155"/>
        <v>0</v>
      </c>
      <c r="V1021" s="41"/>
      <c r="W1021" s="42">
        <v>48790</v>
      </c>
      <c r="X1021" s="349">
        <f t="shared" si="157"/>
        <v>0</v>
      </c>
      <c r="Y1021" s="41"/>
      <c r="Z1021" s="243"/>
    </row>
    <row r="1022" spans="1:26">
      <c r="A1022" s="150">
        <v>45551</v>
      </c>
      <c r="B1022" s="154" t="s">
        <v>108</v>
      </c>
      <c r="C1022" s="46">
        <v>3810418</v>
      </c>
      <c r="D1022" s="322">
        <f t="shared" si="148"/>
        <v>5533</v>
      </c>
      <c r="E1022" s="39"/>
      <c r="F1022" s="46">
        <v>9173312</v>
      </c>
      <c r="G1022" s="354">
        <f t="shared" si="151"/>
        <v>13871</v>
      </c>
      <c r="H1022" s="355">
        <f t="shared" si="156"/>
        <v>49.196132596685082</v>
      </c>
      <c r="I1022" s="39"/>
      <c r="J1022" s="46">
        <v>5172889</v>
      </c>
      <c r="K1022" s="356">
        <f t="shared" si="158"/>
        <v>4908</v>
      </c>
      <c r="L1022" s="357">
        <f t="shared" si="153"/>
        <v>36.355555555555554</v>
      </c>
      <c r="M1022" s="39"/>
      <c r="N1022" s="46">
        <v>906539</v>
      </c>
      <c r="O1022" s="375">
        <f t="shared" ref="O1022:O1085" si="160">N1023-N1022</f>
        <v>846</v>
      </c>
      <c r="P1022" s="166"/>
      <c r="Q1022" s="42">
        <v>676718</v>
      </c>
      <c r="R1022" s="314">
        <f t="shared" si="159"/>
        <v>0</v>
      </c>
      <c r="S1022" s="358"/>
      <c r="T1022" s="42">
        <v>26950</v>
      </c>
      <c r="U1022" s="348">
        <f t="shared" si="155"/>
        <v>0</v>
      </c>
      <c r="V1022" s="41"/>
      <c r="W1022" s="42">
        <v>48790</v>
      </c>
      <c r="X1022" s="349">
        <f t="shared" si="157"/>
        <v>0</v>
      </c>
      <c r="Y1022" s="41"/>
      <c r="Z1022" s="243"/>
    </row>
    <row r="1023" spans="1:26">
      <c r="A1023" s="150">
        <v>45552</v>
      </c>
      <c r="B1023" s="154" t="s">
        <v>109</v>
      </c>
      <c r="C1023" s="46">
        <v>3815951</v>
      </c>
      <c r="D1023" s="322">
        <f t="shared" si="148"/>
        <v>6270</v>
      </c>
      <c r="E1023" s="39"/>
      <c r="F1023" s="46">
        <v>9187183</v>
      </c>
      <c r="G1023" s="354">
        <f t="shared" si="151"/>
        <v>15134</v>
      </c>
      <c r="H1023" s="355">
        <f t="shared" si="156"/>
        <v>54.72099447513812</v>
      </c>
      <c r="I1023" s="39"/>
      <c r="J1023" s="46">
        <v>5177797</v>
      </c>
      <c r="K1023" s="356">
        <f t="shared" si="158"/>
        <v>8853</v>
      </c>
      <c r="L1023" s="357">
        <f t="shared" si="153"/>
        <v>65.577777777777783</v>
      </c>
      <c r="M1023" s="39"/>
      <c r="N1023" s="46">
        <v>907385</v>
      </c>
      <c r="O1023" s="375">
        <f t="shared" si="160"/>
        <v>833</v>
      </c>
      <c r="P1023" s="166"/>
      <c r="Q1023" s="42">
        <v>676909</v>
      </c>
      <c r="R1023" s="314">
        <f t="shared" si="159"/>
        <v>191</v>
      </c>
      <c r="S1023" s="358"/>
      <c r="T1023" s="42">
        <v>26950</v>
      </c>
      <c r="U1023" s="348">
        <f t="shared" si="155"/>
        <v>0</v>
      </c>
      <c r="V1023" s="41"/>
      <c r="W1023" s="42">
        <v>48790</v>
      </c>
      <c r="X1023" s="349">
        <f t="shared" si="157"/>
        <v>0</v>
      </c>
      <c r="Y1023" s="41"/>
      <c r="Z1023" s="243"/>
    </row>
    <row r="1024" spans="1:26">
      <c r="A1024" s="150">
        <v>45553</v>
      </c>
      <c r="B1024" s="154" t="s">
        <v>110</v>
      </c>
      <c r="C1024" s="46">
        <v>3822221</v>
      </c>
      <c r="D1024" s="322">
        <f t="shared" si="148"/>
        <v>2345</v>
      </c>
      <c r="E1024" s="39"/>
      <c r="F1024" s="46">
        <v>9202317</v>
      </c>
      <c r="G1024" s="354">
        <f t="shared" si="151"/>
        <v>6208</v>
      </c>
      <c r="H1024" s="355">
        <f t="shared" si="156"/>
        <v>19.22099447513812</v>
      </c>
      <c r="I1024" s="39"/>
      <c r="J1024" s="46">
        <v>5186650</v>
      </c>
      <c r="K1024" s="356">
        <f t="shared" si="158"/>
        <v>841</v>
      </c>
      <c r="L1024" s="357">
        <f t="shared" si="153"/>
        <v>6.2296296296296294</v>
      </c>
      <c r="M1024" s="39"/>
      <c r="N1024" s="46">
        <v>908218</v>
      </c>
      <c r="O1024" s="375">
        <f t="shared" si="160"/>
        <v>788</v>
      </c>
      <c r="P1024" s="166"/>
      <c r="Q1024" s="42">
        <v>677114</v>
      </c>
      <c r="R1024" s="314">
        <f t="shared" si="159"/>
        <v>205</v>
      </c>
      <c r="S1024" s="358"/>
      <c r="T1024" s="42">
        <v>26950</v>
      </c>
      <c r="U1024" s="348">
        <f t="shared" si="155"/>
        <v>0</v>
      </c>
      <c r="V1024" s="41"/>
      <c r="W1024" s="42">
        <v>48790</v>
      </c>
      <c r="X1024" s="349">
        <f t="shared" si="157"/>
        <v>0</v>
      </c>
      <c r="Y1024" s="41"/>
      <c r="Z1024" s="243"/>
    </row>
    <row r="1025" spans="1:26">
      <c r="A1025" s="150">
        <v>45554</v>
      </c>
      <c r="B1025" s="154" t="s">
        <v>111</v>
      </c>
      <c r="C1025" s="46">
        <v>3824566</v>
      </c>
      <c r="D1025" s="322">
        <f t="shared" si="148"/>
        <v>5947</v>
      </c>
      <c r="E1025" s="39"/>
      <c r="F1025" s="46">
        <v>9208525</v>
      </c>
      <c r="G1025" s="354">
        <f t="shared" si="151"/>
        <v>14421</v>
      </c>
      <c r="H1025" s="355">
        <f t="shared" si="156"/>
        <v>51.85911602209945</v>
      </c>
      <c r="I1025" s="39"/>
      <c r="J1025" s="46">
        <v>5187491</v>
      </c>
      <c r="K1025" s="356">
        <f t="shared" si="158"/>
        <v>9718</v>
      </c>
      <c r="L1025" s="357">
        <f t="shared" si="153"/>
        <v>71.985185185185188</v>
      </c>
      <c r="M1025" s="39"/>
      <c r="N1025" s="46">
        <v>909006</v>
      </c>
      <c r="O1025" s="375">
        <f t="shared" si="160"/>
        <v>1266</v>
      </c>
      <c r="P1025" s="166"/>
      <c r="Q1025" s="42">
        <v>677335</v>
      </c>
      <c r="R1025" s="314">
        <f t="shared" si="159"/>
        <v>221</v>
      </c>
      <c r="S1025" s="358"/>
      <c r="T1025" s="42">
        <v>26950</v>
      </c>
      <c r="U1025" s="348">
        <f t="shared" si="155"/>
        <v>0</v>
      </c>
      <c r="V1025" s="41"/>
      <c r="W1025" s="42">
        <v>48790</v>
      </c>
      <c r="X1025" s="349">
        <f t="shared" si="157"/>
        <v>0</v>
      </c>
      <c r="Y1025" s="41"/>
      <c r="Z1025" s="243"/>
    </row>
    <row r="1026" spans="1:26">
      <c r="A1026" s="150">
        <v>45555</v>
      </c>
      <c r="B1026" s="154" t="s">
        <v>106</v>
      </c>
      <c r="C1026" s="46">
        <v>3830513</v>
      </c>
      <c r="D1026" s="322">
        <f t="shared" ref="D1026:D1090" si="161">IF(C1027&gt;0,C1027-C1026," ")</f>
        <v>8515</v>
      </c>
      <c r="E1026" s="39"/>
      <c r="F1026" s="46">
        <v>9222946</v>
      </c>
      <c r="G1026" s="354">
        <f t="shared" si="151"/>
        <v>30426</v>
      </c>
      <c r="H1026" s="355">
        <f t="shared" si="156"/>
        <v>103.1657458563536</v>
      </c>
      <c r="I1026" s="39"/>
      <c r="J1026" s="46">
        <v>5197209</v>
      </c>
      <c r="K1026" s="356">
        <f t="shared" si="158"/>
        <v>13940</v>
      </c>
      <c r="L1026" s="357">
        <f t="shared" si="153"/>
        <v>103.25925925925925</v>
      </c>
      <c r="M1026" s="39"/>
      <c r="N1026" s="46">
        <v>910272</v>
      </c>
      <c r="O1026" s="375">
        <f t="shared" si="160"/>
        <v>880</v>
      </c>
      <c r="P1026" s="166"/>
      <c r="Q1026" s="42">
        <v>677532</v>
      </c>
      <c r="R1026" s="314">
        <f t="shared" si="159"/>
        <v>197</v>
      </c>
      <c r="S1026" s="358"/>
      <c r="T1026" s="42">
        <v>26950</v>
      </c>
      <c r="U1026" s="348">
        <f t="shared" si="155"/>
        <v>0</v>
      </c>
      <c r="V1026" s="41"/>
      <c r="W1026" s="42">
        <v>48790</v>
      </c>
      <c r="X1026" s="349">
        <f t="shared" si="157"/>
        <v>0</v>
      </c>
      <c r="Y1026" s="41"/>
      <c r="Z1026" s="243"/>
    </row>
    <row r="1027" spans="1:26">
      <c r="A1027" s="150">
        <v>45556</v>
      </c>
      <c r="B1027" s="154" t="s">
        <v>107</v>
      </c>
      <c r="C1027" s="46">
        <v>3839028</v>
      </c>
      <c r="D1027" s="322">
        <f t="shared" si="161"/>
        <v>0</v>
      </c>
      <c r="E1027" s="39"/>
      <c r="F1027" s="46">
        <v>9253372</v>
      </c>
      <c r="G1027" s="354">
        <f t="shared" si="151"/>
        <v>0</v>
      </c>
      <c r="H1027" s="355">
        <f t="shared" si="156"/>
        <v>-4.4060773480662982</v>
      </c>
      <c r="I1027" s="39"/>
      <c r="J1027" s="46">
        <v>5211149</v>
      </c>
      <c r="K1027" s="356">
        <f t="shared" si="158"/>
        <v>0</v>
      </c>
      <c r="L1027" s="357">
        <f t="shared" si="153"/>
        <v>0</v>
      </c>
      <c r="M1027" s="39"/>
      <c r="N1027" s="46">
        <v>911152</v>
      </c>
      <c r="O1027" s="375">
        <f t="shared" si="160"/>
        <v>1133</v>
      </c>
      <c r="P1027" s="166"/>
      <c r="Q1027" s="42">
        <v>678073</v>
      </c>
      <c r="R1027" s="314">
        <f t="shared" si="159"/>
        <v>541</v>
      </c>
      <c r="S1027" s="358"/>
      <c r="T1027" s="42">
        <v>26950</v>
      </c>
      <c r="U1027" s="348">
        <f t="shared" si="155"/>
        <v>0</v>
      </c>
      <c r="V1027" s="41"/>
      <c r="W1027" s="42">
        <v>48790</v>
      </c>
      <c r="X1027" s="349">
        <f t="shared" si="157"/>
        <v>0</v>
      </c>
      <c r="Y1027" s="41"/>
      <c r="Z1027" s="243"/>
    </row>
    <row r="1028" spans="1:26">
      <c r="A1028" s="150">
        <v>45557</v>
      </c>
      <c r="B1028" s="154" t="s">
        <v>36</v>
      </c>
      <c r="C1028" s="46">
        <v>3839028</v>
      </c>
      <c r="D1028" s="322">
        <f t="shared" si="161"/>
        <v>0</v>
      </c>
      <c r="E1028" s="39"/>
      <c r="F1028" s="46">
        <v>9253372</v>
      </c>
      <c r="G1028" s="354">
        <f t="shared" si="151"/>
        <v>0</v>
      </c>
      <c r="H1028" s="355">
        <f t="shared" si="156"/>
        <v>-4.4060773480662982</v>
      </c>
      <c r="I1028" s="39"/>
      <c r="J1028" s="46">
        <v>5211149</v>
      </c>
      <c r="K1028" s="356">
        <f t="shared" si="158"/>
        <v>0</v>
      </c>
      <c r="L1028" s="357">
        <f t="shared" si="153"/>
        <v>0</v>
      </c>
      <c r="M1028" s="39"/>
      <c r="N1028" s="46">
        <v>912285</v>
      </c>
      <c r="O1028" s="375">
        <f t="shared" si="160"/>
        <v>0</v>
      </c>
      <c r="P1028" s="166"/>
      <c r="Q1028" s="42">
        <v>678073</v>
      </c>
      <c r="R1028" s="314">
        <f t="shared" si="159"/>
        <v>0</v>
      </c>
      <c r="S1028" s="358"/>
      <c r="T1028" s="42">
        <v>26950</v>
      </c>
      <c r="U1028" s="348">
        <f t="shared" si="155"/>
        <v>0</v>
      </c>
      <c r="V1028" s="41"/>
      <c r="W1028" s="42">
        <v>48790</v>
      </c>
      <c r="X1028" s="349">
        <f t="shared" si="157"/>
        <v>0</v>
      </c>
      <c r="Y1028" s="41"/>
      <c r="Z1028" s="243"/>
    </row>
    <row r="1029" spans="1:26">
      <c r="A1029" s="150">
        <v>45558</v>
      </c>
      <c r="B1029" s="154" t="s">
        <v>108</v>
      </c>
      <c r="C1029" s="46">
        <v>3839028</v>
      </c>
      <c r="D1029" s="322">
        <f t="shared" si="161"/>
        <v>0</v>
      </c>
      <c r="E1029" s="39"/>
      <c r="F1029" s="46">
        <v>9253372</v>
      </c>
      <c r="G1029" s="354">
        <f t="shared" si="151"/>
        <v>0</v>
      </c>
      <c r="H1029" s="355">
        <f t="shared" si="156"/>
        <v>-4.4060773480662982</v>
      </c>
      <c r="I1029" s="39"/>
      <c r="J1029" s="46">
        <v>5211149</v>
      </c>
      <c r="K1029" s="356">
        <f t="shared" si="158"/>
        <v>0</v>
      </c>
      <c r="L1029" s="357">
        <f t="shared" si="153"/>
        <v>0</v>
      </c>
      <c r="M1029" s="39"/>
      <c r="N1029" s="46">
        <v>912285</v>
      </c>
      <c r="O1029" s="375">
        <f t="shared" si="160"/>
        <v>882</v>
      </c>
      <c r="P1029" s="166"/>
      <c r="Q1029" s="42">
        <v>678073</v>
      </c>
      <c r="R1029" s="314">
        <f t="shared" si="159"/>
        <v>0</v>
      </c>
      <c r="S1029" s="358"/>
      <c r="T1029" s="42">
        <v>26950</v>
      </c>
      <c r="U1029" s="348">
        <f t="shared" si="155"/>
        <v>0</v>
      </c>
      <c r="V1029" s="41"/>
      <c r="W1029" s="42">
        <v>48790</v>
      </c>
      <c r="X1029" s="349">
        <f t="shared" si="157"/>
        <v>0</v>
      </c>
      <c r="Y1029" s="41"/>
      <c r="Z1029" s="243"/>
    </row>
    <row r="1030" spans="1:26">
      <c r="A1030" s="150">
        <v>45559</v>
      </c>
      <c r="B1030" s="154" t="s">
        <v>109</v>
      </c>
      <c r="C1030" s="46">
        <v>3839028</v>
      </c>
      <c r="D1030" s="322">
        <f t="shared" si="161"/>
        <v>5800</v>
      </c>
      <c r="E1030" s="39"/>
      <c r="F1030" s="46">
        <v>9253372</v>
      </c>
      <c r="G1030" s="354">
        <f t="shared" si="151"/>
        <v>14983</v>
      </c>
      <c r="H1030" s="355">
        <f t="shared" si="156"/>
        <v>53.005524861878456</v>
      </c>
      <c r="I1030" s="39"/>
      <c r="J1030" s="46">
        <v>5211149</v>
      </c>
      <c r="K1030" s="356">
        <f t="shared" si="158"/>
        <v>7402</v>
      </c>
      <c r="L1030" s="357">
        <f t="shared" si="153"/>
        <v>54.829629629629629</v>
      </c>
      <c r="M1030" s="39"/>
      <c r="N1030" s="46">
        <v>913167</v>
      </c>
      <c r="O1030" s="375">
        <f t="shared" si="160"/>
        <v>762</v>
      </c>
      <c r="P1030" s="166"/>
      <c r="Q1030" s="42">
        <v>678294</v>
      </c>
      <c r="R1030" s="314">
        <f t="shared" si="159"/>
        <v>221</v>
      </c>
      <c r="S1030" s="358"/>
      <c r="T1030" s="42">
        <v>26950</v>
      </c>
      <c r="U1030" s="348">
        <f t="shared" si="155"/>
        <v>0</v>
      </c>
      <c r="V1030" s="41"/>
      <c r="W1030" s="42">
        <v>48790</v>
      </c>
      <c r="X1030" s="349">
        <f t="shared" si="157"/>
        <v>0</v>
      </c>
      <c r="Y1030" s="41"/>
      <c r="Z1030" s="243"/>
    </row>
    <row r="1031" spans="1:26">
      <c r="A1031" s="150">
        <v>45560</v>
      </c>
      <c r="B1031" s="154" t="s">
        <v>110</v>
      </c>
      <c r="C1031" s="46">
        <v>3844828</v>
      </c>
      <c r="D1031" s="322">
        <f t="shared" si="161"/>
        <v>4845</v>
      </c>
      <c r="E1031" s="39"/>
      <c r="F1031" s="46">
        <v>9268355</v>
      </c>
      <c r="G1031" s="354">
        <f t="shared" si="151"/>
        <v>12667</v>
      </c>
      <c r="H1031" s="355">
        <f t="shared" si="156"/>
        <v>43.969613259668506</v>
      </c>
      <c r="I1031" s="39"/>
      <c r="J1031" s="46">
        <v>5218551</v>
      </c>
      <c r="K1031" s="356">
        <f t="shared" si="158"/>
        <v>7128</v>
      </c>
      <c r="L1031" s="357">
        <f t="shared" si="153"/>
        <v>52.8</v>
      </c>
      <c r="M1031" s="39"/>
      <c r="N1031" s="46">
        <v>913929</v>
      </c>
      <c r="O1031" s="375">
        <f t="shared" si="160"/>
        <v>846</v>
      </c>
      <c r="P1031" s="166"/>
      <c r="Q1031" s="42">
        <v>678517</v>
      </c>
      <c r="R1031" s="314">
        <f t="shared" si="159"/>
        <v>223</v>
      </c>
      <c r="S1031" s="358"/>
      <c r="T1031" s="42">
        <v>26950</v>
      </c>
      <c r="U1031" s="348">
        <f t="shared" si="155"/>
        <v>0</v>
      </c>
      <c r="V1031" s="41"/>
      <c r="W1031" s="42">
        <v>48790</v>
      </c>
      <c r="X1031" s="349">
        <f t="shared" si="157"/>
        <v>0</v>
      </c>
      <c r="Y1031" s="41"/>
      <c r="Z1031" s="243"/>
    </row>
    <row r="1032" spans="1:26">
      <c r="A1032" s="150">
        <v>45561</v>
      </c>
      <c r="B1032" s="154" t="s">
        <v>111</v>
      </c>
      <c r="C1032" s="46">
        <v>3849673</v>
      </c>
      <c r="D1032" s="322">
        <f t="shared" si="161"/>
        <v>6207</v>
      </c>
      <c r="E1032" s="39"/>
      <c r="F1032" s="46">
        <v>9281022</v>
      </c>
      <c r="G1032" s="354">
        <f t="shared" si="151"/>
        <v>15889</v>
      </c>
      <c r="H1032" s="355">
        <f t="shared" si="156"/>
        <v>56.632596685082873</v>
      </c>
      <c r="I1032" s="39"/>
      <c r="J1032" s="46">
        <v>5225679</v>
      </c>
      <c r="K1032" s="356">
        <f t="shared" si="158"/>
        <v>8023</v>
      </c>
      <c r="L1032" s="357">
        <f t="shared" si="153"/>
        <v>59.42962962962963</v>
      </c>
      <c r="M1032" s="39"/>
      <c r="N1032" s="46">
        <v>914775</v>
      </c>
      <c r="O1032" s="375">
        <f t="shared" si="160"/>
        <v>1785</v>
      </c>
      <c r="P1032" s="166"/>
      <c r="Q1032" s="42">
        <v>678732</v>
      </c>
      <c r="R1032" s="314">
        <f t="shared" si="159"/>
        <v>215</v>
      </c>
      <c r="S1032" s="358"/>
      <c r="T1032" s="42">
        <v>26950</v>
      </c>
      <c r="U1032" s="348">
        <f t="shared" si="155"/>
        <v>0</v>
      </c>
      <c r="V1032" s="41"/>
      <c r="W1032" s="42">
        <v>48790</v>
      </c>
      <c r="X1032" s="349">
        <f t="shared" si="157"/>
        <v>0</v>
      </c>
      <c r="Y1032" s="41"/>
      <c r="Z1032" s="243"/>
    </row>
    <row r="1033" spans="1:26">
      <c r="A1033" s="150">
        <v>45562</v>
      </c>
      <c r="B1033" s="154" t="s">
        <v>106</v>
      </c>
      <c r="C1033" s="46">
        <v>3855880</v>
      </c>
      <c r="D1033" s="322">
        <f t="shared" si="161"/>
        <v>3570</v>
      </c>
      <c r="E1033" s="39"/>
      <c r="F1033" s="46">
        <v>9296911</v>
      </c>
      <c r="G1033" s="354">
        <f t="shared" si="151"/>
        <v>17027</v>
      </c>
      <c r="H1033" s="355">
        <f t="shared" si="156"/>
        <v>52.491712707182323</v>
      </c>
      <c r="I1033" s="39"/>
      <c r="J1033" s="46">
        <v>5233702</v>
      </c>
      <c r="K1033" s="356">
        <f t="shared" si="158"/>
        <v>6755</v>
      </c>
      <c r="L1033" s="357">
        <f t="shared" si="153"/>
        <v>50.037037037037038</v>
      </c>
      <c r="M1033" s="39"/>
      <c r="N1033" s="46">
        <v>916560</v>
      </c>
      <c r="O1033" s="375">
        <f t="shared" si="160"/>
        <v>764</v>
      </c>
      <c r="P1033" s="166"/>
      <c r="Q1033" s="42">
        <v>678732</v>
      </c>
      <c r="R1033" s="314">
        <f t="shared" si="159"/>
        <v>0</v>
      </c>
      <c r="S1033" s="358"/>
      <c r="T1033" s="42">
        <v>26950</v>
      </c>
      <c r="U1033" s="348">
        <f t="shared" si="155"/>
        <v>0</v>
      </c>
      <c r="V1033" s="41"/>
      <c r="W1033" s="42">
        <v>48790</v>
      </c>
      <c r="X1033" s="349">
        <f t="shared" si="157"/>
        <v>0</v>
      </c>
      <c r="Y1033" s="41"/>
      <c r="Z1033" s="243"/>
    </row>
    <row r="1034" spans="1:26">
      <c r="A1034" s="150">
        <v>45563</v>
      </c>
      <c r="B1034" s="154" t="s">
        <v>107</v>
      </c>
      <c r="C1034" s="46">
        <v>3859450</v>
      </c>
      <c r="D1034" s="322">
        <f t="shared" si="161"/>
        <v>0</v>
      </c>
      <c r="E1034" s="39"/>
      <c r="F1034" s="46">
        <v>9313938</v>
      </c>
      <c r="G1034" s="354">
        <f t="shared" si="151"/>
        <v>0</v>
      </c>
      <c r="H1034" s="355">
        <f t="shared" si="156"/>
        <v>-4.4060773480662982</v>
      </c>
      <c r="I1034" s="39"/>
      <c r="J1034" s="46">
        <v>5240457</v>
      </c>
      <c r="K1034" s="356">
        <f t="shared" si="158"/>
        <v>0</v>
      </c>
      <c r="L1034" s="357">
        <f t="shared" si="153"/>
        <v>0</v>
      </c>
      <c r="M1034" s="39"/>
      <c r="N1034" s="46">
        <v>917324</v>
      </c>
      <c r="O1034" s="375">
        <f t="shared" si="160"/>
        <v>886</v>
      </c>
      <c r="P1034" s="166"/>
      <c r="Q1034" s="42">
        <v>679511</v>
      </c>
      <c r="R1034" s="314">
        <f t="shared" si="159"/>
        <v>779</v>
      </c>
      <c r="S1034" s="358"/>
      <c r="T1034" s="42">
        <v>26950</v>
      </c>
      <c r="U1034" s="348">
        <f t="shared" si="155"/>
        <v>0</v>
      </c>
      <c r="V1034" s="41"/>
      <c r="W1034" s="42">
        <v>48790</v>
      </c>
      <c r="X1034" s="349">
        <f t="shared" si="157"/>
        <v>0</v>
      </c>
      <c r="Y1034" s="41"/>
      <c r="Z1034" s="243"/>
    </row>
    <row r="1035" spans="1:26">
      <c r="A1035" s="150">
        <v>45564</v>
      </c>
      <c r="B1035" s="154" t="s">
        <v>36</v>
      </c>
      <c r="C1035" s="46">
        <v>3859450</v>
      </c>
      <c r="D1035" s="322">
        <f t="shared" si="161"/>
        <v>0</v>
      </c>
      <c r="E1035" s="39"/>
      <c r="F1035" s="46">
        <v>9313938</v>
      </c>
      <c r="G1035" s="354">
        <f t="shared" si="151"/>
        <v>0</v>
      </c>
      <c r="H1035" s="355">
        <f t="shared" si="156"/>
        <v>-4.4060773480662982</v>
      </c>
      <c r="I1035" s="39"/>
      <c r="J1035" s="46">
        <v>5240457</v>
      </c>
      <c r="K1035" s="356">
        <f t="shared" si="158"/>
        <v>0</v>
      </c>
      <c r="L1035" s="357">
        <f t="shared" si="153"/>
        <v>0</v>
      </c>
      <c r="M1035" s="39"/>
      <c r="N1035" s="46">
        <v>918210</v>
      </c>
      <c r="O1035" s="375">
        <f t="shared" si="160"/>
        <v>0</v>
      </c>
      <c r="P1035" s="166"/>
      <c r="Q1035" s="42">
        <v>679511</v>
      </c>
      <c r="R1035" s="314">
        <f t="shared" si="159"/>
        <v>0</v>
      </c>
      <c r="S1035" s="358"/>
      <c r="T1035" s="42">
        <v>26950</v>
      </c>
      <c r="U1035" s="348">
        <f t="shared" si="155"/>
        <v>0</v>
      </c>
      <c r="V1035" s="41"/>
      <c r="W1035" s="42">
        <v>48790</v>
      </c>
      <c r="X1035" s="349">
        <f t="shared" si="157"/>
        <v>0</v>
      </c>
      <c r="Y1035" s="41"/>
      <c r="Z1035" s="243"/>
    </row>
    <row r="1036" spans="1:26">
      <c r="A1036" s="150">
        <v>45565</v>
      </c>
      <c r="B1036" s="154" t="s">
        <v>108</v>
      </c>
      <c r="C1036" s="46">
        <v>3859450</v>
      </c>
      <c r="D1036" s="322">
        <f t="shared" si="161"/>
        <v>4012</v>
      </c>
      <c r="E1036" s="39"/>
      <c r="F1036" s="46">
        <v>9313938</v>
      </c>
      <c r="G1036" s="354">
        <f t="shared" si="151"/>
        <v>10789</v>
      </c>
      <c r="H1036" s="355">
        <f t="shared" si="156"/>
        <v>36.480662983425411</v>
      </c>
      <c r="I1036" s="39"/>
      <c r="J1036" s="46">
        <v>5240457</v>
      </c>
      <c r="K1036" s="356">
        <f t="shared" si="158"/>
        <v>5475</v>
      </c>
      <c r="L1036" s="357">
        <f t="shared" si="153"/>
        <v>40.555555555555557</v>
      </c>
      <c r="M1036" s="39"/>
      <c r="N1036" s="46">
        <v>918210</v>
      </c>
      <c r="O1036" s="375">
        <f t="shared" si="160"/>
        <v>639</v>
      </c>
      <c r="P1036" s="166"/>
      <c r="Q1036" s="42">
        <v>679511</v>
      </c>
      <c r="R1036" s="314">
        <f t="shared" si="159"/>
        <v>0</v>
      </c>
      <c r="S1036" s="358"/>
      <c r="T1036" s="42">
        <v>26950</v>
      </c>
      <c r="U1036" s="348">
        <f t="shared" si="155"/>
        <v>0</v>
      </c>
      <c r="V1036" s="41"/>
      <c r="W1036" s="42">
        <v>48790</v>
      </c>
      <c r="X1036" s="349">
        <f t="shared" si="157"/>
        <v>0</v>
      </c>
      <c r="Y1036" s="41"/>
      <c r="Z1036" s="243"/>
    </row>
    <row r="1037" spans="1:26">
      <c r="A1037" s="150">
        <v>45566</v>
      </c>
      <c r="B1037" s="154" t="s">
        <v>109</v>
      </c>
      <c r="C1037" s="46">
        <v>3863462</v>
      </c>
      <c r="D1037" s="322">
        <f t="shared" si="161"/>
        <v>4523</v>
      </c>
      <c r="E1037" s="39"/>
      <c r="F1037" s="46">
        <v>9324727</v>
      </c>
      <c r="G1037" s="354">
        <f t="shared" si="151"/>
        <v>12205</v>
      </c>
      <c r="H1037" s="355">
        <f t="shared" si="156"/>
        <v>41.803867403314918</v>
      </c>
      <c r="I1037" s="39"/>
      <c r="J1037" s="46">
        <v>5245932</v>
      </c>
      <c r="K1037" s="356">
        <f t="shared" si="158"/>
        <v>7877</v>
      </c>
      <c r="L1037" s="357">
        <f t="shared" si="153"/>
        <v>58.348148148148148</v>
      </c>
      <c r="M1037" s="39"/>
      <c r="N1037" s="46">
        <v>918849</v>
      </c>
      <c r="O1037" s="375">
        <f t="shared" si="160"/>
        <v>682</v>
      </c>
      <c r="P1037" s="166"/>
      <c r="Q1037" s="42">
        <v>679511</v>
      </c>
      <c r="R1037" s="314">
        <f t="shared" si="159"/>
        <v>0</v>
      </c>
      <c r="S1037" s="358"/>
      <c r="T1037" s="42">
        <v>26950</v>
      </c>
      <c r="U1037" s="348">
        <f t="shared" si="155"/>
        <v>0</v>
      </c>
      <c r="V1037" s="41"/>
      <c r="W1037" s="42">
        <v>48790</v>
      </c>
      <c r="X1037" s="349">
        <f t="shared" si="157"/>
        <v>0</v>
      </c>
      <c r="Y1037" s="41"/>
      <c r="Z1037" s="243"/>
    </row>
    <row r="1038" spans="1:26">
      <c r="A1038" s="150">
        <v>45567</v>
      </c>
      <c r="B1038" s="154" t="s">
        <v>110</v>
      </c>
      <c r="C1038" s="46">
        <v>3867985</v>
      </c>
      <c r="D1038" s="322">
        <f t="shared" si="161"/>
        <v>5760</v>
      </c>
      <c r="E1038" s="39"/>
      <c r="F1038" s="46">
        <v>9336932</v>
      </c>
      <c r="G1038" s="354">
        <f t="shared" si="151"/>
        <v>15041</v>
      </c>
      <c r="H1038" s="355">
        <f t="shared" si="156"/>
        <v>53.055248618784532</v>
      </c>
      <c r="I1038" s="39"/>
      <c r="J1038" s="46">
        <v>5253809</v>
      </c>
      <c r="K1038" s="356">
        <f t="shared" si="158"/>
        <v>6151</v>
      </c>
      <c r="L1038" s="357">
        <f t="shared" ref="L1038:L1074" si="162">K1038/135</f>
        <v>45.562962962962963</v>
      </c>
      <c r="M1038" s="39"/>
      <c r="N1038" s="46">
        <v>919531</v>
      </c>
      <c r="O1038" s="375">
        <f t="shared" si="160"/>
        <v>804</v>
      </c>
      <c r="P1038" s="166"/>
      <c r="Q1038" s="42">
        <v>680299</v>
      </c>
      <c r="R1038" s="314">
        <f t="shared" si="159"/>
        <v>788</v>
      </c>
      <c r="S1038" s="358"/>
      <c r="T1038" s="42">
        <v>26950</v>
      </c>
      <c r="U1038" s="348">
        <f t="shared" si="155"/>
        <v>0</v>
      </c>
      <c r="V1038" s="41"/>
      <c r="W1038" s="42">
        <v>48790</v>
      </c>
      <c r="X1038" s="349">
        <f t="shared" si="157"/>
        <v>0</v>
      </c>
      <c r="Y1038" s="41"/>
      <c r="Z1038" s="243"/>
    </row>
    <row r="1039" spans="1:26">
      <c r="A1039" s="150">
        <v>45568</v>
      </c>
      <c r="B1039" s="154" t="s">
        <v>111</v>
      </c>
      <c r="C1039" s="46">
        <v>3873745</v>
      </c>
      <c r="D1039" s="322">
        <f t="shared" si="161"/>
        <v>4289</v>
      </c>
      <c r="E1039" s="39"/>
      <c r="F1039" s="46">
        <v>9351973</v>
      </c>
      <c r="G1039" s="354">
        <f t="shared" si="151"/>
        <v>10923</v>
      </c>
      <c r="H1039" s="355">
        <f t="shared" si="156"/>
        <v>37.616022099447513</v>
      </c>
      <c r="I1039" s="39"/>
      <c r="J1039" s="46">
        <v>5259960</v>
      </c>
      <c r="K1039" s="356">
        <f t="shared" si="158"/>
        <v>8182</v>
      </c>
      <c r="L1039" s="357">
        <f t="shared" si="162"/>
        <v>60.607407407407408</v>
      </c>
      <c r="M1039" s="39"/>
      <c r="N1039" s="46">
        <v>920335</v>
      </c>
      <c r="O1039" s="375">
        <f t="shared" si="160"/>
        <v>855</v>
      </c>
      <c r="P1039" s="166"/>
      <c r="Q1039" s="42">
        <v>680299</v>
      </c>
      <c r="R1039" s="314">
        <f t="shared" si="159"/>
        <v>0</v>
      </c>
      <c r="S1039" s="358"/>
      <c r="T1039" s="42">
        <v>26950</v>
      </c>
      <c r="U1039" s="348">
        <f t="shared" si="155"/>
        <v>0</v>
      </c>
      <c r="V1039" s="41"/>
      <c r="W1039" s="42">
        <v>48790</v>
      </c>
      <c r="X1039" s="349">
        <f t="shared" si="157"/>
        <v>0</v>
      </c>
      <c r="Y1039" s="41"/>
      <c r="Z1039" s="243"/>
    </row>
    <row r="1040" spans="1:26">
      <c r="A1040" s="150">
        <v>45569</v>
      </c>
      <c r="B1040" s="154" t="s">
        <v>106</v>
      </c>
      <c r="C1040" s="46">
        <v>3878034</v>
      </c>
      <c r="D1040" s="322">
        <f t="shared" si="161"/>
        <v>6044</v>
      </c>
      <c r="E1040" s="39"/>
      <c r="F1040" s="46">
        <v>9362896</v>
      </c>
      <c r="G1040" s="354">
        <f t="shared" si="151"/>
        <v>22336</v>
      </c>
      <c r="H1040" s="355">
        <f t="shared" si="156"/>
        <v>73.991712707182316</v>
      </c>
      <c r="I1040" s="39"/>
      <c r="J1040" s="46">
        <v>5268142</v>
      </c>
      <c r="K1040" s="356">
        <f t="shared" si="158"/>
        <v>8453</v>
      </c>
      <c r="L1040" s="357">
        <f t="shared" si="162"/>
        <v>62.614814814814814</v>
      </c>
      <c r="M1040" s="39"/>
      <c r="N1040" s="46">
        <v>921190</v>
      </c>
      <c r="O1040" s="375">
        <f t="shared" si="160"/>
        <v>724</v>
      </c>
      <c r="P1040" s="166"/>
      <c r="Q1040" s="42">
        <v>680415</v>
      </c>
      <c r="R1040" s="314">
        <f t="shared" si="159"/>
        <v>116</v>
      </c>
      <c r="S1040" s="358"/>
      <c r="T1040" s="42">
        <v>26950</v>
      </c>
      <c r="U1040" s="348">
        <f t="shared" si="155"/>
        <v>0</v>
      </c>
      <c r="V1040" s="41"/>
      <c r="W1040" s="42">
        <v>48790</v>
      </c>
      <c r="X1040" s="349">
        <f t="shared" si="157"/>
        <v>0</v>
      </c>
      <c r="Y1040" s="41"/>
      <c r="Z1040" s="243"/>
    </row>
    <row r="1041" spans="1:26">
      <c r="A1041" s="150">
        <v>45570</v>
      </c>
      <c r="B1041" s="154" t="s">
        <v>107</v>
      </c>
      <c r="C1041" s="46">
        <v>3884078</v>
      </c>
      <c r="D1041" s="322">
        <f t="shared" si="161"/>
        <v>0</v>
      </c>
      <c r="E1041" s="39"/>
      <c r="F1041" s="46">
        <v>9385232</v>
      </c>
      <c r="G1041" s="354">
        <f t="shared" ref="G1041:G1043" si="163">IF(F1042&gt;0,F1042-F1041," ")</f>
        <v>0</v>
      </c>
      <c r="H1041" s="355">
        <f t="shared" si="156"/>
        <v>-4.4060773480662982</v>
      </c>
      <c r="I1041" s="39"/>
      <c r="J1041" s="46">
        <v>5276595</v>
      </c>
      <c r="K1041" s="356">
        <f t="shared" si="158"/>
        <v>0</v>
      </c>
      <c r="L1041" s="357">
        <f t="shared" si="162"/>
        <v>0</v>
      </c>
      <c r="M1041" s="39"/>
      <c r="N1041" s="46">
        <v>921914</v>
      </c>
      <c r="O1041" s="375">
        <f t="shared" si="160"/>
        <v>993</v>
      </c>
      <c r="P1041" s="166"/>
      <c r="Q1041" s="42">
        <v>680931</v>
      </c>
      <c r="R1041" s="314">
        <f t="shared" si="159"/>
        <v>516</v>
      </c>
      <c r="S1041" s="358"/>
      <c r="T1041" s="42">
        <v>26950</v>
      </c>
      <c r="U1041" s="348">
        <f t="shared" si="155"/>
        <v>0</v>
      </c>
      <c r="V1041" s="41"/>
      <c r="W1041" s="42">
        <v>48790</v>
      </c>
      <c r="X1041" s="349">
        <f t="shared" si="157"/>
        <v>0</v>
      </c>
      <c r="Y1041" s="41"/>
      <c r="Z1041" s="243"/>
    </row>
    <row r="1042" spans="1:26">
      <c r="A1042" s="150">
        <v>45571</v>
      </c>
      <c r="B1042" s="154" t="s">
        <v>36</v>
      </c>
      <c r="C1042" s="46">
        <v>3884078</v>
      </c>
      <c r="D1042" s="322">
        <f t="shared" si="161"/>
        <v>0</v>
      </c>
      <c r="E1042" s="39"/>
      <c r="F1042" s="46">
        <v>9385232</v>
      </c>
      <c r="G1042" s="354">
        <f t="shared" si="163"/>
        <v>0</v>
      </c>
      <c r="H1042" s="355">
        <f t="shared" si="156"/>
        <v>-4.4060773480662982</v>
      </c>
      <c r="I1042" s="39"/>
      <c r="J1042" s="46">
        <v>5276595</v>
      </c>
      <c r="K1042" s="356">
        <f t="shared" si="158"/>
        <v>0</v>
      </c>
      <c r="L1042" s="357">
        <f t="shared" si="162"/>
        <v>0</v>
      </c>
      <c r="M1042" s="39"/>
      <c r="N1042" s="46">
        <v>922907</v>
      </c>
      <c r="O1042" s="375">
        <f t="shared" si="160"/>
        <v>0</v>
      </c>
      <c r="P1042" s="166">
        <v>24</v>
      </c>
      <c r="Q1042" s="42">
        <v>680931</v>
      </c>
      <c r="R1042" s="314">
        <f t="shared" si="159"/>
        <v>0</v>
      </c>
      <c r="S1042" s="358"/>
      <c r="T1042" s="42">
        <v>26950</v>
      </c>
      <c r="U1042" s="348">
        <f t="shared" si="155"/>
        <v>0</v>
      </c>
      <c r="V1042" s="41"/>
      <c r="W1042" s="42">
        <v>48790</v>
      </c>
      <c r="X1042" s="349">
        <f t="shared" si="157"/>
        <v>0</v>
      </c>
      <c r="Y1042" s="41"/>
      <c r="Z1042" s="243"/>
    </row>
    <row r="1043" spans="1:26">
      <c r="A1043" s="150">
        <v>45572</v>
      </c>
      <c r="B1043" s="154" t="s">
        <v>108</v>
      </c>
      <c r="C1043" s="46">
        <v>3884078</v>
      </c>
      <c r="D1043" s="322">
        <f t="shared" si="161"/>
        <v>5471</v>
      </c>
      <c r="E1043" s="39"/>
      <c r="F1043" s="46">
        <v>9385232</v>
      </c>
      <c r="G1043" s="354">
        <f t="shared" si="163"/>
        <v>14814</v>
      </c>
      <c r="H1043" s="355">
        <f t="shared" si="156"/>
        <v>51.629834254143645</v>
      </c>
      <c r="I1043" s="39"/>
      <c r="J1043" s="46">
        <v>5276595</v>
      </c>
      <c r="K1043" s="356">
        <f t="shared" si="158"/>
        <v>5489</v>
      </c>
      <c r="L1043" s="357">
        <f t="shared" si="162"/>
        <v>40.659259259259258</v>
      </c>
      <c r="M1043" s="39"/>
      <c r="N1043" s="42">
        <v>922907</v>
      </c>
      <c r="O1043" s="236">
        <f t="shared" si="160"/>
        <v>715</v>
      </c>
      <c r="P1043" s="358"/>
      <c r="Q1043" s="42">
        <v>680931</v>
      </c>
      <c r="R1043" s="314">
        <f t="shared" si="159"/>
        <v>0</v>
      </c>
      <c r="S1043" s="358"/>
      <c r="T1043" s="42">
        <v>26950</v>
      </c>
      <c r="U1043" s="348">
        <f t="shared" si="155"/>
        <v>0</v>
      </c>
      <c r="V1043" s="41"/>
      <c r="W1043" s="42">
        <v>48790</v>
      </c>
      <c r="X1043" s="349">
        <f t="shared" si="157"/>
        <v>0</v>
      </c>
      <c r="Y1043" s="41"/>
      <c r="Z1043" s="243"/>
    </row>
    <row r="1044" spans="1:26">
      <c r="A1044" s="150">
        <v>45573</v>
      </c>
      <c r="B1044" s="154" t="s">
        <v>109</v>
      </c>
      <c r="C1044" s="46">
        <v>3889549</v>
      </c>
      <c r="D1044" s="322">
        <f t="shared" si="161"/>
        <v>4897</v>
      </c>
      <c r="E1044" s="39"/>
      <c r="F1044" s="46">
        <v>9400046</v>
      </c>
      <c r="G1044" s="354">
        <f>IF(F1045&gt;0,F1045-F1044," ")</f>
        <v>12601</v>
      </c>
      <c r="H1044" s="355">
        <f>(G1044+D1044-1595)/362</f>
        <v>43.930939226519335</v>
      </c>
      <c r="I1044" s="39"/>
      <c r="J1044" s="46">
        <v>5282084</v>
      </c>
      <c r="K1044" s="356">
        <f t="shared" si="158"/>
        <v>7199</v>
      </c>
      <c r="L1044" s="357">
        <f t="shared" si="162"/>
        <v>53.325925925925922</v>
      </c>
      <c r="M1044" s="39"/>
      <c r="N1044" s="42">
        <v>923622</v>
      </c>
      <c r="O1044" s="236">
        <f t="shared" si="160"/>
        <v>832</v>
      </c>
      <c r="P1044" s="358"/>
      <c r="Q1044" s="42">
        <v>681147</v>
      </c>
      <c r="R1044" s="314">
        <f t="shared" si="159"/>
        <v>216</v>
      </c>
      <c r="S1044" s="358"/>
      <c r="T1044" s="42">
        <v>26950</v>
      </c>
      <c r="U1044" s="348">
        <f t="shared" si="155"/>
        <v>0</v>
      </c>
      <c r="V1044" s="41"/>
      <c r="W1044" s="42">
        <v>48790</v>
      </c>
      <c r="X1044" s="349">
        <f t="shared" si="157"/>
        <v>0</v>
      </c>
      <c r="Y1044" s="41"/>
      <c r="Z1044" s="243"/>
    </row>
    <row r="1045" spans="1:26">
      <c r="A1045" s="150">
        <v>45574</v>
      </c>
      <c r="B1045" s="154" t="s">
        <v>110</v>
      </c>
      <c r="C1045" s="46">
        <v>3894446</v>
      </c>
      <c r="D1045" s="322">
        <f t="shared" si="161"/>
        <v>4784</v>
      </c>
      <c r="E1045" s="39"/>
      <c r="F1045" s="46">
        <v>9412647</v>
      </c>
      <c r="G1045" s="354">
        <f>IF(F1046&gt;0,F1046-F1045," ")</f>
        <v>12133</v>
      </c>
      <c r="H1045" s="355">
        <f>(G1045+D1045-1595)/362</f>
        <v>42.325966850828728</v>
      </c>
      <c r="I1045" s="39"/>
      <c r="J1045" s="46">
        <v>5289283</v>
      </c>
      <c r="K1045" s="356">
        <f t="shared" si="158"/>
        <v>7124</v>
      </c>
      <c r="L1045" s="357">
        <f t="shared" si="162"/>
        <v>52.770370370370372</v>
      </c>
      <c r="M1045" s="39"/>
      <c r="N1045" s="42">
        <v>924454</v>
      </c>
      <c r="O1045" s="236">
        <f t="shared" si="160"/>
        <v>732</v>
      </c>
      <c r="P1045" s="358"/>
      <c r="Q1045" s="42">
        <v>681524</v>
      </c>
      <c r="R1045" s="314">
        <f t="shared" si="159"/>
        <v>377</v>
      </c>
      <c r="S1045" s="358"/>
      <c r="T1045" s="42">
        <v>26950</v>
      </c>
      <c r="U1045" s="348">
        <f t="shared" si="155"/>
        <v>0</v>
      </c>
      <c r="V1045" s="41"/>
      <c r="W1045" s="42">
        <v>48790</v>
      </c>
      <c r="X1045" s="349">
        <f t="shared" si="157"/>
        <v>0</v>
      </c>
      <c r="Y1045" s="41"/>
      <c r="Z1045" s="243"/>
    </row>
    <row r="1046" spans="1:26">
      <c r="A1046" s="150">
        <v>45575</v>
      </c>
      <c r="B1046" s="154" t="s">
        <v>111</v>
      </c>
      <c r="C1046" s="46">
        <v>3899230</v>
      </c>
      <c r="D1046" s="322">
        <f t="shared" si="161"/>
        <v>5120</v>
      </c>
      <c r="E1046" s="39"/>
      <c r="F1046" s="46">
        <v>9424780</v>
      </c>
      <c r="G1046" s="354">
        <f>IF(F1047&gt;0,F1047-F1046," ")</f>
        <v>13228</v>
      </c>
      <c r="H1046" s="355">
        <f>(G1046+D1046-1595)/362</f>
        <v>46.27900552486188</v>
      </c>
      <c r="I1046" s="39"/>
      <c r="J1046" s="46">
        <v>5296407</v>
      </c>
      <c r="K1046" s="356">
        <f t="shared" si="158"/>
        <v>6040</v>
      </c>
      <c r="L1046" s="357">
        <f t="shared" si="162"/>
        <v>44.74074074074074</v>
      </c>
      <c r="M1046" s="39"/>
      <c r="N1046" s="42">
        <v>925186</v>
      </c>
      <c r="O1046" s="236">
        <f t="shared" si="160"/>
        <v>862</v>
      </c>
      <c r="P1046" s="358"/>
      <c r="Q1046" s="42">
        <v>681667</v>
      </c>
      <c r="R1046" s="314">
        <f t="shared" si="159"/>
        <v>143</v>
      </c>
      <c r="S1046" s="358"/>
      <c r="T1046" s="42">
        <v>26950</v>
      </c>
      <c r="U1046" s="348">
        <f t="shared" si="155"/>
        <v>0</v>
      </c>
      <c r="V1046" s="41"/>
      <c r="W1046" s="42">
        <v>48790</v>
      </c>
      <c r="X1046" s="349">
        <f t="shared" si="157"/>
        <v>0</v>
      </c>
      <c r="Y1046" s="41"/>
      <c r="Z1046" s="243"/>
    </row>
    <row r="1047" spans="1:26">
      <c r="A1047" s="150">
        <v>45576</v>
      </c>
      <c r="B1047" s="154" t="s">
        <v>106</v>
      </c>
      <c r="C1047" s="46">
        <v>3904350</v>
      </c>
      <c r="D1047" s="322">
        <f t="shared" si="161"/>
        <v>4778</v>
      </c>
      <c r="E1047" s="39">
        <v>112</v>
      </c>
      <c r="F1047" s="46">
        <v>9438008</v>
      </c>
      <c r="G1047" s="354">
        <f t="shared" ref="G1047:G1078" si="164">IF(F1048&gt;0,F1048-F1047," ")</f>
        <v>19886</v>
      </c>
      <c r="H1047" s="355">
        <f t="shared" ref="H1047:H1110" si="165">(G1047+D1047-1595)/362</f>
        <v>63.726519337016576</v>
      </c>
      <c r="I1047" s="39">
        <v>317</v>
      </c>
      <c r="J1047" s="46">
        <v>5302447</v>
      </c>
      <c r="K1047" s="356">
        <f t="shared" si="158"/>
        <v>8997</v>
      </c>
      <c r="L1047" s="357">
        <f t="shared" si="162"/>
        <v>66.644444444444446</v>
      </c>
      <c r="M1047" s="39">
        <v>159</v>
      </c>
      <c r="N1047" s="42">
        <v>926048</v>
      </c>
      <c r="O1047" s="236">
        <f t="shared" si="160"/>
        <v>1005</v>
      </c>
      <c r="P1047" s="358"/>
      <c r="Q1047" s="42">
        <v>681804</v>
      </c>
      <c r="R1047" s="314">
        <f t="shared" si="159"/>
        <v>137</v>
      </c>
      <c r="S1047" s="358"/>
      <c r="T1047" s="42">
        <v>26950</v>
      </c>
      <c r="U1047" s="348">
        <f t="shared" si="155"/>
        <v>0</v>
      </c>
      <c r="V1047" s="41"/>
      <c r="W1047" s="42">
        <v>48790</v>
      </c>
      <c r="X1047" s="349">
        <f t="shared" si="157"/>
        <v>0</v>
      </c>
      <c r="Y1047" s="41"/>
      <c r="Z1047" s="243"/>
    </row>
    <row r="1048" spans="1:26">
      <c r="A1048" s="150">
        <v>45577</v>
      </c>
      <c r="B1048" s="154" t="s">
        <v>107</v>
      </c>
      <c r="C1048" s="42">
        <v>3909128</v>
      </c>
      <c r="D1048" s="315">
        <f t="shared" si="161"/>
        <v>0</v>
      </c>
      <c r="E1048" s="41"/>
      <c r="F1048" s="42">
        <v>9457894</v>
      </c>
      <c r="G1048" s="311">
        <f t="shared" si="164"/>
        <v>0</v>
      </c>
      <c r="H1048" s="312">
        <f t="shared" si="165"/>
        <v>-4.4060773480662982</v>
      </c>
      <c r="I1048" s="41"/>
      <c r="J1048" s="42">
        <v>5311444</v>
      </c>
      <c r="K1048" s="313">
        <f t="shared" si="158"/>
        <v>0</v>
      </c>
      <c r="L1048" s="374">
        <f t="shared" si="162"/>
        <v>0</v>
      </c>
      <c r="M1048" s="41"/>
      <c r="N1048" s="42">
        <v>927053</v>
      </c>
      <c r="O1048" s="236">
        <f t="shared" si="160"/>
        <v>0</v>
      </c>
      <c r="P1048" s="358"/>
      <c r="Q1048" s="42">
        <v>682112</v>
      </c>
      <c r="R1048" s="314">
        <f t="shared" si="159"/>
        <v>308</v>
      </c>
      <c r="S1048" s="358"/>
      <c r="T1048" s="42">
        <v>26950</v>
      </c>
      <c r="U1048" s="348">
        <f t="shared" ref="U1048:U1111" si="166">T1049-T1048</f>
        <v>0</v>
      </c>
      <c r="V1048" s="41"/>
      <c r="W1048" s="42">
        <v>48790</v>
      </c>
      <c r="X1048" s="349">
        <f t="shared" si="157"/>
        <v>0</v>
      </c>
      <c r="Y1048" s="41"/>
      <c r="Z1048" s="243"/>
    </row>
    <row r="1049" spans="1:26">
      <c r="A1049" s="150">
        <v>45578</v>
      </c>
      <c r="B1049" s="154" t="s">
        <v>36</v>
      </c>
      <c r="C1049" s="42">
        <v>3909128</v>
      </c>
      <c r="D1049" s="315">
        <f t="shared" si="161"/>
        <v>0</v>
      </c>
      <c r="E1049" s="41"/>
      <c r="F1049" s="42">
        <v>9457894</v>
      </c>
      <c r="G1049" s="311">
        <f t="shared" si="164"/>
        <v>0</v>
      </c>
      <c r="H1049" s="312">
        <f t="shared" si="165"/>
        <v>-4.4060773480662982</v>
      </c>
      <c r="I1049" s="41"/>
      <c r="J1049" s="42">
        <v>5311444</v>
      </c>
      <c r="K1049" s="313">
        <f t="shared" si="158"/>
        <v>0</v>
      </c>
      <c r="L1049" s="374">
        <f t="shared" si="162"/>
        <v>0</v>
      </c>
      <c r="M1049" s="41"/>
      <c r="N1049" s="42">
        <v>927053</v>
      </c>
      <c r="O1049" s="236">
        <f t="shared" si="160"/>
        <v>0</v>
      </c>
      <c r="P1049" s="358"/>
      <c r="Q1049" s="42">
        <v>682112</v>
      </c>
      <c r="R1049" s="314">
        <f t="shared" si="159"/>
        <v>0</v>
      </c>
      <c r="S1049" s="358"/>
      <c r="T1049" s="42">
        <v>26950</v>
      </c>
      <c r="U1049" s="348">
        <f t="shared" si="166"/>
        <v>0</v>
      </c>
      <c r="V1049" s="41"/>
      <c r="W1049" s="42">
        <v>48790</v>
      </c>
      <c r="X1049" s="349">
        <f t="shared" si="157"/>
        <v>0</v>
      </c>
      <c r="Y1049" s="41"/>
      <c r="Z1049" s="243"/>
    </row>
    <row r="1050" spans="1:26">
      <c r="A1050" s="150">
        <v>45579</v>
      </c>
      <c r="B1050" s="154" t="s">
        <v>108</v>
      </c>
      <c r="C1050" s="42">
        <v>3909128</v>
      </c>
      <c r="D1050" s="315">
        <f t="shared" si="161"/>
        <v>6561</v>
      </c>
      <c r="E1050" s="41"/>
      <c r="F1050" s="42">
        <v>9457894</v>
      </c>
      <c r="G1050" s="311">
        <f t="shared" si="164"/>
        <v>16011</v>
      </c>
      <c r="H1050" s="312">
        <f t="shared" si="165"/>
        <v>57.947513812154696</v>
      </c>
      <c r="I1050" s="41"/>
      <c r="J1050" s="42">
        <v>5311444</v>
      </c>
      <c r="K1050" s="313">
        <f t="shared" si="158"/>
        <v>10102</v>
      </c>
      <c r="L1050" s="374">
        <f t="shared" si="162"/>
        <v>74.829629629629636</v>
      </c>
      <c r="M1050" s="41"/>
      <c r="N1050" s="42">
        <v>927053</v>
      </c>
      <c r="O1050" s="236">
        <f t="shared" si="160"/>
        <v>640</v>
      </c>
      <c r="P1050" s="358"/>
      <c r="Q1050" s="42">
        <v>682112</v>
      </c>
      <c r="R1050" s="314">
        <f t="shared" si="159"/>
        <v>0</v>
      </c>
      <c r="S1050" s="358"/>
      <c r="T1050" s="42">
        <v>26950</v>
      </c>
      <c r="U1050" s="348">
        <f t="shared" si="166"/>
        <v>0</v>
      </c>
      <c r="V1050" s="41"/>
      <c r="W1050" s="42">
        <v>48790</v>
      </c>
      <c r="X1050" s="349">
        <f t="shared" si="157"/>
        <v>0</v>
      </c>
      <c r="Y1050" s="41"/>
      <c r="Z1050" s="243"/>
    </row>
    <row r="1051" spans="1:26">
      <c r="A1051" s="150">
        <v>45580</v>
      </c>
      <c r="B1051" s="350" t="s">
        <v>109</v>
      </c>
      <c r="C1051" s="132">
        <v>3915689</v>
      </c>
      <c r="D1051" s="351">
        <f t="shared" si="161"/>
        <v>5242</v>
      </c>
      <c r="E1051" s="133"/>
      <c r="F1051" s="132">
        <v>9473905</v>
      </c>
      <c r="G1051" s="311">
        <f t="shared" si="164"/>
        <v>14371</v>
      </c>
      <c r="H1051" s="312">
        <f t="shared" si="165"/>
        <v>49.773480662983424</v>
      </c>
      <c r="I1051" s="133"/>
      <c r="J1051" s="132">
        <v>5321546</v>
      </c>
      <c r="K1051" s="313">
        <f t="shared" si="158"/>
        <v>6210</v>
      </c>
      <c r="L1051" s="374">
        <f t="shared" si="162"/>
        <v>46</v>
      </c>
      <c r="M1051" s="133"/>
      <c r="N1051" s="132">
        <v>927693</v>
      </c>
      <c r="O1051" s="236">
        <f t="shared" si="160"/>
        <v>576</v>
      </c>
      <c r="P1051" s="372"/>
      <c r="Q1051" s="132">
        <v>682322</v>
      </c>
      <c r="R1051" s="314">
        <f t="shared" si="159"/>
        <v>210</v>
      </c>
      <c r="S1051" s="372"/>
      <c r="T1051" s="42">
        <v>26950</v>
      </c>
      <c r="U1051" s="348">
        <f t="shared" si="166"/>
        <v>0</v>
      </c>
      <c r="V1051" s="133"/>
      <c r="W1051" s="42">
        <v>48790</v>
      </c>
      <c r="X1051" s="349">
        <f t="shared" si="157"/>
        <v>0</v>
      </c>
      <c r="Y1051" s="133"/>
      <c r="Z1051" s="352"/>
    </row>
    <row r="1052" spans="1:26">
      <c r="A1052" s="150">
        <v>45581</v>
      </c>
      <c r="B1052" s="350" t="s">
        <v>110</v>
      </c>
      <c r="C1052" s="42">
        <v>3920931</v>
      </c>
      <c r="D1052" s="315">
        <f t="shared" si="161"/>
        <v>20655</v>
      </c>
      <c r="E1052" s="41" t="s">
        <v>135</v>
      </c>
      <c r="F1052" s="42">
        <v>9488276</v>
      </c>
      <c r="G1052" s="311">
        <f t="shared" si="164"/>
        <v>61049</v>
      </c>
      <c r="H1052" s="312">
        <f t="shared" si="165"/>
        <v>221.29558011049724</v>
      </c>
      <c r="I1052" s="41" t="s">
        <v>134</v>
      </c>
      <c r="J1052" s="42">
        <v>5327756</v>
      </c>
      <c r="K1052" s="313">
        <f t="shared" si="158"/>
        <v>26118</v>
      </c>
      <c r="L1052" s="374">
        <f t="shared" si="162"/>
        <v>193.46666666666667</v>
      </c>
      <c r="M1052" s="41"/>
      <c r="N1052" s="42">
        <v>928269</v>
      </c>
      <c r="O1052" s="236">
        <f t="shared" si="160"/>
        <v>584</v>
      </c>
      <c r="P1052" s="358"/>
      <c r="Q1052" s="42">
        <v>682524</v>
      </c>
      <c r="R1052" s="314">
        <f t="shared" si="159"/>
        <v>202</v>
      </c>
      <c r="S1052" s="358"/>
      <c r="T1052" s="42">
        <v>26950</v>
      </c>
      <c r="U1052" s="348">
        <f t="shared" si="166"/>
        <v>0</v>
      </c>
      <c r="V1052" s="41"/>
      <c r="W1052" s="42">
        <v>48790</v>
      </c>
      <c r="X1052" s="349">
        <f t="shared" si="157"/>
        <v>0</v>
      </c>
      <c r="Y1052" s="41"/>
      <c r="Z1052" s="243"/>
    </row>
    <row r="1053" spans="1:26">
      <c r="A1053" s="150">
        <v>45582</v>
      </c>
      <c r="B1053" s="350" t="s">
        <v>111</v>
      </c>
      <c r="C1053" s="42">
        <v>3941586</v>
      </c>
      <c r="D1053" s="315">
        <f t="shared" si="161"/>
        <v>0</v>
      </c>
      <c r="E1053" s="41"/>
      <c r="F1053" s="42">
        <v>9549325</v>
      </c>
      <c r="G1053" s="311">
        <f t="shared" si="164"/>
        <v>0</v>
      </c>
      <c r="H1053" s="312">
        <f t="shared" si="165"/>
        <v>-4.4060773480662982</v>
      </c>
      <c r="I1053" s="41"/>
      <c r="J1053" s="42">
        <v>5353874</v>
      </c>
      <c r="K1053" s="313">
        <f t="shared" si="158"/>
        <v>0</v>
      </c>
      <c r="L1053" s="374">
        <f t="shared" si="162"/>
        <v>0</v>
      </c>
      <c r="M1053" s="41"/>
      <c r="N1053" s="42">
        <v>928853</v>
      </c>
      <c r="O1053" s="236">
        <f t="shared" si="160"/>
        <v>647</v>
      </c>
      <c r="P1053" s="358"/>
      <c r="Q1053" s="42">
        <v>682727</v>
      </c>
      <c r="R1053" s="314">
        <f t="shared" si="159"/>
        <v>203</v>
      </c>
      <c r="S1053" s="358"/>
      <c r="T1053" s="42">
        <v>26950</v>
      </c>
      <c r="U1053" s="348">
        <f t="shared" si="166"/>
        <v>0</v>
      </c>
      <c r="V1053" s="41"/>
      <c r="W1053" s="42">
        <v>48790</v>
      </c>
      <c r="X1053" s="349">
        <f t="shared" si="157"/>
        <v>0</v>
      </c>
      <c r="Y1053" s="41"/>
      <c r="Z1053" s="243"/>
    </row>
    <row r="1054" spans="1:26">
      <c r="A1054" s="150">
        <v>45583</v>
      </c>
      <c r="B1054" s="350" t="s">
        <v>106</v>
      </c>
      <c r="C1054" s="42">
        <v>3941586</v>
      </c>
      <c r="D1054" s="315">
        <f t="shared" si="161"/>
        <v>0</v>
      </c>
      <c r="E1054" s="41"/>
      <c r="F1054" s="42">
        <v>9549325</v>
      </c>
      <c r="G1054" s="311">
        <f t="shared" si="164"/>
        <v>0</v>
      </c>
      <c r="H1054" s="312">
        <f t="shared" si="165"/>
        <v>-4.4060773480662982</v>
      </c>
      <c r="I1054" s="41"/>
      <c r="J1054" s="42">
        <v>5353874</v>
      </c>
      <c r="K1054" s="313">
        <f t="shared" si="158"/>
        <v>0</v>
      </c>
      <c r="L1054" s="374">
        <f t="shared" si="162"/>
        <v>0</v>
      </c>
      <c r="M1054" s="41"/>
      <c r="N1054" s="42">
        <v>929500</v>
      </c>
      <c r="O1054" s="236">
        <f t="shared" si="160"/>
        <v>736</v>
      </c>
      <c r="P1054" s="358"/>
      <c r="Q1054" s="42">
        <v>682900</v>
      </c>
      <c r="R1054" s="314">
        <f t="shared" si="159"/>
        <v>173</v>
      </c>
      <c r="S1054" s="358"/>
      <c r="T1054" s="42">
        <v>26950</v>
      </c>
      <c r="U1054" s="348">
        <f t="shared" si="166"/>
        <v>0</v>
      </c>
      <c r="V1054" s="41"/>
      <c r="W1054" s="42">
        <v>48790</v>
      </c>
      <c r="X1054" s="349">
        <f t="shared" si="157"/>
        <v>0</v>
      </c>
      <c r="Y1054" s="41"/>
      <c r="Z1054" s="243"/>
    </row>
    <row r="1055" spans="1:26">
      <c r="A1055" s="150">
        <v>45584</v>
      </c>
      <c r="B1055" s="350" t="s">
        <v>107</v>
      </c>
      <c r="C1055" s="42">
        <v>3941586</v>
      </c>
      <c r="D1055" s="315">
        <f t="shared" si="161"/>
        <v>0</v>
      </c>
      <c r="E1055" s="41"/>
      <c r="F1055" s="42">
        <v>9549325</v>
      </c>
      <c r="G1055" s="311">
        <f t="shared" si="164"/>
        <v>0</v>
      </c>
      <c r="H1055" s="312">
        <f t="shared" si="165"/>
        <v>-4.4060773480662982</v>
      </c>
      <c r="I1055" s="41"/>
      <c r="J1055" s="42">
        <v>5353874</v>
      </c>
      <c r="K1055" s="313">
        <f t="shared" si="158"/>
        <v>0</v>
      </c>
      <c r="L1055" s="374">
        <f t="shared" si="162"/>
        <v>0</v>
      </c>
      <c r="M1055" s="41"/>
      <c r="N1055" s="42">
        <v>930236</v>
      </c>
      <c r="O1055" s="236">
        <f t="shared" si="160"/>
        <v>709</v>
      </c>
      <c r="P1055" s="358"/>
      <c r="Q1055" s="42">
        <v>683307</v>
      </c>
      <c r="R1055" s="314">
        <f t="shared" si="159"/>
        <v>407</v>
      </c>
      <c r="S1055" s="358"/>
      <c r="T1055" s="42">
        <v>26950</v>
      </c>
      <c r="U1055" s="348">
        <f t="shared" si="166"/>
        <v>0</v>
      </c>
      <c r="V1055" s="41"/>
      <c r="W1055" s="42">
        <v>48790</v>
      </c>
      <c r="X1055" s="349">
        <f t="shared" ref="X1055:X1118" si="167">W1056-W1055</f>
        <v>0</v>
      </c>
      <c r="Y1055" s="41"/>
      <c r="Z1055" s="243"/>
    </row>
    <row r="1056" spans="1:26">
      <c r="A1056" s="150">
        <v>45585</v>
      </c>
      <c r="B1056" s="350" t="s">
        <v>36</v>
      </c>
      <c r="C1056" s="42">
        <v>3941586</v>
      </c>
      <c r="D1056" s="315">
        <f t="shared" si="161"/>
        <v>0</v>
      </c>
      <c r="E1056" s="41"/>
      <c r="F1056" s="42">
        <v>9549325</v>
      </c>
      <c r="G1056" s="311">
        <f t="shared" si="164"/>
        <v>0</v>
      </c>
      <c r="H1056" s="312">
        <f t="shared" si="165"/>
        <v>-4.4060773480662982</v>
      </c>
      <c r="I1056" s="41"/>
      <c r="J1056" s="42">
        <v>5353874</v>
      </c>
      <c r="K1056" s="313">
        <f t="shared" si="158"/>
        <v>0</v>
      </c>
      <c r="L1056" s="374">
        <f t="shared" si="162"/>
        <v>0</v>
      </c>
      <c r="M1056" s="41"/>
      <c r="N1056" s="42">
        <v>930945</v>
      </c>
      <c r="O1056" s="236">
        <f t="shared" si="160"/>
        <v>0</v>
      </c>
      <c r="P1056" s="358"/>
      <c r="Q1056" s="42">
        <v>683307</v>
      </c>
      <c r="R1056" s="314">
        <f t="shared" si="159"/>
        <v>0</v>
      </c>
      <c r="S1056" s="358"/>
      <c r="T1056" s="42">
        <v>26950</v>
      </c>
      <c r="U1056" s="348">
        <f t="shared" si="166"/>
        <v>0</v>
      </c>
      <c r="V1056" s="41"/>
      <c r="W1056" s="42">
        <v>48790</v>
      </c>
      <c r="X1056" s="349">
        <f t="shared" si="167"/>
        <v>0</v>
      </c>
      <c r="Y1056" s="41"/>
      <c r="Z1056" s="243"/>
    </row>
    <row r="1057" spans="1:26">
      <c r="A1057" s="150">
        <v>45586</v>
      </c>
      <c r="B1057" s="350" t="s">
        <v>108</v>
      </c>
      <c r="C1057" s="42">
        <v>3941586</v>
      </c>
      <c r="D1057" s="315">
        <f t="shared" si="161"/>
        <v>0</v>
      </c>
      <c r="E1057" s="41"/>
      <c r="F1057" s="42">
        <v>9549325</v>
      </c>
      <c r="G1057" s="311">
        <f t="shared" si="164"/>
        <v>0</v>
      </c>
      <c r="H1057" s="312">
        <f>(G1057+D1057-1595)/362</f>
        <v>-4.4060773480662982</v>
      </c>
      <c r="I1057" s="41"/>
      <c r="J1057" s="42">
        <v>5353874</v>
      </c>
      <c r="K1057" s="313">
        <f t="shared" si="158"/>
        <v>0</v>
      </c>
      <c r="L1057" s="374">
        <f t="shared" si="162"/>
        <v>0</v>
      </c>
      <c r="M1057" s="41"/>
      <c r="N1057" s="42">
        <v>930945</v>
      </c>
      <c r="O1057" s="236">
        <f t="shared" si="160"/>
        <v>628</v>
      </c>
      <c r="P1057" s="358"/>
      <c r="Q1057" s="42">
        <v>683307</v>
      </c>
      <c r="R1057" s="314">
        <f t="shared" si="159"/>
        <v>0</v>
      </c>
      <c r="S1057" s="358"/>
      <c r="T1057" s="42">
        <v>26950</v>
      </c>
      <c r="U1057" s="348">
        <f t="shared" si="166"/>
        <v>0</v>
      </c>
      <c r="V1057" s="41"/>
      <c r="W1057" s="42">
        <v>48790</v>
      </c>
      <c r="X1057" s="349">
        <f t="shared" si="167"/>
        <v>0</v>
      </c>
      <c r="Y1057" s="41"/>
      <c r="Z1057" s="243"/>
    </row>
    <row r="1058" spans="1:26">
      <c r="A1058" s="150">
        <v>45587</v>
      </c>
      <c r="B1058" s="350" t="s">
        <v>109</v>
      </c>
      <c r="C1058" s="42">
        <v>3941586</v>
      </c>
      <c r="D1058" s="315">
        <f t="shared" si="161"/>
        <v>6088</v>
      </c>
      <c r="E1058" s="41"/>
      <c r="F1058" s="42">
        <v>9549325</v>
      </c>
      <c r="G1058" s="311">
        <f t="shared" si="164"/>
        <v>15393</v>
      </c>
      <c r="H1058" s="312">
        <f t="shared" si="165"/>
        <v>54.933701657458563</v>
      </c>
      <c r="I1058" s="41"/>
      <c r="J1058" s="42">
        <v>5353874</v>
      </c>
      <c r="K1058" s="313">
        <f t="shared" si="158"/>
        <v>8329</v>
      </c>
      <c r="L1058" s="374">
        <f t="shared" si="162"/>
        <v>61.696296296296296</v>
      </c>
      <c r="M1058" s="41"/>
      <c r="N1058" s="42">
        <v>931573</v>
      </c>
      <c r="O1058" s="236">
        <f t="shared" si="160"/>
        <v>681</v>
      </c>
      <c r="P1058" s="358"/>
      <c r="Q1058" s="42">
        <v>683438</v>
      </c>
      <c r="R1058" s="314">
        <f t="shared" si="159"/>
        <v>131</v>
      </c>
      <c r="S1058" s="358"/>
      <c r="T1058" s="42">
        <v>26950</v>
      </c>
      <c r="U1058" s="348">
        <f t="shared" si="166"/>
        <v>0</v>
      </c>
      <c r="V1058" s="41"/>
      <c r="W1058" s="42">
        <v>48790</v>
      </c>
      <c r="X1058" s="349">
        <f t="shared" si="167"/>
        <v>0</v>
      </c>
      <c r="Y1058" s="41"/>
      <c r="Z1058" s="243"/>
    </row>
    <row r="1059" spans="1:26">
      <c r="A1059" s="150">
        <v>45588</v>
      </c>
      <c r="B1059" s="350" t="s">
        <v>110</v>
      </c>
      <c r="C1059" s="42">
        <v>3947674</v>
      </c>
      <c r="D1059" s="315">
        <f t="shared" si="161"/>
        <v>5214</v>
      </c>
      <c r="E1059" s="41"/>
      <c r="F1059" s="42">
        <v>9564718</v>
      </c>
      <c r="G1059" s="311">
        <f t="shared" si="164"/>
        <v>13180</v>
      </c>
      <c r="H1059" s="312">
        <f t="shared" si="165"/>
        <v>46.406077348066297</v>
      </c>
      <c r="I1059" s="41"/>
      <c r="J1059" s="42">
        <v>5362203</v>
      </c>
      <c r="K1059" s="313">
        <f t="shared" si="158"/>
        <v>6214</v>
      </c>
      <c r="L1059" s="374">
        <f t="shared" si="162"/>
        <v>46.029629629629632</v>
      </c>
      <c r="M1059" s="41"/>
      <c r="N1059" s="42">
        <v>932254</v>
      </c>
      <c r="O1059" s="236">
        <f t="shared" si="160"/>
        <v>1313</v>
      </c>
      <c r="P1059" s="358"/>
      <c r="Q1059" s="42">
        <v>683887</v>
      </c>
      <c r="R1059" s="314">
        <f t="shared" si="159"/>
        <v>449</v>
      </c>
      <c r="S1059" s="358"/>
      <c r="T1059" s="42">
        <v>26950</v>
      </c>
      <c r="U1059" s="348">
        <f t="shared" si="166"/>
        <v>0</v>
      </c>
      <c r="V1059" s="41"/>
      <c r="W1059" s="42">
        <v>48790</v>
      </c>
      <c r="X1059" s="349">
        <f t="shared" si="167"/>
        <v>0</v>
      </c>
      <c r="Y1059" s="41"/>
      <c r="Z1059" s="243"/>
    </row>
    <row r="1060" spans="1:26">
      <c r="A1060" s="150">
        <v>45589</v>
      </c>
      <c r="B1060" s="350" t="s">
        <v>111</v>
      </c>
      <c r="C1060" s="42">
        <v>3952888</v>
      </c>
      <c r="D1060" s="315">
        <f t="shared" si="161"/>
        <v>13438</v>
      </c>
      <c r="E1060" s="41"/>
      <c r="F1060" s="42">
        <v>9577898</v>
      </c>
      <c r="G1060" s="311">
        <f t="shared" si="164"/>
        <v>44233</v>
      </c>
      <c r="H1060" s="312">
        <f t="shared" si="165"/>
        <v>154.9060773480663</v>
      </c>
      <c r="I1060" s="41"/>
      <c r="J1060" s="42">
        <v>5368417</v>
      </c>
      <c r="K1060" s="313">
        <f t="shared" si="158"/>
        <v>16159</v>
      </c>
      <c r="L1060" s="374">
        <f t="shared" si="162"/>
        <v>119.6962962962963</v>
      </c>
      <c r="M1060" s="41"/>
      <c r="N1060" s="42">
        <v>933567</v>
      </c>
      <c r="O1060" s="236">
        <f t="shared" si="160"/>
        <v>662</v>
      </c>
      <c r="P1060" s="358"/>
      <c r="Q1060" s="42">
        <v>683887</v>
      </c>
      <c r="R1060" s="314">
        <f t="shared" si="159"/>
        <v>0</v>
      </c>
      <c r="S1060" s="358"/>
      <c r="T1060" s="42">
        <v>26950</v>
      </c>
      <c r="U1060" s="348">
        <f t="shared" si="166"/>
        <v>0</v>
      </c>
      <c r="V1060" s="41"/>
      <c r="W1060" s="42">
        <v>48790</v>
      </c>
      <c r="X1060" s="349">
        <f t="shared" si="167"/>
        <v>0</v>
      </c>
      <c r="Y1060" s="41"/>
      <c r="Z1060" s="243"/>
    </row>
    <row r="1061" spans="1:26">
      <c r="A1061" s="150">
        <v>45590</v>
      </c>
      <c r="B1061" s="350" t="s">
        <v>106</v>
      </c>
      <c r="C1061" s="42">
        <v>3966326</v>
      </c>
      <c r="D1061" s="315">
        <f t="shared" si="161"/>
        <v>0</v>
      </c>
      <c r="E1061" s="41"/>
      <c r="F1061" s="42">
        <v>9622131</v>
      </c>
      <c r="G1061" s="311">
        <f t="shared" si="164"/>
        <v>0</v>
      </c>
      <c r="H1061" s="312">
        <f t="shared" si="165"/>
        <v>-4.4060773480662982</v>
      </c>
      <c r="I1061" s="41"/>
      <c r="J1061" s="42">
        <v>5384576</v>
      </c>
      <c r="K1061" s="313">
        <f t="shared" si="158"/>
        <v>0</v>
      </c>
      <c r="L1061" s="374">
        <f t="shared" si="162"/>
        <v>0</v>
      </c>
      <c r="M1061" s="41"/>
      <c r="N1061" s="42">
        <v>934229</v>
      </c>
      <c r="O1061" s="236">
        <f t="shared" si="160"/>
        <v>1256</v>
      </c>
      <c r="P1061" s="358"/>
      <c r="Q1061" s="42">
        <v>684031</v>
      </c>
      <c r="R1061" s="314">
        <f t="shared" si="159"/>
        <v>144</v>
      </c>
      <c r="S1061" s="358"/>
      <c r="T1061" s="42">
        <v>26950</v>
      </c>
      <c r="U1061" s="348">
        <f t="shared" si="166"/>
        <v>0</v>
      </c>
      <c r="V1061" s="41"/>
      <c r="W1061" s="42">
        <v>48790</v>
      </c>
      <c r="X1061" s="349">
        <f t="shared" si="167"/>
        <v>0</v>
      </c>
      <c r="Y1061" s="41"/>
      <c r="Z1061" s="243"/>
    </row>
    <row r="1062" spans="1:26">
      <c r="A1062" s="150">
        <v>45591</v>
      </c>
      <c r="B1062" s="350" t="s">
        <v>107</v>
      </c>
      <c r="C1062" s="42">
        <v>3966326</v>
      </c>
      <c r="D1062" s="315">
        <f t="shared" si="161"/>
        <v>0</v>
      </c>
      <c r="E1062" s="41"/>
      <c r="F1062" s="42">
        <v>9622131</v>
      </c>
      <c r="G1062" s="311">
        <f t="shared" si="164"/>
        <v>0</v>
      </c>
      <c r="H1062" s="312">
        <f t="shared" si="165"/>
        <v>-4.4060773480662982</v>
      </c>
      <c r="I1062" s="41"/>
      <c r="J1062" s="42">
        <v>5384576</v>
      </c>
      <c r="K1062" s="313">
        <f t="shared" si="158"/>
        <v>0</v>
      </c>
      <c r="L1062" s="374">
        <f t="shared" si="162"/>
        <v>0</v>
      </c>
      <c r="M1062" s="41"/>
      <c r="N1062" s="42">
        <v>935485</v>
      </c>
      <c r="O1062" s="236">
        <f t="shared" si="160"/>
        <v>0</v>
      </c>
      <c r="P1062" s="358"/>
      <c r="Q1062" s="42">
        <v>684370</v>
      </c>
      <c r="R1062" s="314">
        <f t="shared" si="159"/>
        <v>339</v>
      </c>
      <c r="S1062" s="358"/>
      <c r="T1062" s="42">
        <v>26950</v>
      </c>
      <c r="U1062" s="348">
        <f t="shared" si="166"/>
        <v>0</v>
      </c>
      <c r="V1062" s="41"/>
      <c r="W1062" s="42">
        <v>48790</v>
      </c>
      <c r="X1062" s="349">
        <f t="shared" si="167"/>
        <v>0</v>
      </c>
      <c r="Y1062" s="41"/>
      <c r="Z1062" s="243"/>
    </row>
    <row r="1063" spans="1:26">
      <c r="A1063" s="150">
        <v>45592</v>
      </c>
      <c r="B1063" s="350" t="s">
        <v>36</v>
      </c>
      <c r="C1063" s="42">
        <v>3966326</v>
      </c>
      <c r="D1063" s="315">
        <f t="shared" si="161"/>
        <v>0</v>
      </c>
      <c r="E1063" s="41"/>
      <c r="F1063" s="42">
        <v>9622131</v>
      </c>
      <c r="G1063" s="311">
        <f t="shared" si="164"/>
        <v>0</v>
      </c>
      <c r="H1063" s="312">
        <f t="shared" si="165"/>
        <v>-4.4060773480662982</v>
      </c>
      <c r="I1063" s="41"/>
      <c r="J1063" s="42">
        <v>5384576</v>
      </c>
      <c r="K1063" s="313">
        <f t="shared" si="158"/>
        <v>0</v>
      </c>
      <c r="L1063" s="374">
        <f t="shared" si="162"/>
        <v>0</v>
      </c>
      <c r="M1063" s="41"/>
      <c r="N1063" s="42">
        <v>935485</v>
      </c>
      <c r="O1063" s="236">
        <f t="shared" si="160"/>
        <v>0</v>
      </c>
      <c r="P1063" s="358"/>
      <c r="Q1063" s="42">
        <v>684370</v>
      </c>
      <c r="R1063" s="314">
        <f t="shared" si="159"/>
        <v>0</v>
      </c>
      <c r="S1063" s="358"/>
      <c r="T1063" s="42">
        <v>26950</v>
      </c>
      <c r="U1063" s="348">
        <f t="shared" si="166"/>
        <v>0</v>
      </c>
      <c r="V1063" s="41"/>
      <c r="W1063" s="42">
        <v>48790</v>
      </c>
      <c r="X1063" s="349">
        <f t="shared" si="167"/>
        <v>0</v>
      </c>
      <c r="Y1063" s="41"/>
      <c r="Z1063" s="243"/>
    </row>
    <row r="1064" spans="1:26">
      <c r="A1064" s="150">
        <v>45593</v>
      </c>
      <c r="B1064" s="350" t="s">
        <v>108</v>
      </c>
      <c r="C1064" s="42">
        <v>3966326</v>
      </c>
      <c r="D1064" s="315">
        <f t="shared" si="161"/>
        <v>1563</v>
      </c>
      <c r="E1064" s="41"/>
      <c r="F1064" s="42">
        <v>9622131</v>
      </c>
      <c r="G1064" s="311">
        <f t="shared" si="164"/>
        <v>0</v>
      </c>
      <c r="H1064" s="312">
        <f t="shared" si="165"/>
        <v>-8.8397790055248615E-2</v>
      </c>
      <c r="I1064" s="41"/>
      <c r="J1064" s="42">
        <v>5384576</v>
      </c>
      <c r="K1064" s="313">
        <f t="shared" si="158"/>
        <v>6438</v>
      </c>
      <c r="L1064" s="374">
        <f t="shared" si="162"/>
        <v>47.68888888888889</v>
      </c>
      <c r="M1064" s="41"/>
      <c r="N1064" s="42">
        <v>935485</v>
      </c>
      <c r="O1064" s="236">
        <f t="shared" si="160"/>
        <v>769</v>
      </c>
      <c r="P1064" s="358"/>
      <c r="Q1064" s="42">
        <v>684370</v>
      </c>
      <c r="R1064" s="314">
        <f t="shared" si="159"/>
        <v>0</v>
      </c>
      <c r="S1064" s="358"/>
      <c r="T1064" s="42">
        <v>26950</v>
      </c>
      <c r="U1064" s="348">
        <f t="shared" si="166"/>
        <v>0</v>
      </c>
      <c r="V1064" s="41"/>
      <c r="W1064" s="42">
        <v>48790</v>
      </c>
      <c r="X1064" s="349">
        <f t="shared" si="167"/>
        <v>0</v>
      </c>
      <c r="Y1064" s="41"/>
      <c r="Z1064" s="243"/>
    </row>
    <row r="1065" spans="1:26">
      <c r="A1065" s="150">
        <v>45594</v>
      </c>
      <c r="B1065" s="350" t="s">
        <v>109</v>
      </c>
      <c r="C1065" s="42">
        <v>3967889</v>
      </c>
      <c r="D1065" s="315">
        <f t="shared" si="161"/>
        <v>10596</v>
      </c>
      <c r="E1065" s="41"/>
      <c r="F1065" s="42">
        <v>9622131</v>
      </c>
      <c r="G1065" s="311">
        <f t="shared" si="164"/>
        <v>27149</v>
      </c>
      <c r="H1065" s="312">
        <f t="shared" si="165"/>
        <v>99.861878453038671</v>
      </c>
      <c r="I1065" s="41"/>
      <c r="J1065" s="42">
        <v>5391014</v>
      </c>
      <c r="K1065" s="313">
        <f t="shared" si="158"/>
        <v>11632</v>
      </c>
      <c r="L1065" s="374">
        <f t="shared" si="162"/>
        <v>86.162962962962965</v>
      </c>
      <c r="M1065" s="41"/>
      <c r="N1065" s="42">
        <v>936254</v>
      </c>
      <c r="O1065" s="236">
        <f t="shared" si="160"/>
        <v>798</v>
      </c>
      <c r="P1065" s="358"/>
      <c r="Q1065" s="42">
        <v>684496</v>
      </c>
      <c r="R1065" s="314">
        <f t="shared" si="159"/>
        <v>126</v>
      </c>
      <c r="S1065" s="358"/>
      <c r="T1065" s="42">
        <v>26950</v>
      </c>
      <c r="U1065" s="348">
        <f t="shared" si="166"/>
        <v>0</v>
      </c>
      <c r="V1065" s="41"/>
      <c r="W1065" s="42">
        <v>48790</v>
      </c>
      <c r="X1065" s="349">
        <f t="shared" si="167"/>
        <v>0</v>
      </c>
      <c r="Y1065" s="41"/>
      <c r="Z1065" s="243"/>
    </row>
    <row r="1066" spans="1:26">
      <c r="A1066" s="150">
        <v>45595</v>
      </c>
      <c r="B1066" s="350" t="s">
        <v>110</v>
      </c>
      <c r="C1066" s="42">
        <v>3978485</v>
      </c>
      <c r="D1066" s="315">
        <f t="shared" si="161"/>
        <v>0</v>
      </c>
      <c r="E1066" s="41"/>
      <c r="F1066" s="42">
        <v>9649280</v>
      </c>
      <c r="G1066" s="311">
        <f t="shared" si="164"/>
        <v>0</v>
      </c>
      <c r="H1066" s="312">
        <f t="shared" si="165"/>
        <v>-4.4060773480662982</v>
      </c>
      <c r="I1066" s="41"/>
      <c r="J1066" s="42">
        <v>5402646</v>
      </c>
      <c r="K1066" s="313">
        <f t="shared" si="158"/>
        <v>0</v>
      </c>
      <c r="L1066" s="374">
        <f t="shared" si="162"/>
        <v>0</v>
      </c>
      <c r="M1066" s="41"/>
      <c r="N1066" s="42">
        <v>937052</v>
      </c>
      <c r="O1066" s="236">
        <f t="shared" si="160"/>
        <v>791</v>
      </c>
      <c r="P1066" s="358"/>
      <c r="Q1066" s="42">
        <v>684842</v>
      </c>
      <c r="R1066" s="314">
        <f t="shared" si="159"/>
        <v>346</v>
      </c>
      <c r="S1066" s="358"/>
      <c r="T1066" s="42">
        <v>26950</v>
      </c>
      <c r="U1066" s="348">
        <f t="shared" si="166"/>
        <v>0</v>
      </c>
      <c r="V1066" s="41"/>
      <c r="W1066" s="42">
        <v>48790</v>
      </c>
      <c r="X1066" s="349">
        <f t="shared" si="167"/>
        <v>0</v>
      </c>
      <c r="Y1066" s="41"/>
      <c r="Z1066" s="243"/>
    </row>
    <row r="1067" spans="1:26">
      <c r="A1067" s="150">
        <v>45596</v>
      </c>
      <c r="B1067" s="350" t="s">
        <v>111</v>
      </c>
      <c r="C1067" s="42">
        <v>3978485</v>
      </c>
      <c r="D1067" s="315">
        <f t="shared" si="161"/>
        <v>3354</v>
      </c>
      <c r="E1067" s="41"/>
      <c r="F1067" s="42">
        <v>9649280</v>
      </c>
      <c r="G1067" s="311">
        <f t="shared" si="164"/>
        <v>8953</v>
      </c>
      <c r="H1067" s="312">
        <f t="shared" si="165"/>
        <v>29.591160220994475</v>
      </c>
      <c r="I1067" s="41"/>
      <c r="J1067" s="42">
        <v>5402646</v>
      </c>
      <c r="K1067" s="313">
        <f t="shared" si="158"/>
        <v>4019</v>
      </c>
      <c r="L1067" s="374">
        <f t="shared" si="162"/>
        <v>29.770370370370369</v>
      </c>
      <c r="M1067" s="41"/>
      <c r="N1067" s="42">
        <v>937843</v>
      </c>
      <c r="O1067" s="236">
        <f t="shared" si="160"/>
        <v>920</v>
      </c>
      <c r="P1067" s="358"/>
      <c r="Q1067" s="42">
        <v>684842</v>
      </c>
      <c r="R1067" s="314">
        <f t="shared" si="159"/>
        <v>0</v>
      </c>
      <c r="S1067" s="358"/>
      <c r="T1067" s="42">
        <v>26950</v>
      </c>
      <c r="U1067" s="348">
        <f t="shared" si="166"/>
        <v>0</v>
      </c>
      <c r="V1067" s="41"/>
      <c r="W1067" s="42">
        <v>48790</v>
      </c>
      <c r="X1067" s="349">
        <f t="shared" si="167"/>
        <v>0</v>
      </c>
      <c r="Y1067" s="41"/>
      <c r="Z1067" s="243"/>
    </row>
    <row r="1068" spans="1:26">
      <c r="A1068" s="150">
        <v>45597</v>
      </c>
      <c r="B1068" s="350" t="s">
        <v>106</v>
      </c>
      <c r="C1068" s="42">
        <v>3981839</v>
      </c>
      <c r="D1068" s="315">
        <f t="shared" si="161"/>
        <v>5616</v>
      </c>
      <c r="E1068" s="41"/>
      <c r="F1068" s="42">
        <v>9658233</v>
      </c>
      <c r="G1068" s="311">
        <f t="shared" si="164"/>
        <v>21945</v>
      </c>
      <c r="H1068" s="312">
        <f t="shared" si="165"/>
        <v>71.729281767955797</v>
      </c>
      <c r="I1068" s="41"/>
      <c r="J1068" s="42">
        <v>5406665</v>
      </c>
      <c r="K1068" s="313">
        <f t="shared" si="158"/>
        <v>10276</v>
      </c>
      <c r="L1068" s="374">
        <f t="shared" si="162"/>
        <v>76.118518518518513</v>
      </c>
      <c r="M1068" s="41"/>
      <c r="N1068" s="42">
        <v>938763</v>
      </c>
      <c r="O1068" s="236">
        <f t="shared" si="160"/>
        <v>1200</v>
      </c>
      <c r="P1068" s="358"/>
      <c r="Q1068" s="42">
        <v>685120</v>
      </c>
      <c r="R1068" s="314">
        <f t="shared" si="159"/>
        <v>278</v>
      </c>
      <c r="S1068" s="358"/>
      <c r="T1068" s="42">
        <v>26950</v>
      </c>
      <c r="U1068" s="348">
        <f t="shared" si="166"/>
        <v>0</v>
      </c>
      <c r="V1068" s="41"/>
      <c r="W1068" s="42">
        <v>48790</v>
      </c>
      <c r="X1068" s="349">
        <f t="shared" si="167"/>
        <v>0</v>
      </c>
      <c r="Y1068" s="41"/>
      <c r="Z1068" s="243"/>
    </row>
    <row r="1069" spans="1:26">
      <c r="A1069" s="150">
        <v>45598</v>
      </c>
      <c r="B1069" s="350" t="s">
        <v>107</v>
      </c>
      <c r="C1069" s="42">
        <v>3987455</v>
      </c>
      <c r="D1069" s="315">
        <f t="shared" si="161"/>
        <v>0</v>
      </c>
      <c r="E1069" s="41"/>
      <c r="F1069" s="42">
        <v>9680178</v>
      </c>
      <c r="G1069" s="311">
        <f t="shared" si="164"/>
        <v>0</v>
      </c>
      <c r="H1069" s="312">
        <f t="shared" si="165"/>
        <v>-4.4060773480662982</v>
      </c>
      <c r="I1069" s="41"/>
      <c r="J1069" s="42">
        <v>5416941</v>
      </c>
      <c r="K1069" s="313">
        <f t="shared" si="158"/>
        <v>0</v>
      </c>
      <c r="L1069" s="374">
        <f t="shared" si="162"/>
        <v>0</v>
      </c>
      <c r="M1069" s="41"/>
      <c r="N1069" s="42">
        <v>939963</v>
      </c>
      <c r="O1069" s="236">
        <f t="shared" si="160"/>
        <v>0</v>
      </c>
      <c r="P1069" s="358"/>
      <c r="Q1069" s="42">
        <v>685637</v>
      </c>
      <c r="R1069" s="314">
        <f t="shared" si="159"/>
        <v>517</v>
      </c>
      <c r="S1069" s="358"/>
      <c r="T1069" s="42">
        <v>26950</v>
      </c>
      <c r="U1069" s="348">
        <f t="shared" si="166"/>
        <v>0</v>
      </c>
      <c r="V1069" s="41"/>
      <c r="W1069" s="42">
        <v>48790</v>
      </c>
      <c r="X1069" s="349">
        <f t="shared" si="167"/>
        <v>0</v>
      </c>
      <c r="Y1069" s="41"/>
      <c r="Z1069" s="243"/>
    </row>
    <row r="1070" spans="1:26">
      <c r="A1070" s="150">
        <v>45599</v>
      </c>
      <c r="B1070" s="350" t="s">
        <v>36</v>
      </c>
      <c r="C1070" s="42">
        <v>3987455</v>
      </c>
      <c r="D1070" s="315">
        <f t="shared" si="161"/>
        <v>0</v>
      </c>
      <c r="E1070" s="41"/>
      <c r="F1070" s="42">
        <v>9680178</v>
      </c>
      <c r="G1070" s="311">
        <f t="shared" si="164"/>
        <v>0</v>
      </c>
      <c r="H1070" s="312">
        <f t="shared" si="165"/>
        <v>-4.4060773480662982</v>
      </c>
      <c r="I1070" s="41"/>
      <c r="J1070" s="42">
        <v>5416941</v>
      </c>
      <c r="K1070" s="313">
        <f t="shared" si="158"/>
        <v>0</v>
      </c>
      <c r="L1070" s="374">
        <f t="shared" si="162"/>
        <v>0</v>
      </c>
      <c r="M1070" s="41"/>
      <c r="N1070" s="42">
        <v>939963</v>
      </c>
      <c r="O1070" s="236">
        <f t="shared" si="160"/>
        <v>0</v>
      </c>
      <c r="P1070" s="358"/>
      <c r="Q1070" s="42">
        <v>685637</v>
      </c>
      <c r="R1070" s="314">
        <f t="shared" si="159"/>
        <v>0</v>
      </c>
      <c r="S1070" s="358"/>
      <c r="T1070" s="42">
        <v>26950</v>
      </c>
      <c r="U1070" s="348">
        <f t="shared" si="166"/>
        <v>0</v>
      </c>
      <c r="V1070" s="41"/>
      <c r="W1070" s="42">
        <v>48790</v>
      </c>
      <c r="X1070" s="349">
        <f t="shared" si="167"/>
        <v>0</v>
      </c>
      <c r="Y1070" s="41"/>
      <c r="Z1070" s="243"/>
    </row>
    <row r="1071" spans="1:26">
      <c r="A1071" s="150">
        <v>45600</v>
      </c>
      <c r="B1071" s="350" t="s">
        <v>108</v>
      </c>
      <c r="C1071" s="42">
        <v>3987455</v>
      </c>
      <c r="D1071" s="315">
        <f t="shared" si="161"/>
        <v>3858</v>
      </c>
      <c r="E1071" s="41"/>
      <c r="F1071" s="42">
        <v>9680178</v>
      </c>
      <c r="G1071" s="311">
        <f t="shared" si="164"/>
        <v>9978</v>
      </c>
      <c r="H1071" s="312">
        <f t="shared" si="165"/>
        <v>33.814917127071823</v>
      </c>
      <c r="I1071" s="41"/>
      <c r="J1071" s="42">
        <v>5416941</v>
      </c>
      <c r="K1071" s="313">
        <f t="shared" si="158"/>
        <v>4823</v>
      </c>
      <c r="L1071" s="374">
        <f t="shared" si="162"/>
        <v>35.725925925925928</v>
      </c>
      <c r="M1071" s="41"/>
      <c r="N1071" s="42">
        <v>939963</v>
      </c>
      <c r="O1071" s="236">
        <f t="shared" si="160"/>
        <v>781</v>
      </c>
      <c r="P1071" s="358"/>
      <c r="Q1071" s="42">
        <v>685637</v>
      </c>
      <c r="R1071" s="314">
        <f t="shared" si="159"/>
        <v>0</v>
      </c>
      <c r="S1071" s="358"/>
      <c r="T1071" s="42">
        <v>26950</v>
      </c>
      <c r="U1071" s="348">
        <f t="shared" si="166"/>
        <v>0</v>
      </c>
      <c r="V1071" s="41"/>
      <c r="W1071" s="42">
        <v>48790</v>
      </c>
      <c r="X1071" s="349">
        <f t="shared" si="167"/>
        <v>0</v>
      </c>
      <c r="Y1071" s="41"/>
      <c r="Z1071" s="243"/>
    </row>
    <row r="1072" spans="1:26">
      <c r="A1072" s="150">
        <v>45601</v>
      </c>
      <c r="B1072" s="350" t="s">
        <v>109</v>
      </c>
      <c r="C1072" s="42">
        <v>3991313</v>
      </c>
      <c r="D1072" s="315">
        <f>IF(C1073&gt;0,C1073-C1072," ")</f>
        <v>4772</v>
      </c>
      <c r="E1072" s="41"/>
      <c r="F1072" s="42">
        <v>9690156</v>
      </c>
      <c r="G1072" s="311">
        <f t="shared" si="164"/>
        <v>12168</v>
      </c>
      <c r="H1072" s="312">
        <f t="shared" si="165"/>
        <v>42.389502762430936</v>
      </c>
      <c r="I1072" s="41"/>
      <c r="J1072" s="42">
        <v>5421764</v>
      </c>
      <c r="K1072" s="313">
        <f t="shared" si="158"/>
        <v>8951</v>
      </c>
      <c r="L1072" s="374">
        <f t="shared" si="162"/>
        <v>66.303703703703704</v>
      </c>
      <c r="M1072" s="41"/>
      <c r="N1072" s="42">
        <v>940744</v>
      </c>
      <c r="O1072" s="236">
        <f t="shared" si="160"/>
        <v>777</v>
      </c>
      <c r="P1072" s="358"/>
      <c r="Q1072" s="42">
        <v>685862</v>
      </c>
      <c r="R1072" s="314">
        <f t="shared" si="159"/>
        <v>225</v>
      </c>
      <c r="S1072" s="358"/>
      <c r="T1072" s="42">
        <v>26950</v>
      </c>
      <c r="U1072" s="348">
        <f t="shared" si="166"/>
        <v>0</v>
      </c>
      <c r="V1072" s="41"/>
      <c r="W1072" s="42">
        <v>48790</v>
      </c>
      <c r="X1072" s="349">
        <f t="shared" si="167"/>
        <v>0</v>
      </c>
      <c r="Y1072" s="41"/>
      <c r="Z1072" s="243"/>
    </row>
    <row r="1073" spans="1:26">
      <c r="A1073" s="150">
        <v>45602</v>
      </c>
      <c r="B1073" s="350" t="s">
        <v>110</v>
      </c>
      <c r="C1073" s="42">
        <v>3996085</v>
      </c>
      <c r="D1073" s="315">
        <f t="shared" si="161"/>
        <v>4656</v>
      </c>
      <c r="E1073" s="41"/>
      <c r="F1073" s="42">
        <v>9702324</v>
      </c>
      <c r="G1073" s="311">
        <f t="shared" si="164"/>
        <v>12077</v>
      </c>
      <c r="H1073" s="312">
        <f t="shared" si="165"/>
        <v>41.817679558011051</v>
      </c>
      <c r="I1073" s="41"/>
      <c r="J1073" s="42">
        <v>5430715</v>
      </c>
      <c r="K1073" s="313">
        <f t="shared" si="158"/>
        <v>4673</v>
      </c>
      <c r="L1073" s="374">
        <f t="shared" si="162"/>
        <v>34.614814814814814</v>
      </c>
      <c r="M1073" s="41"/>
      <c r="N1073" s="42">
        <v>941521</v>
      </c>
      <c r="O1073" s="236">
        <f t="shared" si="160"/>
        <v>740</v>
      </c>
      <c r="P1073" s="358"/>
      <c r="Q1073" s="42">
        <v>685954</v>
      </c>
      <c r="R1073" s="314">
        <f t="shared" si="159"/>
        <v>92</v>
      </c>
      <c r="S1073" s="358"/>
      <c r="T1073" s="42">
        <v>26950</v>
      </c>
      <c r="U1073" s="348">
        <f t="shared" si="166"/>
        <v>0</v>
      </c>
      <c r="V1073" s="41"/>
      <c r="W1073" s="42">
        <v>48790</v>
      </c>
      <c r="X1073" s="349">
        <f t="shared" si="167"/>
        <v>0</v>
      </c>
      <c r="Y1073" s="41"/>
      <c r="Z1073" s="243"/>
    </row>
    <row r="1074" spans="1:26">
      <c r="A1074" s="150">
        <v>45603</v>
      </c>
      <c r="B1074" s="350" t="s">
        <v>111</v>
      </c>
      <c r="C1074" s="42">
        <v>4000741</v>
      </c>
      <c r="D1074" s="315">
        <f t="shared" si="161"/>
        <v>5056</v>
      </c>
      <c r="E1074" s="41"/>
      <c r="F1074" s="42">
        <v>9714401</v>
      </c>
      <c r="G1074" s="311">
        <f t="shared" si="164"/>
        <v>12777</v>
      </c>
      <c r="H1074" s="312">
        <f t="shared" si="165"/>
        <v>44.856353591160222</v>
      </c>
      <c r="I1074" s="41"/>
      <c r="J1074" s="42">
        <v>5435388</v>
      </c>
      <c r="K1074" s="313">
        <f t="shared" si="158"/>
        <v>6140</v>
      </c>
      <c r="L1074" s="374">
        <f t="shared" si="162"/>
        <v>45.481481481481481</v>
      </c>
      <c r="M1074" s="41"/>
      <c r="N1074" s="42">
        <v>942261</v>
      </c>
      <c r="O1074" s="236">
        <f t="shared" si="160"/>
        <v>850</v>
      </c>
      <c r="P1074" s="358"/>
      <c r="Q1074" s="42">
        <v>686075</v>
      </c>
      <c r="R1074" s="314">
        <f t="shared" si="159"/>
        <v>121</v>
      </c>
      <c r="S1074" s="358"/>
      <c r="T1074" s="42">
        <v>26950</v>
      </c>
      <c r="U1074" s="348">
        <f t="shared" si="166"/>
        <v>0</v>
      </c>
      <c r="V1074" s="41"/>
      <c r="W1074" s="42">
        <v>48790</v>
      </c>
      <c r="X1074" s="349">
        <f t="shared" si="167"/>
        <v>0</v>
      </c>
      <c r="Y1074" s="41"/>
      <c r="Z1074" s="243"/>
    </row>
    <row r="1075" spans="1:26">
      <c r="A1075" s="150">
        <v>45604</v>
      </c>
      <c r="B1075" s="350" t="s">
        <v>106</v>
      </c>
      <c r="C1075" s="42">
        <v>4005797</v>
      </c>
      <c r="D1075" s="315">
        <f t="shared" si="161"/>
        <v>4945</v>
      </c>
      <c r="E1075" s="41"/>
      <c r="F1075" s="42">
        <v>9727178</v>
      </c>
      <c r="G1075" s="311">
        <v>943111</v>
      </c>
      <c r="H1075" s="312">
        <f t="shared" si="165"/>
        <v>2614.5331491712709</v>
      </c>
      <c r="I1075" s="41"/>
      <c r="J1075" s="42">
        <v>5441528</v>
      </c>
      <c r="K1075" s="313">
        <f t="shared" si="158"/>
        <v>10495</v>
      </c>
      <c r="L1075" s="96"/>
      <c r="M1075" s="41"/>
      <c r="N1075" s="42">
        <v>943111</v>
      </c>
      <c r="O1075" s="236">
        <f t="shared" si="160"/>
        <v>831</v>
      </c>
      <c r="P1075" s="358"/>
      <c r="Q1075" s="42">
        <v>686198</v>
      </c>
      <c r="R1075" s="314">
        <f t="shared" si="159"/>
        <v>123</v>
      </c>
      <c r="S1075" s="358"/>
      <c r="T1075" s="42">
        <v>26950</v>
      </c>
      <c r="U1075" s="348">
        <f t="shared" si="166"/>
        <v>0</v>
      </c>
      <c r="V1075" s="41"/>
      <c r="W1075" s="42">
        <v>48790</v>
      </c>
      <c r="X1075" s="349">
        <f t="shared" si="167"/>
        <v>0</v>
      </c>
      <c r="Y1075" s="41"/>
      <c r="Z1075" s="243"/>
    </row>
    <row r="1076" spans="1:26">
      <c r="A1076" s="150">
        <v>45605</v>
      </c>
      <c r="B1076" s="350" t="s">
        <v>107</v>
      </c>
      <c r="C1076" s="42">
        <v>4010742</v>
      </c>
      <c r="D1076" s="315">
        <f t="shared" si="161"/>
        <v>0</v>
      </c>
      <c r="E1076" s="41"/>
      <c r="F1076" s="42">
        <v>9748070</v>
      </c>
      <c r="G1076" s="311">
        <f t="shared" si="164"/>
        <v>0</v>
      </c>
      <c r="H1076" s="312">
        <f t="shared" si="165"/>
        <v>-4.4060773480662982</v>
      </c>
      <c r="I1076" s="41"/>
      <c r="J1076" s="42">
        <v>5452023</v>
      </c>
      <c r="K1076" s="313">
        <f t="shared" ref="K1076:K1139" si="168">IF(J1077&gt;0,J1077-J1076," ")</f>
        <v>0</v>
      </c>
      <c r="L1076" s="96"/>
      <c r="M1076" s="41"/>
      <c r="N1076" s="376">
        <v>943942</v>
      </c>
      <c r="O1076" s="236">
        <f t="shared" si="160"/>
        <v>776</v>
      </c>
      <c r="P1076" s="358"/>
      <c r="Q1076" s="42">
        <v>686375</v>
      </c>
      <c r="R1076" s="314">
        <f t="shared" si="159"/>
        <v>177</v>
      </c>
      <c r="S1076" s="358"/>
      <c r="T1076" s="42">
        <v>26950</v>
      </c>
      <c r="U1076" s="348">
        <f t="shared" si="166"/>
        <v>0</v>
      </c>
      <c r="V1076" s="41"/>
      <c r="W1076" s="42">
        <v>48790</v>
      </c>
      <c r="X1076" s="349">
        <f t="shared" si="167"/>
        <v>0</v>
      </c>
      <c r="Y1076" s="41"/>
      <c r="Z1076" s="243"/>
    </row>
    <row r="1077" spans="1:26">
      <c r="A1077" s="150">
        <v>45606</v>
      </c>
      <c r="B1077" s="350" t="s">
        <v>36</v>
      </c>
      <c r="C1077" s="42">
        <v>4010742</v>
      </c>
      <c r="D1077" s="315">
        <f t="shared" si="161"/>
        <v>0</v>
      </c>
      <c r="E1077" s="41"/>
      <c r="F1077" s="42">
        <v>9748070</v>
      </c>
      <c r="G1077" s="311">
        <f t="shared" si="164"/>
        <v>0</v>
      </c>
      <c r="H1077" s="312">
        <f t="shared" si="165"/>
        <v>-4.4060773480662982</v>
      </c>
      <c r="I1077" s="41"/>
      <c r="J1077" s="42">
        <v>5452023</v>
      </c>
      <c r="K1077" s="313">
        <f t="shared" si="168"/>
        <v>0</v>
      </c>
      <c r="L1077" s="96"/>
      <c r="M1077" s="41"/>
      <c r="N1077" s="42">
        <v>944718</v>
      </c>
      <c r="O1077" s="236">
        <f t="shared" si="160"/>
        <v>720</v>
      </c>
      <c r="P1077" s="358"/>
      <c r="Q1077" s="42">
        <v>686375</v>
      </c>
      <c r="R1077" s="314">
        <f t="shared" si="159"/>
        <v>0</v>
      </c>
      <c r="S1077" s="358"/>
      <c r="T1077" s="42">
        <v>26950</v>
      </c>
      <c r="U1077" s="348">
        <f t="shared" si="166"/>
        <v>0</v>
      </c>
      <c r="V1077" s="41"/>
      <c r="W1077" s="42">
        <v>48790</v>
      </c>
      <c r="X1077" s="349">
        <f t="shared" si="167"/>
        <v>0</v>
      </c>
      <c r="Y1077" s="41"/>
      <c r="Z1077" s="243"/>
    </row>
    <row r="1078" spans="1:26">
      <c r="A1078" s="150">
        <v>45607</v>
      </c>
      <c r="B1078" s="350" t="s">
        <v>108</v>
      </c>
      <c r="C1078" s="42">
        <v>4010742</v>
      </c>
      <c r="D1078" s="315">
        <f t="shared" si="161"/>
        <v>4064</v>
      </c>
      <c r="E1078" s="41"/>
      <c r="F1078" s="42">
        <v>9748070</v>
      </c>
      <c r="G1078" s="311">
        <f t="shared" si="164"/>
        <v>10982</v>
      </c>
      <c r="H1078" s="312">
        <f t="shared" si="165"/>
        <v>37.157458563535911</v>
      </c>
      <c r="I1078" s="41"/>
      <c r="J1078" s="42">
        <v>5452023</v>
      </c>
      <c r="K1078" s="313">
        <f t="shared" si="168"/>
        <v>6755</v>
      </c>
      <c r="L1078" s="96"/>
      <c r="M1078" s="41"/>
      <c r="N1078" s="42">
        <v>945438</v>
      </c>
      <c r="O1078" s="236">
        <f t="shared" si="160"/>
        <v>0</v>
      </c>
      <c r="P1078" s="358"/>
      <c r="Q1078" s="42">
        <v>686375</v>
      </c>
      <c r="R1078" s="314">
        <f t="shared" si="159"/>
        <v>0</v>
      </c>
      <c r="S1078" s="358"/>
      <c r="T1078" s="42">
        <v>26950</v>
      </c>
      <c r="U1078" s="348">
        <f t="shared" si="166"/>
        <v>0</v>
      </c>
      <c r="V1078" s="41"/>
      <c r="W1078" s="42">
        <v>48790</v>
      </c>
      <c r="X1078" s="349">
        <f t="shared" si="167"/>
        <v>0</v>
      </c>
      <c r="Y1078" s="41"/>
      <c r="Z1078" s="243"/>
    </row>
    <row r="1079" spans="1:26">
      <c r="A1079" s="150">
        <v>45608</v>
      </c>
      <c r="B1079" s="350" t="s">
        <v>109</v>
      </c>
      <c r="C1079" s="42">
        <v>4014806</v>
      </c>
      <c r="D1079" s="315">
        <f t="shared" si="161"/>
        <v>4873</v>
      </c>
      <c r="E1079" s="41"/>
      <c r="F1079" s="42">
        <v>9759052</v>
      </c>
      <c r="G1079" s="311">
        <f>IF(F1080&gt;0,F1080-F1079," ")</f>
        <v>13077</v>
      </c>
      <c r="H1079" s="312">
        <f t="shared" si="165"/>
        <v>45.179558011049721</v>
      </c>
      <c r="I1079" s="41"/>
      <c r="J1079" s="42">
        <v>5458778</v>
      </c>
      <c r="K1079" s="313">
        <f t="shared" si="168"/>
        <v>8974</v>
      </c>
      <c r="L1079" s="96"/>
      <c r="M1079" s="41"/>
      <c r="N1079" s="42">
        <v>945438</v>
      </c>
      <c r="O1079" s="236">
        <f t="shared" si="160"/>
        <v>852</v>
      </c>
      <c r="P1079" s="358"/>
      <c r="Q1079" s="42">
        <v>686598</v>
      </c>
      <c r="R1079" s="314">
        <f t="shared" si="159"/>
        <v>223</v>
      </c>
      <c r="S1079" s="358"/>
      <c r="T1079" s="42">
        <v>26950</v>
      </c>
      <c r="U1079" s="348">
        <f t="shared" si="166"/>
        <v>0</v>
      </c>
      <c r="V1079" s="41"/>
      <c r="W1079" s="42">
        <v>48790</v>
      </c>
      <c r="X1079" s="349">
        <f t="shared" si="167"/>
        <v>0</v>
      </c>
      <c r="Y1079" s="41"/>
      <c r="Z1079" s="243"/>
    </row>
    <row r="1080" spans="1:26">
      <c r="A1080" s="150">
        <v>45609</v>
      </c>
      <c r="B1080" s="350" t="s">
        <v>110</v>
      </c>
      <c r="C1080" s="42">
        <v>4019679</v>
      </c>
      <c r="D1080" s="315">
        <f t="shared" si="161"/>
        <v>4788</v>
      </c>
      <c r="E1080" s="41"/>
      <c r="F1080" s="42">
        <v>9772129</v>
      </c>
      <c r="G1080" s="311">
        <f>IF(F1081&gt;0,F1081-F1080," ")</f>
        <v>12705</v>
      </c>
      <c r="H1080" s="312">
        <f t="shared" si="165"/>
        <v>43.917127071823202</v>
      </c>
      <c r="I1080" s="41"/>
      <c r="J1080" s="42">
        <v>5467752</v>
      </c>
      <c r="K1080" s="313">
        <f t="shared" si="168"/>
        <v>3055</v>
      </c>
      <c r="L1080" s="96"/>
      <c r="M1080" s="41"/>
      <c r="N1080" s="42">
        <v>946290</v>
      </c>
      <c r="O1080" s="236">
        <f t="shared" si="160"/>
        <v>932</v>
      </c>
      <c r="P1080" s="358"/>
      <c r="Q1080" s="42">
        <v>686972</v>
      </c>
      <c r="R1080" s="314">
        <f t="shared" si="159"/>
        <v>374</v>
      </c>
      <c r="S1080" s="358"/>
      <c r="T1080" s="42">
        <v>26950</v>
      </c>
      <c r="U1080" s="348">
        <f t="shared" si="166"/>
        <v>0</v>
      </c>
      <c r="V1080" s="41"/>
      <c r="W1080" s="42">
        <v>48790</v>
      </c>
      <c r="X1080" s="349">
        <f t="shared" si="167"/>
        <v>0</v>
      </c>
      <c r="Y1080" s="41"/>
      <c r="Z1080" s="243"/>
    </row>
    <row r="1081" spans="1:26">
      <c r="A1081" s="150">
        <v>45610</v>
      </c>
      <c r="B1081" s="350" t="s">
        <v>111</v>
      </c>
      <c r="C1081" s="42">
        <v>4024467</v>
      </c>
      <c r="D1081" s="315">
        <f t="shared" si="161"/>
        <v>30354</v>
      </c>
      <c r="E1081" s="41"/>
      <c r="F1081" s="42">
        <v>9784834</v>
      </c>
      <c r="G1081" s="311">
        <f t="shared" ref="G1081:G1145" si="169">IF(F1082&gt;0,F1082-F1081," ")</f>
        <v>73366</v>
      </c>
      <c r="H1081" s="312">
        <f t="shared" si="165"/>
        <v>282.11325966850831</v>
      </c>
      <c r="I1081" s="41"/>
      <c r="J1081" s="42">
        <v>5470807</v>
      </c>
      <c r="K1081" s="313">
        <f t="shared" si="168"/>
        <v>19318</v>
      </c>
      <c r="L1081" s="96"/>
      <c r="M1081" s="41"/>
      <c r="N1081" s="42">
        <v>947222</v>
      </c>
      <c r="O1081" s="236">
        <f t="shared" si="160"/>
        <v>1042</v>
      </c>
      <c r="P1081" s="358"/>
      <c r="Q1081" s="42">
        <v>686868</v>
      </c>
      <c r="R1081" s="314">
        <f t="shared" si="159"/>
        <v>-104</v>
      </c>
      <c r="S1081" s="358"/>
      <c r="T1081" s="42">
        <v>26950</v>
      </c>
      <c r="U1081" s="348">
        <f t="shared" si="166"/>
        <v>0</v>
      </c>
      <c r="V1081" s="41"/>
      <c r="W1081" s="42">
        <v>48790</v>
      </c>
      <c r="X1081" s="349">
        <f t="shared" si="167"/>
        <v>0</v>
      </c>
      <c r="Y1081" s="41"/>
      <c r="Z1081" s="243"/>
    </row>
    <row r="1082" spans="1:26">
      <c r="A1082" s="150">
        <v>45611</v>
      </c>
      <c r="B1082" s="350" t="s">
        <v>106</v>
      </c>
      <c r="C1082" s="42">
        <v>4054821</v>
      </c>
      <c r="D1082" s="315">
        <f t="shared" si="161"/>
        <v>0</v>
      </c>
      <c r="E1082" s="41"/>
      <c r="F1082" s="42">
        <v>9858200</v>
      </c>
      <c r="G1082" s="311">
        <f t="shared" si="169"/>
        <v>0</v>
      </c>
      <c r="H1082" s="312">
        <f t="shared" si="165"/>
        <v>-4.4060773480662982</v>
      </c>
      <c r="I1082" s="41"/>
      <c r="J1082" s="42">
        <v>5490125</v>
      </c>
      <c r="K1082" s="313">
        <f t="shared" si="168"/>
        <v>0</v>
      </c>
      <c r="L1082" s="96"/>
      <c r="M1082" s="41"/>
      <c r="N1082" s="42">
        <v>948264</v>
      </c>
      <c r="O1082" s="236">
        <f t="shared" si="160"/>
        <v>0</v>
      </c>
      <c r="P1082" s="358"/>
      <c r="Q1082" s="42">
        <v>687091</v>
      </c>
      <c r="R1082" s="314">
        <f t="shared" si="159"/>
        <v>223</v>
      </c>
      <c r="S1082" s="358"/>
      <c r="T1082" s="42">
        <v>26950</v>
      </c>
      <c r="U1082" s="348">
        <f t="shared" si="166"/>
        <v>0</v>
      </c>
      <c r="V1082" s="41"/>
      <c r="W1082" s="42">
        <v>48790</v>
      </c>
      <c r="X1082" s="349">
        <f t="shared" si="167"/>
        <v>0</v>
      </c>
      <c r="Y1082" s="41"/>
      <c r="Z1082" s="243"/>
    </row>
    <row r="1083" spans="1:26">
      <c r="A1083" s="150">
        <v>45612</v>
      </c>
      <c r="B1083" s="350" t="s">
        <v>107</v>
      </c>
      <c r="C1083" s="42">
        <v>4054821</v>
      </c>
      <c r="D1083" s="315">
        <f t="shared" si="161"/>
        <v>0</v>
      </c>
      <c r="E1083" s="41"/>
      <c r="F1083" s="42">
        <v>9858200</v>
      </c>
      <c r="G1083" s="311">
        <f t="shared" si="169"/>
        <v>0</v>
      </c>
      <c r="H1083" s="312">
        <f t="shared" si="165"/>
        <v>-4.4060773480662982</v>
      </c>
      <c r="I1083" s="41"/>
      <c r="J1083" s="42">
        <v>5490125</v>
      </c>
      <c r="K1083" s="313">
        <f t="shared" si="168"/>
        <v>0</v>
      </c>
      <c r="L1083" s="96"/>
      <c r="M1083" s="41"/>
      <c r="N1083" s="42">
        <v>948264</v>
      </c>
      <c r="O1083" s="236">
        <f t="shared" si="160"/>
        <v>803</v>
      </c>
      <c r="P1083" s="358"/>
      <c r="Q1083" s="42">
        <v>687091</v>
      </c>
      <c r="R1083" s="314">
        <f t="shared" si="159"/>
        <v>0</v>
      </c>
      <c r="S1083" s="358"/>
      <c r="T1083" s="42">
        <v>26950</v>
      </c>
      <c r="U1083" s="348">
        <f t="shared" si="166"/>
        <v>0</v>
      </c>
      <c r="V1083" s="41"/>
      <c r="W1083" s="42">
        <v>48790</v>
      </c>
      <c r="X1083" s="349">
        <f t="shared" si="167"/>
        <v>0</v>
      </c>
      <c r="Y1083" s="41"/>
      <c r="Z1083" s="243"/>
    </row>
    <row r="1084" spans="1:26">
      <c r="A1084" s="150">
        <v>45613</v>
      </c>
      <c r="B1084" s="350" t="s">
        <v>36</v>
      </c>
      <c r="C1084" s="42">
        <v>4054821</v>
      </c>
      <c r="D1084" s="315">
        <f t="shared" si="161"/>
        <v>0</v>
      </c>
      <c r="E1084" s="41"/>
      <c r="F1084" s="42">
        <v>9858200</v>
      </c>
      <c r="G1084" s="311">
        <f t="shared" si="169"/>
        <v>0</v>
      </c>
      <c r="H1084" s="312">
        <f t="shared" si="165"/>
        <v>-4.4060773480662982</v>
      </c>
      <c r="I1084" s="41"/>
      <c r="J1084" s="42">
        <v>5490125</v>
      </c>
      <c r="K1084" s="313">
        <f t="shared" si="168"/>
        <v>0</v>
      </c>
      <c r="L1084" s="96"/>
      <c r="M1084" s="41"/>
      <c r="N1084" s="42">
        <v>949067</v>
      </c>
      <c r="O1084" s="236">
        <f t="shared" si="160"/>
        <v>0</v>
      </c>
      <c r="P1084" s="358"/>
      <c r="Q1084" s="42">
        <v>687091</v>
      </c>
      <c r="R1084" s="314">
        <f t="shared" ref="R1084:R1150" si="170">Q1084-Q1083</f>
        <v>0</v>
      </c>
      <c r="S1084" s="358"/>
      <c r="T1084" s="42">
        <v>26950</v>
      </c>
      <c r="U1084" s="348">
        <f t="shared" si="166"/>
        <v>0</v>
      </c>
      <c r="V1084" s="41"/>
      <c r="W1084" s="42">
        <v>48790</v>
      </c>
      <c r="X1084" s="349">
        <f t="shared" si="167"/>
        <v>0</v>
      </c>
      <c r="Y1084" s="41"/>
      <c r="Z1084" s="243"/>
    </row>
    <row r="1085" spans="1:26">
      <c r="A1085" s="150">
        <v>45614</v>
      </c>
      <c r="B1085" s="350" t="s">
        <v>108</v>
      </c>
      <c r="C1085" s="42">
        <v>4054821</v>
      </c>
      <c r="D1085" s="315">
        <f t="shared" si="161"/>
        <v>0</v>
      </c>
      <c r="E1085" s="41"/>
      <c r="F1085" s="42">
        <v>9858200</v>
      </c>
      <c r="G1085" s="311">
        <f t="shared" si="169"/>
        <v>0</v>
      </c>
      <c r="H1085" s="312">
        <f t="shared" si="165"/>
        <v>-4.4060773480662982</v>
      </c>
      <c r="I1085" s="41"/>
      <c r="J1085" s="42">
        <v>5490125</v>
      </c>
      <c r="K1085" s="313">
        <f t="shared" si="168"/>
        <v>0</v>
      </c>
      <c r="L1085" s="96"/>
      <c r="M1085" s="41"/>
      <c r="N1085" s="42">
        <v>949067</v>
      </c>
      <c r="O1085" s="236">
        <f t="shared" si="160"/>
        <v>970</v>
      </c>
      <c r="P1085" s="358"/>
      <c r="Q1085" s="42">
        <v>687091</v>
      </c>
      <c r="R1085" s="314">
        <f t="shared" si="170"/>
        <v>0</v>
      </c>
      <c r="S1085" s="358"/>
      <c r="T1085" s="42">
        <v>26950</v>
      </c>
      <c r="U1085" s="348">
        <f t="shared" si="166"/>
        <v>0</v>
      </c>
      <c r="V1085" s="41"/>
      <c r="W1085" s="42">
        <v>48790</v>
      </c>
      <c r="X1085" s="349">
        <f t="shared" si="167"/>
        <v>0</v>
      </c>
      <c r="Y1085" s="41"/>
      <c r="Z1085" s="243"/>
    </row>
    <row r="1086" spans="1:26">
      <c r="A1086" s="150">
        <v>45615</v>
      </c>
      <c r="B1086" s="350" t="s">
        <v>109</v>
      </c>
      <c r="C1086" s="42">
        <v>4054821</v>
      </c>
      <c r="D1086" s="315">
        <f t="shared" si="161"/>
        <v>5085</v>
      </c>
      <c r="E1086" s="41"/>
      <c r="F1086" s="42">
        <v>9858200</v>
      </c>
      <c r="G1086" s="311">
        <f t="shared" si="169"/>
        <v>17185</v>
      </c>
      <c r="H1086" s="312">
        <f t="shared" si="165"/>
        <v>57.113259668508285</v>
      </c>
      <c r="I1086" s="41" t="s">
        <v>136</v>
      </c>
      <c r="J1086" s="42">
        <v>5490125</v>
      </c>
      <c r="K1086" s="313">
        <f t="shared" si="168"/>
        <v>9529</v>
      </c>
      <c r="L1086" s="96"/>
      <c r="M1086" s="41" t="s">
        <v>136</v>
      </c>
      <c r="N1086" s="42">
        <v>950037</v>
      </c>
      <c r="O1086" s="236">
        <f t="shared" ref="O1086:O1152" si="171">N1087-N1086</f>
        <v>1197</v>
      </c>
      <c r="P1086" s="358"/>
      <c r="Q1086" s="42">
        <v>687224</v>
      </c>
      <c r="R1086" s="314">
        <f t="shared" si="170"/>
        <v>133</v>
      </c>
      <c r="S1086" s="358"/>
      <c r="T1086" s="42">
        <v>26950</v>
      </c>
      <c r="U1086" s="348">
        <f t="shared" si="166"/>
        <v>0</v>
      </c>
      <c r="V1086" s="41"/>
      <c r="W1086" s="42">
        <v>48790</v>
      </c>
      <c r="X1086" s="349">
        <f t="shared" si="167"/>
        <v>0</v>
      </c>
      <c r="Y1086" s="41"/>
      <c r="Z1086" s="243"/>
    </row>
    <row r="1087" spans="1:26">
      <c r="A1087" s="150">
        <v>45616</v>
      </c>
      <c r="B1087" s="350" t="s">
        <v>110</v>
      </c>
      <c r="C1087" s="42">
        <v>4059906</v>
      </c>
      <c r="D1087" s="315">
        <f t="shared" si="161"/>
        <v>0</v>
      </c>
      <c r="E1087" s="41"/>
      <c r="F1087" s="42">
        <v>9875385</v>
      </c>
      <c r="G1087" s="311">
        <f t="shared" si="169"/>
        <v>0</v>
      </c>
      <c r="H1087" s="312">
        <f t="shared" si="165"/>
        <v>-4.4060773480662982</v>
      </c>
      <c r="I1087" s="41"/>
      <c r="J1087" s="42">
        <v>5499654</v>
      </c>
      <c r="K1087" s="313">
        <f t="shared" si="168"/>
        <v>0</v>
      </c>
      <c r="L1087" s="96"/>
      <c r="M1087" s="41"/>
      <c r="N1087" s="42">
        <v>951234</v>
      </c>
      <c r="O1087" s="236">
        <f t="shared" si="171"/>
        <v>0</v>
      </c>
      <c r="P1087" s="358"/>
      <c r="Q1087" s="42">
        <v>687650</v>
      </c>
      <c r="R1087" s="314">
        <f t="shared" si="170"/>
        <v>426</v>
      </c>
      <c r="S1087" s="358"/>
      <c r="T1087" s="42">
        <v>26950</v>
      </c>
      <c r="U1087" s="348">
        <f t="shared" si="166"/>
        <v>0</v>
      </c>
      <c r="V1087" s="41"/>
      <c r="W1087" s="42">
        <v>48790</v>
      </c>
      <c r="X1087" s="349">
        <f t="shared" si="167"/>
        <v>0</v>
      </c>
      <c r="Y1087" s="41"/>
      <c r="Z1087" s="243"/>
    </row>
    <row r="1088" spans="1:26">
      <c r="A1088" s="150">
        <v>45617</v>
      </c>
      <c r="B1088" s="350" t="s">
        <v>111</v>
      </c>
      <c r="C1088" s="42">
        <v>4059906</v>
      </c>
      <c r="D1088" s="315">
        <f t="shared" si="161"/>
        <v>5062</v>
      </c>
      <c r="E1088" s="41"/>
      <c r="F1088" s="42">
        <v>9875385</v>
      </c>
      <c r="G1088" s="311">
        <f t="shared" si="169"/>
        <v>12691</v>
      </c>
      <c r="H1088" s="312">
        <f t="shared" si="165"/>
        <v>44.635359116022101</v>
      </c>
      <c r="I1088" s="41"/>
      <c r="J1088" s="42">
        <v>5499654</v>
      </c>
      <c r="K1088" s="313">
        <f t="shared" si="168"/>
        <v>5302</v>
      </c>
      <c r="L1088" s="96"/>
      <c r="M1088" s="41"/>
      <c r="N1088" s="42">
        <v>951234</v>
      </c>
      <c r="O1088" s="236">
        <f t="shared" si="171"/>
        <v>1273</v>
      </c>
      <c r="P1088" s="358"/>
      <c r="Q1088" s="42">
        <v>687650</v>
      </c>
      <c r="R1088" s="314">
        <f t="shared" si="170"/>
        <v>0</v>
      </c>
      <c r="S1088" s="358"/>
      <c r="T1088" s="42">
        <v>26950</v>
      </c>
      <c r="U1088" s="348">
        <f t="shared" si="166"/>
        <v>0</v>
      </c>
      <c r="V1088" s="41"/>
      <c r="W1088" s="42">
        <v>48790</v>
      </c>
      <c r="X1088" s="349">
        <f t="shared" si="167"/>
        <v>0</v>
      </c>
      <c r="Y1088" s="41"/>
      <c r="Z1088" s="243"/>
    </row>
    <row r="1089" spans="1:26">
      <c r="A1089" s="150">
        <v>45618</v>
      </c>
      <c r="B1089" s="350" t="s">
        <v>106</v>
      </c>
      <c r="C1089" s="42">
        <v>4064968</v>
      </c>
      <c r="D1089" s="315">
        <f t="shared" si="161"/>
        <v>6847</v>
      </c>
      <c r="E1089" s="41"/>
      <c r="F1089" s="42">
        <v>9888076</v>
      </c>
      <c r="G1089" s="311">
        <f t="shared" si="169"/>
        <v>24755</v>
      </c>
      <c r="H1089" s="312">
        <f t="shared" si="165"/>
        <v>82.892265193370164</v>
      </c>
      <c r="I1089" s="41"/>
      <c r="J1089" s="42">
        <v>5504956</v>
      </c>
      <c r="K1089" s="313">
        <f t="shared" si="168"/>
        <v>11269</v>
      </c>
      <c r="L1089" s="96"/>
      <c r="M1089" s="41"/>
      <c r="N1089" s="42">
        <v>952507</v>
      </c>
      <c r="O1089" s="236">
        <f t="shared" si="171"/>
        <v>879</v>
      </c>
      <c r="P1089" s="358"/>
      <c r="Q1089" s="42">
        <v>687650</v>
      </c>
      <c r="R1089" s="314">
        <f t="shared" si="170"/>
        <v>0</v>
      </c>
      <c r="S1089" s="358"/>
      <c r="T1089" s="42">
        <v>26950</v>
      </c>
      <c r="U1089" s="348">
        <f t="shared" si="166"/>
        <v>0</v>
      </c>
      <c r="V1089" s="41"/>
      <c r="W1089" s="42">
        <v>48790</v>
      </c>
      <c r="X1089" s="349">
        <f t="shared" si="167"/>
        <v>0</v>
      </c>
      <c r="Y1089" s="41"/>
      <c r="Z1089" s="243"/>
    </row>
    <row r="1090" spans="1:26">
      <c r="A1090" s="150">
        <v>45619</v>
      </c>
      <c r="B1090" s="350" t="s">
        <v>107</v>
      </c>
      <c r="C1090" s="42">
        <v>4071815</v>
      </c>
      <c r="D1090" s="315">
        <f t="shared" si="161"/>
        <v>0</v>
      </c>
      <c r="E1090" s="41"/>
      <c r="F1090" s="42">
        <v>9912831</v>
      </c>
      <c r="G1090" s="311">
        <f t="shared" si="169"/>
        <v>0</v>
      </c>
      <c r="H1090" s="312">
        <f t="shared" si="165"/>
        <v>-4.4060773480662982</v>
      </c>
      <c r="I1090" s="41"/>
      <c r="J1090" s="42">
        <v>5516225</v>
      </c>
      <c r="K1090" s="313">
        <f t="shared" si="168"/>
        <v>0</v>
      </c>
      <c r="L1090" s="96"/>
      <c r="M1090" s="41"/>
      <c r="N1090" s="42">
        <v>953386</v>
      </c>
      <c r="O1090" s="236">
        <f t="shared" si="171"/>
        <v>849</v>
      </c>
      <c r="P1090" s="358"/>
      <c r="Q1090" s="42">
        <v>687926</v>
      </c>
      <c r="R1090" s="314">
        <f t="shared" si="170"/>
        <v>276</v>
      </c>
      <c r="S1090" s="358"/>
      <c r="T1090" s="42">
        <v>26950</v>
      </c>
      <c r="U1090" s="348">
        <f t="shared" si="166"/>
        <v>0</v>
      </c>
      <c r="V1090" s="41"/>
      <c r="W1090" s="42">
        <v>48790</v>
      </c>
      <c r="X1090" s="349">
        <f t="shared" si="167"/>
        <v>0</v>
      </c>
      <c r="Y1090" s="41"/>
      <c r="Z1090" s="243"/>
    </row>
    <row r="1091" spans="1:26">
      <c r="A1091" s="150">
        <v>45620</v>
      </c>
      <c r="B1091" s="350" t="s">
        <v>36</v>
      </c>
      <c r="C1091" s="42">
        <v>4071815</v>
      </c>
      <c r="D1091" s="315">
        <f t="shared" ref="D1091:D1154" si="172">IF(C1092&gt;0,C1092-C1091," ")</f>
        <v>0</v>
      </c>
      <c r="E1091" s="41"/>
      <c r="F1091" s="42">
        <v>9912831</v>
      </c>
      <c r="G1091" s="311">
        <f t="shared" si="169"/>
        <v>0</v>
      </c>
      <c r="H1091" s="312">
        <f t="shared" si="165"/>
        <v>-4.4060773480662982</v>
      </c>
      <c r="I1091" s="41"/>
      <c r="J1091" s="42">
        <v>5516225</v>
      </c>
      <c r="K1091" s="313">
        <f t="shared" si="168"/>
        <v>0</v>
      </c>
      <c r="L1091" s="96"/>
      <c r="M1091" s="41"/>
      <c r="N1091" s="42">
        <v>954235</v>
      </c>
      <c r="O1091" s="236">
        <f t="shared" si="171"/>
        <v>0</v>
      </c>
      <c r="P1091" s="358"/>
      <c r="Q1091" s="42">
        <v>687926</v>
      </c>
      <c r="R1091" s="314">
        <f t="shared" si="170"/>
        <v>0</v>
      </c>
      <c r="S1091" s="358"/>
      <c r="T1091" s="42">
        <v>26950</v>
      </c>
      <c r="U1091" s="348">
        <f t="shared" si="166"/>
        <v>0</v>
      </c>
      <c r="V1091" s="41"/>
      <c r="W1091" s="42">
        <v>48790</v>
      </c>
      <c r="X1091" s="349">
        <f t="shared" si="167"/>
        <v>0</v>
      </c>
      <c r="Y1091" s="41"/>
      <c r="Z1091" s="243"/>
    </row>
    <row r="1092" spans="1:26">
      <c r="A1092" s="150">
        <v>45621</v>
      </c>
      <c r="B1092" s="350" t="s">
        <v>108</v>
      </c>
      <c r="C1092" s="42">
        <v>4071815</v>
      </c>
      <c r="D1092" s="315">
        <f t="shared" si="172"/>
        <v>4202</v>
      </c>
      <c r="E1092" s="41"/>
      <c r="F1092" s="42">
        <v>9912831</v>
      </c>
      <c r="G1092" s="311">
        <f t="shared" si="169"/>
        <v>11368</v>
      </c>
      <c r="H1092" s="312">
        <f t="shared" si="165"/>
        <v>38.604972375690608</v>
      </c>
      <c r="I1092" s="41"/>
      <c r="J1092" s="42">
        <v>5516225</v>
      </c>
      <c r="K1092" s="313">
        <f t="shared" si="168"/>
        <v>5022</v>
      </c>
      <c r="L1092" s="96"/>
      <c r="M1092" s="41"/>
      <c r="N1092" s="42">
        <v>954235</v>
      </c>
      <c r="O1092" s="236">
        <f t="shared" si="171"/>
        <v>789</v>
      </c>
      <c r="P1092" s="358"/>
      <c r="Q1092" s="42">
        <v>687926</v>
      </c>
      <c r="R1092" s="314">
        <f t="shared" si="170"/>
        <v>0</v>
      </c>
      <c r="S1092" s="358"/>
      <c r="T1092" s="42">
        <v>26950</v>
      </c>
      <c r="U1092" s="348">
        <f t="shared" si="166"/>
        <v>0</v>
      </c>
      <c r="V1092" s="41"/>
      <c r="W1092" s="42">
        <v>48790</v>
      </c>
      <c r="X1092" s="349">
        <f t="shared" si="167"/>
        <v>0</v>
      </c>
      <c r="Y1092" s="41"/>
      <c r="Z1092" s="243"/>
    </row>
    <row r="1093" spans="1:26">
      <c r="A1093" s="150">
        <v>45622</v>
      </c>
      <c r="B1093" s="350" t="s">
        <v>109</v>
      </c>
      <c r="C1093" s="42">
        <v>4076017</v>
      </c>
      <c r="D1093" s="315">
        <f t="shared" si="172"/>
        <v>4727</v>
      </c>
      <c r="E1093" s="41"/>
      <c r="F1093" s="42">
        <v>9924199</v>
      </c>
      <c r="G1093" s="311">
        <f t="shared" si="169"/>
        <v>12486</v>
      </c>
      <c r="H1093" s="312">
        <f t="shared" si="165"/>
        <v>43.143646408839778</v>
      </c>
      <c r="I1093" s="41"/>
      <c r="J1093" s="42">
        <v>5521247</v>
      </c>
      <c r="K1093" s="313">
        <f t="shared" si="168"/>
        <v>6355</v>
      </c>
      <c r="L1093" s="96"/>
      <c r="M1093" s="41"/>
      <c r="N1093" s="42">
        <v>955024</v>
      </c>
      <c r="O1093" s="236">
        <f t="shared" si="171"/>
        <v>747</v>
      </c>
      <c r="P1093" s="358"/>
      <c r="Q1093" s="42">
        <v>688122</v>
      </c>
      <c r="R1093" s="314">
        <f t="shared" si="170"/>
        <v>196</v>
      </c>
      <c r="S1093" s="358"/>
      <c r="T1093" s="42">
        <v>26950</v>
      </c>
      <c r="U1093" s="348">
        <f t="shared" si="166"/>
        <v>0</v>
      </c>
      <c r="V1093" s="41"/>
      <c r="W1093" s="42">
        <v>48790</v>
      </c>
      <c r="X1093" s="349">
        <f t="shared" si="167"/>
        <v>0</v>
      </c>
      <c r="Y1093" s="41"/>
      <c r="Z1093" s="243"/>
    </row>
    <row r="1094" spans="1:26">
      <c r="A1094" s="150">
        <v>45623</v>
      </c>
      <c r="B1094" s="350" t="s">
        <v>110</v>
      </c>
      <c r="C1094" s="42">
        <v>4080744</v>
      </c>
      <c r="D1094" s="315">
        <f t="shared" si="172"/>
        <v>5118</v>
      </c>
      <c r="E1094" s="41"/>
      <c r="F1094" s="42">
        <v>9936685</v>
      </c>
      <c r="G1094" s="311">
        <f t="shared" si="169"/>
        <v>13342</v>
      </c>
      <c r="H1094" s="312">
        <f t="shared" si="165"/>
        <v>46.588397790055247</v>
      </c>
      <c r="I1094" s="41"/>
      <c r="J1094" s="42">
        <v>5527602</v>
      </c>
      <c r="K1094" s="313">
        <f t="shared" si="168"/>
        <v>8260</v>
      </c>
      <c r="L1094" s="96"/>
      <c r="M1094" s="41"/>
      <c r="N1094" s="42">
        <v>955771</v>
      </c>
      <c r="O1094" s="236">
        <f t="shared" si="171"/>
        <v>797</v>
      </c>
      <c r="P1094" s="358"/>
      <c r="Q1094" s="42">
        <v>688305</v>
      </c>
      <c r="R1094" s="314">
        <f t="shared" si="170"/>
        <v>183</v>
      </c>
      <c r="S1094" s="358"/>
      <c r="T1094" s="42">
        <v>26950</v>
      </c>
      <c r="U1094" s="348">
        <f t="shared" si="166"/>
        <v>0</v>
      </c>
      <c r="V1094" s="41"/>
      <c r="W1094" s="42">
        <v>48790</v>
      </c>
      <c r="X1094" s="349">
        <f t="shared" si="167"/>
        <v>0</v>
      </c>
      <c r="Y1094" s="41"/>
      <c r="Z1094" s="243"/>
    </row>
    <row r="1095" spans="1:26">
      <c r="A1095" s="150">
        <v>45624</v>
      </c>
      <c r="B1095" s="350" t="s">
        <v>111</v>
      </c>
      <c r="C1095" s="42">
        <v>4085862</v>
      </c>
      <c r="D1095" s="315">
        <f t="shared" si="172"/>
        <v>5109</v>
      </c>
      <c r="E1095" s="41"/>
      <c r="F1095" s="42">
        <v>9950027</v>
      </c>
      <c r="G1095" s="311">
        <f t="shared" si="169"/>
        <v>13229</v>
      </c>
      <c r="H1095" s="312">
        <f t="shared" si="165"/>
        <v>46.251381215469614</v>
      </c>
      <c r="I1095" s="41"/>
      <c r="J1095" s="42">
        <v>5535862</v>
      </c>
      <c r="K1095" s="313">
        <f t="shared" si="168"/>
        <v>5631</v>
      </c>
      <c r="L1095" s="96"/>
      <c r="M1095" s="41"/>
      <c r="N1095" s="42">
        <v>956568</v>
      </c>
      <c r="O1095" s="236">
        <f t="shared" si="171"/>
        <v>1708</v>
      </c>
      <c r="P1095" s="358"/>
      <c r="Q1095" s="42">
        <v>688508</v>
      </c>
      <c r="R1095" s="314">
        <f t="shared" si="170"/>
        <v>203</v>
      </c>
      <c r="S1095" s="358"/>
      <c r="T1095" s="42">
        <v>26950</v>
      </c>
      <c r="U1095" s="348">
        <f t="shared" si="166"/>
        <v>0</v>
      </c>
      <c r="V1095" s="41"/>
      <c r="W1095" s="42">
        <v>48790</v>
      </c>
      <c r="X1095" s="349">
        <f t="shared" si="167"/>
        <v>0</v>
      </c>
      <c r="Y1095" s="41"/>
      <c r="Z1095" s="243"/>
    </row>
    <row r="1096" spans="1:26">
      <c r="A1096" s="150">
        <v>45625</v>
      </c>
      <c r="B1096" s="350" t="s">
        <v>106</v>
      </c>
      <c r="C1096" s="42">
        <v>4090971</v>
      </c>
      <c r="D1096" s="315">
        <f t="shared" si="172"/>
        <v>5425</v>
      </c>
      <c r="E1096" s="41"/>
      <c r="F1096" s="42">
        <v>9963256</v>
      </c>
      <c r="G1096" s="311">
        <f t="shared" si="169"/>
        <v>23150</v>
      </c>
      <c r="H1096" s="312">
        <f t="shared" si="165"/>
        <v>74.530386740331494</v>
      </c>
      <c r="I1096" s="41"/>
      <c r="J1096" s="42">
        <v>5541493</v>
      </c>
      <c r="K1096" s="313">
        <f t="shared" si="168"/>
        <v>9710</v>
      </c>
      <c r="L1096" s="96"/>
      <c r="M1096" s="41"/>
      <c r="N1096" s="42">
        <v>958276</v>
      </c>
      <c r="O1096" s="236">
        <f t="shared" si="171"/>
        <v>652</v>
      </c>
      <c r="P1096" s="358"/>
      <c r="Q1096" s="42">
        <v>689105</v>
      </c>
      <c r="R1096" s="314">
        <f t="shared" si="170"/>
        <v>597</v>
      </c>
      <c r="S1096" s="358"/>
      <c r="T1096" s="42">
        <v>26950</v>
      </c>
      <c r="U1096" s="348">
        <f t="shared" si="166"/>
        <v>0</v>
      </c>
      <c r="V1096" s="41"/>
      <c r="W1096" s="42">
        <v>48790</v>
      </c>
      <c r="X1096" s="349">
        <f t="shared" si="167"/>
        <v>0</v>
      </c>
      <c r="Y1096" s="41"/>
      <c r="Z1096" s="243"/>
    </row>
    <row r="1097" spans="1:26">
      <c r="A1097" s="150">
        <v>45626</v>
      </c>
      <c r="B1097" s="350" t="s">
        <v>107</v>
      </c>
      <c r="C1097" s="42">
        <v>4096396</v>
      </c>
      <c r="D1097" s="315">
        <f t="shared" si="172"/>
        <v>0</v>
      </c>
      <c r="E1097" s="41"/>
      <c r="F1097" s="42">
        <v>9986406</v>
      </c>
      <c r="G1097" s="311">
        <f t="shared" si="169"/>
        <v>0</v>
      </c>
      <c r="H1097" s="312">
        <f t="shared" si="165"/>
        <v>-4.4060773480662982</v>
      </c>
      <c r="I1097" s="41"/>
      <c r="J1097" s="42">
        <v>5551203</v>
      </c>
      <c r="K1097" s="313">
        <f t="shared" si="168"/>
        <v>0</v>
      </c>
      <c r="L1097" s="96"/>
      <c r="M1097" s="41"/>
      <c r="N1097" s="42">
        <v>958928</v>
      </c>
      <c r="O1097" s="236">
        <f t="shared" si="171"/>
        <v>1064</v>
      </c>
      <c r="P1097" s="358"/>
      <c r="Q1097" s="42">
        <v>689105</v>
      </c>
      <c r="R1097" s="314">
        <f t="shared" si="170"/>
        <v>0</v>
      </c>
      <c r="S1097" s="358"/>
      <c r="T1097" s="42">
        <v>26950</v>
      </c>
      <c r="U1097" s="348">
        <f t="shared" si="166"/>
        <v>0</v>
      </c>
      <c r="V1097" s="41"/>
      <c r="W1097" s="42">
        <v>48790</v>
      </c>
      <c r="X1097" s="349">
        <f t="shared" si="167"/>
        <v>0</v>
      </c>
      <c r="Y1097" s="41"/>
      <c r="Z1097" s="243"/>
    </row>
    <row r="1098" spans="1:26">
      <c r="A1098" s="150">
        <v>45627</v>
      </c>
      <c r="B1098" s="350" t="s">
        <v>36</v>
      </c>
      <c r="C1098" s="42">
        <v>4096396</v>
      </c>
      <c r="D1098" s="315">
        <f t="shared" si="172"/>
        <v>0</v>
      </c>
      <c r="E1098" s="41"/>
      <c r="F1098" s="42">
        <v>9986406</v>
      </c>
      <c r="G1098" s="311">
        <f t="shared" si="169"/>
        <v>0</v>
      </c>
      <c r="H1098" s="312">
        <f t="shared" si="165"/>
        <v>-4.4060773480662982</v>
      </c>
      <c r="I1098" s="41"/>
      <c r="J1098" s="42">
        <v>5551203</v>
      </c>
      <c r="K1098" s="313">
        <f t="shared" si="168"/>
        <v>0</v>
      </c>
      <c r="L1098" s="96"/>
      <c r="M1098" s="358"/>
      <c r="N1098" s="3">
        <v>959992</v>
      </c>
      <c r="O1098" s="236">
        <f t="shared" si="171"/>
        <v>0</v>
      </c>
      <c r="P1098" s="358"/>
      <c r="Q1098" s="42">
        <v>689105</v>
      </c>
      <c r="R1098" s="314">
        <f t="shared" si="170"/>
        <v>0</v>
      </c>
      <c r="S1098" s="358"/>
      <c r="T1098" s="42">
        <v>26950</v>
      </c>
      <c r="U1098" s="348">
        <f t="shared" si="166"/>
        <v>0</v>
      </c>
      <c r="V1098" s="41"/>
      <c r="W1098" s="42">
        <v>48790</v>
      </c>
      <c r="X1098" s="349">
        <f t="shared" si="167"/>
        <v>0</v>
      </c>
      <c r="Y1098" s="41"/>
      <c r="Z1098" s="243"/>
    </row>
    <row r="1099" spans="1:26">
      <c r="A1099" s="150">
        <v>45628</v>
      </c>
      <c r="B1099" s="350" t="s">
        <v>108</v>
      </c>
      <c r="C1099" s="42">
        <v>4096396</v>
      </c>
      <c r="D1099" s="315">
        <f t="shared" si="172"/>
        <v>4712</v>
      </c>
      <c r="E1099" s="41"/>
      <c r="F1099" s="42">
        <v>9986406</v>
      </c>
      <c r="G1099" s="311">
        <f t="shared" si="169"/>
        <v>12691</v>
      </c>
      <c r="H1099" s="312">
        <f t="shared" si="165"/>
        <v>43.668508287292816</v>
      </c>
      <c r="I1099" s="41"/>
      <c r="J1099" s="42">
        <v>5551203</v>
      </c>
      <c r="K1099" s="313">
        <f t="shared" si="168"/>
        <v>5613</v>
      </c>
      <c r="L1099" s="96"/>
      <c r="M1099" s="358"/>
      <c r="N1099" s="3">
        <v>959992</v>
      </c>
      <c r="O1099" s="236">
        <f t="shared" si="171"/>
        <v>737</v>
      </c>
      <c r="P1099" s="358"/>
      <c r="Q1099" s="42">
        <v>689105</v>
      </c>
      <c r="R1099" s="314">
        <f t="shared" si="170"/>
        <v>0</v>
      </c>
      <c r="S1099" s="358"/>
      <c r="T1099" s="42">
        <v>26950</v>
      </c>
      <c r="U1099" s="348">
        <f t="shared" si="166"/>
        <v>0</v>
      </c>
      <c r="V1099" s="41"/>
      <c r="W1099" s="42">
        <v>48790</v>
      </c>
      <c r="X1099" s="349">
        <f t="shared" si="167"/>
        <v>0</v>
      </c>
      <c r="Y1099" s="41"/>
      <c r="Z1099" s="243"/>
    </row>
    <row r="1100" spans="1:26">
      <c r="A1100" s="150">
        <v>45629</v>
      </c>
      <c r="B1100" s="350" t="s">
        <v>109</v>
      </c>
      <c r="C1100" s="42">
        <v>4101108</v>
      </c>
      <c r="D1100" s="315">
        <f t="shared" si="172"/>
        <v>4594</v>
      </c>
      <c r="E1100" s="41"/>
      <c r="F1100" s="42">
        <v>9999097</v>
      </c>
      <c r="G1100" s="311">
        <f t="shared" si="169"/>
        <v>12351</v>
      </c>
      <c r="H1100" s="312">
        <f t="shared" si="165"/>
        <v>42.403314917127069</v>
      </c>
      <c r="I1100" s="41"/>
      <c r="J1100" s="42">
        <v>5556816</v>
      </c>
      <c r="K1100" s="313">
        <f t="shared" si="168"/>
        <v>4974</v>
      </c>
      <c r="L1100" s="96"/>
      <c r="M1100" s="41"/>
      <c r="N1100" s="42">
        <v>960729</v>
      </c>
      <c r="O1100" s="236">
        <f t="shared" si="171"/>
        <v>712</v>
      </c>
      <c r="P1100" s="358"/>
      <c r="Q1100" s="42">
        <v>689204</v>
      </c>
      <c r="R1100" s="314">
        <f t="shared" si="170"/>
        <v>99</v>
      </c>
      <c r="S1100" s="358"/>
      <c r="T1100" s="42">
        <v>26950</v>
      </c>
      <c r="U1100" s="348">
        <f t="shared" si="166"/>
        <v>0</v>
      </c>
      <c r="V1100" s="41"/>
      <c r="W1100" s="42">
        <v>48790</v>
      </c>
      <c r="X1100" s="349">
        <f t="shared" si="167"/>
        <v>0</v>
      </c>
      <c r="Y1100" s="41"/>
      <c r="Z1100" s="243"/>
    </row>
    <row r="1101" spans="1:26">
      <c r="A1101" s="150">
        <v>45630</v>
      </c>
      <c r="B1101" s="350" t="s">
        <v>110</v>
      </c>
      <c r="C1101" s="42">
        <v>4105702</v>
      </c>
      <c r="D1101" s="315">
        <f t="shared" si="172"/>
        <v>2228</v>
      </c>
      <c r="E1101" s="41"/>
      <c r="F1101" s="42">
        <v>10011448</v>
      </c>
      <c r="G1101" s="311">
        <f t="shared" si="169"/>
        <v>8274</v>
      </c>
      <c r="H1101" s="312">
        <f t="shared" si="165"/>
        <v>24.604972375690608</v>
      </c>
      <c r="I1101" s="41"/>
      <c r="J1101" s="42">
        <v>5561790</v>
      </c>
      <c r="K1101" s="313">
        <f t="shared" si="168"/>
        <v>5113</v>
      </c>
      <c r="L1101" s="96"/>
      <c r="M1101" s="41"/>
      <c r="N1101" s="42">
        <v>961441</v>
      </c>
      <c r="O1101" s="236">
        <f t="shared" si="171"/>
        <v>835</v>
      </c>
      <c r="P1101" s="358"/>
      <c r="Q1101" s="42">
        <v>689353</v>
      </c>
      <c r="R1101" s="314">
        <f t="shared" si="170"/>
        <v>149</v>
      </c>
      <c r="S1101" s="358"/>
      <c r="T1101" s="42">
        <v>26950</v>
      </c>
      <c r="U1101" s="348">
        <f t="shared" si="166"/>
        <v>0</v>
      </c>
      <c r="V1101" s="41"/>
      <c r="W1101" s="42">
        <v>48790</v>
      </c>
      <c r="X1101" s="349">
        <f t="shared" si="167"/>
        <v>0</v>
      </c>
      <c r="Y1101" s="41"/>
      <c r="Z1101" s="243"/>
    </row>
    <row r="1102" spans="1:26">
      <c r="A1102" s="150">
        <v>45631</v>
      </c>
      <c r="B1102" s="350" t="s">
        <v>111</v>
      </c>
      <c r="C1102" s="42">
        <v>4107930</v>
      </c>
      <c r="D1102" s="315">
        <f t="shared" si="172"/>
        <v>5235</v>
      </c>
      <c r="E1102" s="41"/>
      <c r="F1102" s="42">
        <v>10019722</v>
      </c>
      <c r="G1102" s="311">
        <f t="shared" si="169"/>
        <v>13071</v>
      </c>
      <c r="H1102" s="312">
        <f t="shared" si="165"/>
        <v>46.162983425414367</v>
      </c>
      <c r="I1102" s="41"/>
      <c r="J1102" s="42">
        <v>5566903</v>
      </c>
      <c r="K1102" s="313">
        <f t="shared" si="168"/>
        <v>5062</v>
      </c>
      <c r="L1102" s="96"/>
      <c r="M1102" s="41"/>
      <c r="N1102" s="42">
        <v>962276</v>
      </c>
      <c r="O1102" s="236">
        <f t="shared" si="171"/>
        <v>795</v>
      </c>
      <c r="P1102" s="358"/>
      <c r="Q1102" s="42">
        <v>689479</v>
      </c>
      <c r="R1102" s="314">
        <f t="shared" si="170"/>
        <v>126</v>
      </c>
      <c r="S1102" s="358"/>
      <c r="T1102" s="42">
        <v>26950</v>
      </c>
      <c r="U1102" s="348">
        <f t="shared" si="166"/>
        <v>0</v>
      </c>
      <c r="V1102" s="41"/>
      <c r="W1102" s="42">
        <v>48790</v>
      </c>
      <c r="X1102" s="349">
        <f t="shared" si="167"/>
        <v>0</v>
      </c>
      <c r="Y1102" s="41"/>
      <c r="Z1102" s="243"/>
    </row>
    <row r="1103" spans="1:26">
      <c r="A1103" s="150">
        <v>45632</v>
      </c>
      <c r="B1103" s="350" t="s">
        <v>106</v>
      </c>
      <c r="C1103" s="42">
        <v>4113165</v>
      </c>
      <c r="D1103" s="315">
        <f t="shared" si="172"/>
        <v>5572</v>
      </c>
      <c r="E1103" s="41"/>
      <c r="F1103" s="42">
        <v>10032793</v>
      </c>
      <c r="G1103" s="311">
        <f t="shared" si="169"/>
        <v>32830</v>
      </c>
      <c r="H1103" s="312">
        <f t="shared" si="165"/>
        <v>101.67679558011049</v>
      </c>
      <c r="I1103" s="41"/>
      <c r="J1103" s="42">
        <v>5571965</v>
      </c>
      <c r="K1103" s="313">
        <f t="shared" si="168"/>
        <v>7270</v>
      </c>
      <c r="L1103" s="96"/>
      <c r="M1103" s="41"/>
      <c r="N1103" s="42">
        <v>963071</v>
      </c>
      <c r="O1103" s="236">
        <f t="shared" si="171"/>
        <v>1819</v>
      </c>
      <c r="P1103" s="358"/>
      <c r="Q1103" s="42">
        <v>689650</v>
      </c>
      <c r="R1103" s="314">
        <f t="shared" si="170"/>
        <v>171</v>
      </c>
      <c r="S1103" s="358"/>
      <c r="T1103" s="42">
        <v>26950</v>
      </c>
      <c r="U1103" s="348">
        <f t="shared" si="166"/>
        <v>0</v>
      </c>
      <c r="V1103" s="41"/>
      <c r="W1103" s="42">
        <v>48790</v>
      </c>
      <c r="X1103" s="349">
        <f t="shared" si="167"/>
        <v>0</v>
      </c>
      <c r="Y1103" s="41"/>
      <c r="Z1103" s="243"/>
    </row>
    <row r="1104" spans="1:26">
      <c r="A1104" s="150">
        <v>45633</v>
      </c>
      <c r="B1104" s="350" t="s">
        <v>107</v>
      </c>
      <c r="C1104" s="42">
        <v>4118737</v>
      </c>
      <c r="D1104" s="315">
        <f t="shared" si="172"/>
        <v>0</v>
      </c>
      <c r="E1104" s="41"/>
      <c r="F1104" s="42">
        <v>10065623</v>
      </c>
      <c r="G1104" s="311">
        <f t="shared" si="169"/>
        <v>0</v>
      </c>
      <c r="H1104" s="312">
        <f t="shared" si="165"/>
        <v>-4.4060773480662982</v>
      </c>
      <c r="I1104" s="41"/>
      <c r="J1104" s="42">
        <v>5579235</v>
      </c>
      <c r="K1104" s="313">
        <f t="shared" si="168"/>
        <v>0</v>
      </c>
      <c r="L1104" s="96"/>
      <c r="M1104" s="41"/>
      <c r="N1104" s="42">
        <v>964890</v>
      </c>
      <c r="O1104" s="236">
        <f t="shared" si="171"/>
        <v>0</v>
      </c>
      <c r="P1104" s="358"/>
      <c r="Q1104" s="42">
        <v>690165</v>
      </c>
      <c r="R1104" s="314">
        <f t="shared" si="170"/>
        <v>515</v>
      </c>
      <c r="S1104" s="358"/>
      <c r="T1104" s="42">
        <v>26950</v>
      </c>
      <c r="U1104" s="348">
        <f t="shared" si="166"/>
        <v>0</v>
      </c>
      <c r="V1104" s="41"/>
      <c r="W1104" s="42">
        <v>48790</v>
      </c>
      <c r="X1104" s="349">
        <f t="shared" si="167"/>
        <v>0</v>
      </c>
      <c r="Y1104" s="41"/>
      <c r="Z1104" s="243"/>
    </row>
    <row r="1105" spans="1:26">
      <c r="A1105" s="150">
        <v>45634</v>
      </c>
      <c r="B1105" s="350" t="s">
        <v>36</v>
      </c>
      <c r="C1105" s="42">
        <v>4118737</v>
      </c>
      <c r="D1105" s="315">
        <f t="shared" si="172"/>
        <v>0</v>
      </c>
      <c r="E1105" s="41"/>
      <c r="F1105" s="42">
        <v>10065623</v>
      </c>
      <c r="G1105" s="311">
        <f t="shared" si="169"/>
        <v>0</v>
      </c>
      <c r="H1105" s="312">
        <f t="shared" si="165"/>
        <v>-4.4060773480662982</v>
      </c>
      <c r="I1105" s="41"/>
      <c r="J1105" s="42">
        <v>5579235</v>
      </c>
      <c r="K1105" s="313">
        <f t="shared" si="168"/>
        <v>0</v>
      </c>
      <c r="L1105" s="96"/>
      <c r="M1105" s="41"/>
      <c r="N1105" s="42">
        <v>964890</v>
      </c>
      <c r="O1105" s="236">
        <f t="shared" si="171"/>
        <v>0</v>
      </c>
      <c r="P1105" s="358"/>
      <c r="Q1105" s="42">
        <v>690165</v>
      </c>
      <c r="R1105" s="314">
        <f t="shared" si="170"/>
        <v>0</v>
      </c>
      <c r="S1105" s="358"/>
      <c r="T1105" s="42">
        <v>26950</v>
      </c>
      <c r="U1105" s="348">
        <f t="shared" si="166"/>
        <v>0</v>
      </c>
      <c r="V1105" s="41"/>
      <c r="W1105" s="42">
        <v>48790</v>
      </c>
      <c r="X1105" s="349">
        <f t="shared" si="167"/>
        <v>0</v>
      </c>
      <c r="Y1105" s="41"/>
      <c r="Z1105" s="243"/>
    </row>
    <row r="1106" spans="1:26">
      <c r="A1106" s="150">
        <v>45635</v>
      </c>
      <c r="B1106" s="350" t="s">
        <v>108</v>
      </c>
      <c r="C1106" s="42">
        <v>4118737</v>
      </c>
      <c r="D1106" s="315">
        <f t="shared" si="172"/>
        <v>4269</v>
      </c>
      <c r="E1106" s="41"/>
      <c r="F1106" s="42">
        <v>10065623</v>
      </c>
      <c r="G1106" s="311">
        <f t="shared" si="169"/>
        <v>0</v>
      </c>
      <c r="H1106" s="312">
        <f t="shared" si="165"/>
        <v>7.3867403314917128</v>
      </c>
      <c r="I1106" s="41"/>
      <c r="J1106" s="42">
        <v>5579235</v>
      </c>
      <c r="K1106" s="313">
        <f t="shared" si="168"/>
        <v>7515</v>
      </c>
      <c r="L1106" s="96"/>
      <c r="M1106" s="41"/>
      <c r="N1106" s="42">
        <v>964890</v>
      </c>
      <c r="O1106" s="236">
        <f t="shared" si="171"/>
        <v>719</v>
      </c>
      <c r="P1106" s="358"/>
      <c r="Q1106" s="42">
        <v>690165</v>
      </c>
      <c r="R1106" s="314">
        <f t="shared" si="170"/>
        <v>0</v>
      </c>
      <c r="S1106" s="358"/>
      <c r="T1106" s="42">
        <v>26950</v>
      </c>
      <c r="U1106" s="348">
        <f t="shared" si="166"/>
        <v>0</v>
      </c>
      <c r="V1106" s="41"/>
      <c r="W1106" s="42">
        <v>48790</v>
      </c>
      <c r="X1106" s="349">
        <f t="shared" si="167"/>
        <v>0</v>
      </c>
      <c r="Y1106" s="41"/>
      <c r="Z1106" s="243"/>
    </row>
    <row r="1107" spans="1:26">
      <c r="A1107" s="150">
        <v>45636</v>
      </c>
      <c r="B1107" s="350" t="s">
        <v>109</v>
      </c>
      <c r="C1107" s="42">
        <v>4123006</v>
      </c>
      <c r="D1107" s="315">
        <f t="shared" si="172"/>
        <v>5714</v>
      </c>
      <c r="E1107" s="41"/>
      <c r="F1107" s="42">
        <v>10065623</v>
      </c>
      <c r="G1107" s="311">
        <f t="shared" si="169"/>
        <v>14602</v>
      </c>
      <c r="H1107" s="312">
        <f t="shared" si="165"/>
        <v>51.715469613259671</v>
      </c>
      <c r="I1107" s="41"/>
      <c r="J1107" s="42">
        <v>5586750</v>
      </c>
      <c r="K1107" s="313">
        <f t="shared" si="168"/>
        <v>5614</v>
      </c>
      <c r="L1107" s="96"/>
      <c r="M1107" s="41"/>
      <c r="N1107" s="42">
        <v>965609</v>
      </c>
      <c r="O1107" s="236">
        <f t="shared" si="171"/>
        <v>902</v>
      </c>
      <c r="P1107" s="358"/>
      <c r="Q1107" s="42">
        <v>690477</v>
      </c>
      <c r="R1107" s="314">
        <f t="shared" si="170"/>
        <v>312</v>
      </c>
      <c r="S1107" s="358"/>
      <c r="T1107" s="42">
        <v>26950</v>
      </c>
      <c r="U1107" s="348">
        <f t="shared" si="166"/>
        <v>0</v>
      </c>
      <c r="V1107" s="41"/>
      <c r="W1107" s="42">
        <v>48790</v>
      </c>
      <c r="X1107" s="349">
        <f t="shared" si="167"/>
        <v>0</v>
      </c>
      <c r="Y1107" s="41"/>
      <c r="Z1107" s="243"/>
    </row>
    <row r="1108" spans="1:26">
      <c r="A1108" s="150">
        <v>45637</v>
      </c>
      <c r="B1108" s="350" t="s">
        <v>110</v>
      </c>
      <c r="C1108" s="42">
        <v>4128720</v>
      </c>
      <c r="D1108" s="315">
        <f t="shared" si="172"/>
        <v>3780</v>
      </c>
      <c r="E1108" s="41"/>
      <c r="F1108" s="42">
        <v>10080225</v>
      </c>
      <c r="G1108" s="311">
        <f t="shared" si="169"/>
        <v>10681</v>
      </c>
      <c r="H1108" s="312">
        <f t="shared" si="165"/>
        <v>35.541436464088399</v>
      </c>
      <c r="I1108" s="41"/>
      <c r="J1108" s="42">
        <v>5592364</v>
      </c>
      <c r="K1108" s="313">
        <f t="shared" si="168"/>
        <v>4470</v>
      </c>
      <c r="L1108" s="96"/>
      <c r="M1108" s="41"/>
      <c r="N1108" s="42">
        <v>966511</v>
      </c>
      <c r="O1108" s="236">
        <f t="shared" si="171"/>
        <v>842</v>
      </c>
      <c r="P1108" s="358"/>
      <c r="Q1108" s="42">
        <v>690609</v>
      </c>
      <c r="R1108" s="314">
        <f t="shared" si="170"/>
        <v>132</v>
      </c>
      <c r="S1108" s="358"/>
      <c r="T1108" s="42">
        <v>26950</v>
      </c>
      <c r="U1108" s="348">
        <f t="shared" si="166"/>
        <v>2091</v>
      </c>
      <c r="V1108" s="41"/>
      <c r="W1108" s="42">
        <v>48790</v>
      </c>
      <c r="X1108" s="349">
        <f t="shared" si="167"/>
        <v>33</v>
      </c>
      <c r="Y1108" s="41"/>
      <c r="Z1108" s="243"/>
    </row>
    <row r="1109" spans="1:26">
      <c r="A1109" s="150">
        <v>45638</v>
      </c>
      <c r="B1109" s="350" t="s">
        <v>111</v>
      </c>
      <c r="C1109" s="42">
        <v>4132500</v>
      </c>
      <c r="D1109" s="315">
        <f t="shared" si="172"/>
        <v>5234</v>
      </c>
      <c r="E1109" s="41"/>
      <c r="F1109" s="42">
        <v>10090906</v>
      </c>
      <c r="G1109" s="311">
        <f t="shared" si="169"/>
        <v>12156</v>
      </c>
      <c r="H1109" s="312">
        <f t="shared" si="165"/>
        <v>43.632596685082873</v>
      </c>
      <c r="I1109" s="41"/>
      <c r="J1109" s="42">
        <v>5596834</v>
      </c>
      <c r="K1109" s="313">
        <f t="shared" si="168"/>
        <v>8838</v>
      </c>
      <c r="L1109" s="96"/>
      <c r="M1109" s="41"/>
      <c r="N1109" s="42">
        <v>967353</v>
      </c>
      <c r="O1109" s="236">
        <f t="shared" si="171"/>
        <v>742</v>
      </c>
      <c r="P1109" s="358"/>
      <c r="Q1109" s="42">
        <v>690898</v>
      </c>
      <c r="R1109" s="314">
        <f t="shared" si="170"/>
        <v>289</v>
      </c>
      <c r="S1109" s="358"/>
      <c r="T1109" s="42">
        <v>29041</v>
      </c>
      <c r="U1109" s="348">
        <f t="shared" si="166"/>
        <v>0</v>
      </c>
      <c r="V1109" s="41"/>
      <c r="W1109" s="42">
        <v>48823</v>
      </c>
      <c r="X1109" s="349">
        <f t="shared" si="167"/>
        <v>0</v>
      </c>
      <c r="Y1109" s="41"/>
      <c r="Z1109" s="243"/>
    </row>
    <row r="1110" spans="1:26">
      <c r="A1110" s="150">
        <v>45639</v>
      </c>
      <c r="B1110" s="350" t="s">
        <v>106</v>
      </c>
      <c r="C1110" s="42">
        <v>4137734</v>
      </c>
      <c r="D1110" s="315">
        <f t="shared" si="172"/>
        <v>7787</v>
      </c>
      <c r="E1110" s="41"/>
      <c r="F1110" s="42">
        <v>10103062</v>
      </c>
      <c r="G1110" s="311">
        <f t="shared" si="169"/>
        <v>30198</v>
      </c>
      <c r="H1110" s="312">
        <f t="shared" si="165"/>
        <v>100.52486187845304</v>
      </c>
      <c r="I1110" s="41"/>
      <c r="J1110" s="42">
        <v>5605672</v>
      </c>
      <c r="K1110" s="313">
        <f t="shared" si="168"/>
        <v>8956</v>
      </c>
      <c r="L1110" s="96"/>
      <c r="M1110" s="41"/>
      <c r="N1110" s="42">
        <v>968095</v>
      </c>
      <c r="O1110" s="236">
        <f t="shared" si="171"/>
        <v>806</v>
      </c>
      <c r="P1110" s="358"/>
      <c r="Q1110" s="42">
        <v>691157</v>
      </c>
      <c r="R1110" s="314">
        <f t="shared" si="170"/>
        <v>259</v>
      </c>
      <c r="S1110" s="358"/>
      <c r="T1110" s="42">
        <v>29041</v>
      </c>
      <c r="U1110" s="348">
        <f t="shared" si="166"/>
        <v>0</v>
      </c>
      <c r="V1110" s="41"/>
      <c r="W1110" s="42">
        <v>48823</v>
      </c>
      <c r="X1110" s="349">
        <f t="shared" si="167"/>
        <v>0</v>
      </c>
      <c r="Y1110" s="41"/>
      <c r="Z1110" s="243"/>
    </row>
    <row r="1111" spans="1:26">
      <c r="A1111" s="150">
        <v>45640</v>
      </c>
      <c r="B1111" s="350" t="s">
        <v>107</v>
      </c>
      <c r="C1111" s="42">
        <v>4145521</v>
      </c>
      <c r="D1111" s="315">
        <f t="shared" si="172"/>
        <v>0</v>
      </c>
      <c r="E1111" s="41"/>
      <c r="F1111" s="42">
        <v>10133260</v>
      </c>
      <c r="G1111" s="311">
        <f t="shared" si="169"/>
        <v>0</v>
      </c>
      <c r="H1111" s="312">
        <f t="shared" ref="H1111:H1142" si="173">(G1111+D1111-1595)/362</f>
        <v>-4.4060773480662982</v>
      </c>
      <c r="I1111" s="41"/>
      <c r="J1111" s="42">
        <v>5614628</v>
      </c>
      <c r="K1111" s="313">
        <f t="shared" si="168"/>
        <v>0</v>
      </c>
      <c r="L1111" s="96"/>
      <c r="M1111" s="41"/>
      <c r="N1111" s="42">
        <v>968901</v>
      </c>
      <c r="O1111" s="236">
        <f t="shared" si="171"/>
        <v>0</v>
      </c>
      <c r="P1111" s="358"/>
      <c r="Q1111" s="42">
        <v>691500</v>
      </c>
      <c r="R1111" s="314">
        <f t="shared" si="170"/>
        <v>343</v>
      </c>
      <c r="S1111" s="358"/>
      <c r="T1111" s="42">
        <v>29041</v>
      </c>
      <c r="U1111" s="348">
        <f t="shared" si="166"/>
        <v>0</v>
      </c>
      <c r="V1111" s="41"/>
      <c r="W1111" s="42">
        <v>48823</v>
      </c>
      <c r="X1111" s="349">
        <f t="shared" si="167"/>
        <v>0</v>
      </c>
      <c r="Y1111" s="41"/>
      <c r="Z1111" s="243"/>
    </row>
    <row r="1112" spans="1:26">
      <c r="A1112" s="150">
        <v>45641</v>
      </c>
      <c r="B1112" s="350" t="s">
        <v>36</v>
      </c>
      <c r="C1112" s="42">
        <v>4145521</v>
      </c>
      <c r="D1112" s="315">
        <f t="shared" si="172"/>
        <v>0</v>
      </c>
      <c r="E1112" s="41"/>
      <c r="F1112" s="42">
        <v>10133260</v>
      </c>
      <c r="G1112" s="311">
        <f t="shared" si="169"/>
        <v>0</v>
      </c>
      <c r="H1112" s="312">
        <f t="shared" si="173"/>
        <v>-4.4060773480662982</v>
      </c>
      <c r="I1112" s="41"/>
      <c r="J1112" s="42">
        <v>5614628</v>
      </c>
      <c r="K1112" s="313">
        <f t="shared" si="168"/>
        <v>0</v>
      </c>
      <c r="L1112" s="96"/>
      <c r="M1112" s="41"/>
      <c r="N1112" s="42">
        <v>968901</v>
      </c>
      <c r="O1112" s="236">
        <f t="shared" si="171"/>
        <v>1178</v>
      </c>
      <c r="P1112" s="358"/>
      <c r="Q1112" s="42">
        <v>691500</v>
      </c>
      <c r="R1112" s="314">
        <f t="shared" si="170"/>
        <v>0</v>
      </c>
      <c r="S1112" s="358"/>
      <c r="T1112" s="42">
        <v>29041</v>
      </c>
      <c r="U1112" s="348">
        <f t="shared" ref="U1112:U1175" si="174">T1113-T1112</f>
        <v>0</v>
      </c>
      <c r="V1112" s="41"/>
      <c r="W1112" s="42">
        <v>48823</v>
      </c>
      <c r="X1112" s="349">
        <f t="shared" si="167"/>
        <v>0</v>
      </c>
      <c r="Y1112" s="41"/>
      <c r="Z1112" s="243"/>
    </row>
    <row r="1113" spans="1:26">
      <c r="A1113" s="150">
        <v>45642</v>
      </c>
      <c r="B1113" s="350" t="s">
        <v>108</v>
      </c>
      <c r="C1113" s="42">
        <v>4145521</v>
      </c>
      <c r="D1113" s="315">
        <f t="shared" si="172"/>
        <v>0</v>
      </c>
      <c r="E1113" s="41"/>
      <c r="F1113" s="42">
        <v>10133260</v>
      </c>
      <c r="G1113" s="311">
        <f t="shared" si="169"/>
        <v>0</v>
      </c>
      <c r="H1113" s="312">
        <f t="shared" si="173"/>
        <v>-4.4060773480662982</v>
      </c>
      <c r="I1113" s="41"/>
      <c r="J1113" s="42">
        <v>5614628</v>
      </c>
      <c r="K1113" s="313">
        <f t="shared" si="168"/>
        <v>0</v>
      </c>
      <c r="L1113" s="96"/>
      <c r="M1113" s="41"/>
      <c r="N1113" s="42">
        <v>970079</v>
      </c>
      <c r="O1113" s="236">
        <f t="shared" si="171"/>
        <v>970</v>
      </c>
      <c r="P1113" s="358"/>
      <c r="Q1113" s="42">
        <v>691500</v>
      </c>
      <c r="R1113" s="314">
        <f t="shared" si="170"/>
        <v>0</v>
      </c>
      <c r="S1113" s="358"/>
      <c r="T1113" s="42">
        <v>29041</v>
      </c>
      <c r="U1113" s="348">
        <f t="shared" si="174"/>
        <v>0</v>
      </c>
      <c r="V1113" s="41"/>
      <c r="W1113" s="42">
        <v>48823</v>
      </c>
      <c r="X1113" s="349">
        <f t="shared" si="167"/>
        <v>0</v>
      </c>
      <c r="Y1113" s="41"/>
      <c r="Z1113" s="243"/>
    </row>
    <row r="1114" spans="1:26">
      <c r="A1114" s="150">
        <v>45643</v>
      </c>
      <c r="B1114" s="350" t="s">
        <v>109</v>
      </c>
      <c r="C1114" s="42">
        <v>4145521</v>
      </c>
      <c r="D1114" s="315">
        <f t="shared" si="172"/>
        <v>4357</v>
      </c>
      <c r="E1114" s="41"/>
      <c r="F1114" s="42">
        <v>10133260</v>
      </c>
      <c r="G1114" s="311">
        <f t="shared" si="169"/>
        <v>11995</v>
      </c>
      <c r="H1114" s="312">
        <f t="shared" si="173"/>
        <v>40.765193370165747</v>
      </c>
      <c r="I1114" s="41"/>
      <c r="J1114" s="42">
        <v>5614628</v>
      </c>
      <c r="K1114" s="313">
        <f t="shared" si="168"/>
        <v>4237</v>
      </c>
      <c r="L1114" s="96"/>
      <c r="M1114" s="41"/>
      <c r="N1114" s="42">
        <v>971049</v>
      </c>
      <c r="O1114" s="236">
        <f t="shared" si="171"/>
        <v>855</v>
      </c>
      <c r="P1114" s="358"/>
      <c r="Q1114" s="42">
        <v>691599</v>
      </c>
      <c r="R1114" s="314">
        <f t="shared" si="170"/>
        <v>99</v>
      </c>
      <c r="S1114" s="358"/>
      <c r="T1114" s="42">
        <v>29041</v>
      </c>
      <c r="U1114" s="348">
        <f t="shared" si="174"/>
        <v>0</v>
      </c>
      <c r="V1114" s="41"/>
      <c r="W1114" s="42">
        <v>48823</v>
      </c>
      <c r="X1114" s="349">
        <f t="shared" si="167"/>
        <v>0</v>
      </c>
      <c r="Y1114" s="41"/>
      <c r="Z1114" s="243"/>
    </row>
    <row r="1115" spans="1:26">
      <c r="A1115" s="150">
        <v>45644</v>
      </c>
      <c r="B1115" s="350" t="s">
        <v>110</v>
      </c>
      <c r="C1115" s="42">
        <v>4149878</v>
      </c>
      <c r="D1115" s="315">
        <f t="shared" si="172"/>
        <v>3923</v>
      </c>
      <c r="E1115" s="41"/>
      <c r="F1115" s="42">
        <v>10145255</v>
      </c>
      <c r="G1115" s="311">
        <f t="shared" si="169"/>
        <v>10850</v>
      </c>
      <c r="H1115" s="312">
        <f t="shared" si="173"/>
        <v>36.403314917127069</v>
      </c>
      <c r="I1115" s="41"/>
      <c r="J1115" s="42">
        <v>5618865</v>
      </c>
      <c r="K1115" s="313">
        <f t="shared" si="168"/>
        <v>68</v>
      </c>
      <c r="L1115" s="96"/>
      <c r="M1115" s="41"/>
      <c r="N1115" s="42">
        <v>971904</v>
      </c>
      <c r="O1115" s="236">
        <f t="shared" si="171"/>
        <v>844</v>
      </c>
      <c r="P1115" s="358"/>
      <c r="Q1115" s="42">
        <v>691758</v>
      </c>
      <c r="R1115" s="314">
        <f t="shared" si="170"/>
        <v>159</v>
      </c>
      <c r="S1115" s="358"/>
      <c r="T1115" s="42">
        <v>29041</v>
      </c>
      <c r="U1115" s="348">
        <f t="shared" si="174"/>
        <v>0</v>
      </c>
      <c r="V1115" s="41"/>
      <c r="W1115" s="42">
        <v>48823</v>
      </c>
      <c r="X1115" s="349">
        <f t="shared" si="167"/>
        <v>0</v>
      </c>
      <c r="Y1115" s="41"/>
      <c r="Z1115" s="243"/>
    </row>
    <row r="1116" spans="1:26">
      <c r="A1116" s="150">
        <v>45645</v>
      </c>
      <c r="B1116" s="350" t="s">
        <v>111</v>
      </c>
      <c r="C1116" s="42">
        <v>4153801</v>
      </c>
      <c r="D1116" s="315">
        <f t="shared" si="172"/>
        <v>4059</v>
      </c>
      <c r="E1116" s="41"/>
      <c r="F1116" s="42">
        <v>10156105</v>
      </c>
      <c r="G1116" s="311">
        <f t="shared" si="169"/>
        <v>10995</v>
      </c>
      <c r="H1116" s="312">
        <f t="shared" si="173"/>
        <v>37.179558011049721</v>
      </c>
      <c r="I1116" s="41"/>
      <c r="J1116" s="42">
        <v>5618933</v>
      </c>
      <c r="K1116" s="313">
        <f t="shared" si="168"/>
        <v>4172</v>
      </c>
      <c r="L1116" s="96"/>
      <c r="M1116" s="41"/>
      <c r="N1116" s="42">
        <v>972748</v>
      </c>
      <c r="O1116" s="236">
        <f t="shared" si="171"/>
        <v>845</v>
      </c>
      <c r="P1116" s="358"/>
      <c r="Q1116" s="42">
        <v>691977</v>
      </c>
      <c r="R1116" s="314">
        <f t="shared" si="170"/>
        <v>219</v>
      </c>
      <c r="S1116" s="358"/>
      <c r="T1116" s="42">
        <v>29041</v>
      </c>
      <c r="U1116" s="348">
        <f t="shared" si="174"/>
        <v>0</v>
      </c>
      <c r="V1116" s="41"/>
      <c r="W1116" s="42">
        <v>48823</v>
      </c>
      <c r="X1116" s="349">
        <f t="shared" si="167"/>
        <v>0</v>
      </c>
      <c r="Y1116" s="41"/>
      <c r="Z1116" s="243"/>
    </row>
    <row r="1117" spans="1:26">
      <c r="A1117" s="150">
        <v>45646</v>
      </c>
      <c r="B1117" s="350" t="s">
        <v>106</v>
      </c>
      <c r="C1117" s="42">
        <v>4157860</v>
      </c>
      <c r="D1117" s="315">
        <f t="shared" si="172"/>
        <v>11145</v>
      </c>
      <c r="E1117" s="41"/>
      <c r="F1117" s="42">
        <v>10167100</v>
      </c>
      <c r="G1117" s="311">
        <f t="shared" si="169"/>
        <v>71682</v>
      </c>
      <c r="H1117" s="312">
        <f t="shared" si="173"/>
        <v>224.39779005524861</v>
      </c>
      <c r="I1117" s="41"/>
      <c r="J1117" s="42">
        <v>5623105</v>
      </c>
      <c r="K1117" s="313">
        <f t="shared" si="168"/>
        <v>12364</v>
      </c>
      <c r="L1117" s="96"/>
      <c r="M1117" s="41"/>
      <c r="N1117" s="42">
        <v>973593</v>
      </c>
      <c r="O1117" s="236">
        <f t="shared" si="171"/>
        <v>861</v>
      </c>
      <c r="P1117" s="358"/>
      <c r="Q1117" s="42">
        <v>692073</v>
      </c>
      <c r="R1117" s="314">
        <f t="shared" si="170"/>
        <v>96</v>
      </c>
      <c r="S1117" s="358"/>
      <c r="T1117" s="42">
        <v>29041</v>
      </c>
      <c r="U1117" s="348">
        <f t="shared" si="174"/>
        <v>0</v>
      </c>
      <c r="V1117" s="41"/>
      <c r="W1117" s="42">
        <v>48823</v>
      </c>
      <c r="X1117" s="349">
        <f t="shared" si="167"/>
        <v>0</v>
      </c>
      <c r="Y1117" s="41"/>
      <c r="Z1117" s="243"/>
    </row>
    <row r="1118" spans="1:26">
      <c r="A1118" s="150">
        <v>45647</v>
      </c>
      <c r="B1118" s="350" t="s">
        <v>107</v>
      </c>
      <c r="C1118" s="42">
        <v>4169005</v>
      </c>
      <c r="D1118" s="315">
        <f t="shared" si="172"/>
        <v>0</v>
      </c>
      <c r="E1118" s="41"/>
      <c r="F1118" s="42">
        <v>10238782</v>
      </c>
      <c r="G1118" s="311">
        <f t="shared" si="169"/>
        <v>0</v>
      </c>
      <c r="H1118" s="312">
        <f t="shared" si="173"/>
        <v>-4.4060773480662982</v>
      </c>
      <c r="I1118" s="41"/>
      <c r="J1118" s="42">
        <v>5635469</v>
      </c>
      <c r="K1118" s="313">
        <f t="shared" si="168"/>
        <v>0</v>
      </c>
      <c r="L1118" s="96"/>
      <c r="M1118" s="41"/>
      <c r="N1118" s="42">
        <v>974454</v>
      </c>
      <c r="O1118" s="236">
        <f t="shared" si="171"/>
        <v>1677</v>
      </c>
      <c r="P1118" s="358"/>
      <c r="Q1118" s="42">
        <v>692304</v>
      </c>
      <c r="R1118" s="314">
        <f t="shared" si="170"/>
        <v>231</v>
      </c>
      <c r="S1118" s="358"/>
      <c r="T1118" s="42">
        <v>29041</v>
      </c>
      <c r="U1118" s="348">
        <f t="shared" si="174"/>
        <v>0</v>
      </c>
      <c r="V1118" s="41"/>
      <c r="W1118" s="42">
        <v>48823</v>
      </c>
      <c r="X1118" s="349">
        <f t="shared" si="167"/>
        <v>0</v>
      </c>
      <c r="Y1118" s="41"/>
      <c r="Z1118" s="243"/>
    </row>
    <row r="1119" spans="1:26">
      <c r="A1119" s="150">
        <v>45648</v>
      </c>
      <c r="B1119" s="350" t="s">
        <v>36</v>
      </c>
      <c r="C1119" s="42">
        <v>4169005</v>
      </c>
      <c r="D1119" s="315">
        <f t="shared" si="172"/>
        <v>0</v>
      </c>
      <c r="E1119" s="41"/>
      <c r="F1119" s="42">
        <v>10238782</v>
      </c>
      <c r="G1119" s="311">
        <f t="shared" si="169"/>
        <v>0</v>
      </c>
      <c r="H1119" s="312">
        <f t="shared" si="173"/>
        <v>-4.4060773480662982</v>
      </c>
      <c r="I1119" s="41"/>
      <c r="J1119" s="42">
        <v>5635469</v>
      </c>
      <c r="K1119" s="313">
        <f t="shared" si="168"/>
        <v>0</v>
      </c>
      <c r="L1119" s="96"/>
      <c r="M1119" s="41"/>
      <c r="N1119" s="42">
        <v>976131</v>
      </c>
      <c r="O1119" s="236">
        <f t="shared" si="171"/>
        <v>0</v>
      </c>
      <c r="P1119" s="358"/>
      <c r="Q1119" s="42">
        <v>692304</v>
      </c>
      <c r="R1119" s="314">
        <f t="shared" si="170"/>
        <v>0</v>
      </c>
      <c r="S1119" s="358"/>
      <c r="T1119" s="42">
        <v>29041</v>
      </c>
      <c r="U1119" s="348">
        <f t="shared" si="174"/>
        <v>0</v>
      </c>
      <c r="V1119" s="41"/>
      <c r="W1119" s="42">
        <v>48823</v>
      </c>
      <c r="X1119" s="349">
        <f t="shared" ref="X1119:X1182" si="175">W1120-W1119</f>
        <v>0</v>
      </c>
      <c r="Y1119" s="41"/>
      <c r="Z1119" s="243"/>
    </row>
    <row r="1120" spans="1:26">
      <c r="A1120" s="150">
        <v>45649</v>
      </c>
      <c r="B1120" s="350" t="s">
        <v>108</v>
      </c>
      <c r="C1120" s="42">
        <v>4169005</v>
      </c>
      <c r="D1120" s="315">
        <f t="shared" si="172"/>
        <v>0</v>
      </c>
      <c r="E1120" s="41"/>
      <c r="F1120" s="42">
        <v>10238782</v>
      </c>
      <c r="G1120" s="311">
        <f t="shared" si="169"/>
        <v>0</v>
      </c>
      <c r="H1120" s="312">
        <f t="shared" si="173"/>
        <v>-4.4060773480662982</v>
      </c>
      <c r="I1120" s="41"/>
      <c r="J1120" s="42">
        <v>5635469</v>
      </c>
      <c r="K1120" s="313">
        <f t="shared" si="168"/>
        <v>0</v>
      </c>
      <c r="L1120" s="96"/>
      <c r="M1120" s="41"/>
      <c r="N1120" s="42">
        <v>976131</v>
      </c>
      <c r="O1120" s="236">
        <f t="shared" si="171"/>
        <v>857</v>
      </c>
      <c r="P1120" s="358"/>
      <c r="Q1120" s="42">
        <v>692304</v>
      </c>
      <c r="R1120" s="314">
        <f t="shared" si="170"/>
        <v>0</v>
      </c>
      <c r="S1120" s="358"/>
      <c r="T1120" s="42">
        <v>29041</v>
      </c>
      <c r="U1120" s="348">
        <f t="shared" si="174"/>
        <v>0</v>
      </c>
      <c r="V1120" s="41"/>
      <c r="W1120" s="42">
        <v>48823</v>
      </c>
      <c r="X1120" s="349">
        <f t="shared" si="175"/>
        <v>0</v>
      </c>
      <c r="Y1120" s="41"/>
      <c r="Z1120" s="243"/>
    </row>
    <row r="1121" spans="1:26">
      <c r="A1121" s="150">
        <v>45650</v>
      </c>
      <c r="B1121" s="350" t="s">
        <v>109</v>
      </c>
      <c r="C1121" s="42">
        <v>4169005</v>
      </c>
      <c r="D1121" s="315">
        <f t="shared" si="172"/>
        <v>0</v>
      </c>
      <c r="E1121" s="41"/>
      <c r="F1121" s="42">
        <v>10238782</v>
      </c>
      <c r="G1121" s="311">
        <f t="shared" si="169"/>
        <v>0</v>
      </c>
      <c r="H1121" s="312">
        <f t="shared" si="173"/>
        <v>-4.4060773480662982</v>
      </c>
      <c r="I1121" s="41"/>
      <c r="J1121" s="42">
        <v>5635469</v>
      </c>
      <c r="K1121" s="313">
        <f t="shared" si="168"/>
        <v>0</v>
      </c>
      <c r="L1121" s="96"/>
      <c r="M1121" s="41"/>
      <c r="N1121" s="42">
        <v>976988</v>
      </c>
      <c r="O1121" s="236">
        <f t="shared" si="171"/>
        <v>709</v>
      </c>
      <c r="P1121" s="358"/>
      <c r="Q1121" s="42">
        <v>692393</v>
      </c>
      <c r="R1121" s="314">
        <f t="shared" si="170"/>
        <v>89</v>
      </c>
      <c r="S1121" s="358"/>
      <c r="T1121" s="42">
        <v>29041</v>
      </c>
      <c r="U1121" s="348">
        <f t="shared" si="174"/>
        <v>0</v>
      </c>
      <c r="V1121" s="41"/>
      <c r="W1121" s="42">
        <v>48823</v>
      </c>
      <c r="X1121" s="349">
        <f t="shared" si="175"/>
        <v>0</v>
      </c>
      <c r="Y1121" s="41"/>
      <c r="Z1121" s="243"/>
    </row>
    <row r="1122" spans="1:26">
      <c r="A1122" s="150">
        <v>45651</v>
      </c>
      <c r="B1122" s="350" t="s">
        <v>110</v>
      </c>
      <c r="C1122" s="42">
        <v>4169005</v>
      </c>
      <c r="D1122" s="315">
        <f t="shared" si="172"/>
        <v>0</v>
      </c>
      <c r="E1122" s="41"/>
      <c r="F1122" s="42">
        <v>10238782</v>
      </c>
      <c r="G1122" s="311">
        <f t="shared" si="169"/>
        <v>0</v>
      </c>
      <c r="H1122" s="312">
        <f t="shared" si="173"/>
        <v>-4.4060773480662982</v>
      </c>
      <c r="I1122" s="41"/>
      <c r="J1122" s="42">
        <v>5635469</v>
      </c>
      <c r="K1122" s="313">
        <f t="shared" si="168"/>
        <v>0</v>
      </c>
      <c r="L1122" s="96"/>
      <c r="M1122" s="41"/>
      <c r="N1122" s="42">
        <v>977697</v>
      </c>
      <c r="O1122" s="236">
        <f t="shared" si="171"/>
        <v>0</v>
      </c>
      <c r="P1122" s="358"/>
      <c r="Q1122" s="42">
        <v>692512</v>
      </c>
      <c r="R1122" s="314">
        <f t="shared" si="170"/>
        <v>119</v>
      </c>
      <c r="S1122" s="358"/>
      <c r="T1122" s="42">
        <v>29041</v>
      </c>
      <c r="U1122" s="348">
        <f t="shared" si="174"/>
        <v>0</v>
      </c>
      <c r="V1122" s="41"/>
      <c r="W1122" s="42">
        <v>48823</v>
      </c>
      <c r="X1122" s="349">
        <f t="shared" si="175"/>
        <v>0</v>
      </c>
      <c r="Y1122" s="41"/>
      <c r="Z1122" s="243"/>
    </row>
    <row r="1123" spans="1:26">
      <c r="A1123" s="150">
        <v>45652</v>
      </c>
      <c r="B1123" s="350" t="s">
        <v>111</v>
      </c>
      <c r="C1123" s="42">
        <v>4169005</v>
      </c>
      <c r="D1123" s="315">
        <f t="shared" si="172"/>
        <v>0</v>
      </c>
      <c r="E1123" s="41"/>
      <c r="F1123" s="42">
        <v>10238782</v>
      </c>
      <c r="G1123" s="311">
        <f t="shared" si="169"/>
        <v>0</v>
      </c>
      <c r="H1123" s="312">
        <f t="shared" si="173"/>
        <v>-4.4060773480662982</v>
      </c>
      <c r="I1123" s="41"/>
      <c r="J1123" s="42">
        <v>5635469</v>
      </c>
      <c r="K1123" s="313">
        <f t="shared" si="168"/>
        <v>0</v>
      </c>
      <c r="L1123" s="96"/>
      <c r="M1123" s="41"/>
      <c r="N1123" s="42">
        <v>977697</v>
      </c>
      <c r="O1123" s="236">
        <f t="shared" si="171"/>
        <v>764</v>
      </c>
      <c r="P1123" s="358"/>
      <c r="Q1123" s="42">
        <v>692512</v>
      </c>
      <c r="R1123" s="314">
        <f t="shared" si="170"/>
        <v>0</v>
      </c>
      <c r="S1123" s="358"/>
      <c r="T1123" s="42">
        <v>29041</v>
      </c>
      <c r="U1123" s="348">
        <f t="shared" si="174"/>
        <v>0</v>
      </c>
      <c r="V1123" s="41"/>
      <c r="W1123" s="42">
        <v>48823</v>
      </c>
      <c r="X1123" s="349">
        <f t="shared" si="175"/>
        <v>0</v>
      </c>
      <c r="Y1123" s="41"/>
      <c r="Z1123" s="243"/>
    </row>
    <row r="1124" spans="1:26">
      <c r="A1124" s="150">
        <v>45653</v>
      </c>
      <c r="B1124" s="350" t="s">
        <v>106</v>
      </c>
      <c r="C1124" s="42">
        <v>4169005</v>
      </c>
      <c r="D1124" s="315">
        <f t="shared" si="172"/>
        <v>0</v>
      </c>
      <c r="E1124" s="41"/>
      <c r="F1124" s="42">
        <v>10238782</v>
      </c>
      <c r="G1124" s="311">
        <f t="shared" si="169"/>
        <v>0</v>
      </c>
      <c r="H1124" s="312">
        <f t="shared" si="173"/>
        <v>-4.4060773480662982</v>
      </c>
      <c r="I1124" s="41"/>
      <c r="J1124" s="42">
        <v>5635469</v>
      </c>
      <c r="K1124" s="313">
        <f t="shared" si="168"/>
        <v>0</v>
      </c>
      <c r="L1124" s="96"/>
      <c r="M1124" s="41"/>
      <c r="N1124" s="42">
        <v>978461</v>
      </c>
      <c r="O1124" s="236">
        <f t="shared" si="171"/>
        <v>862</v>
      </c>
      <c r="P1124" s="358"/>
      <c r="Q1124" s="42">
        <v>692814</v>
      </c>
      <c r="R1124" s="314">
        <f t="shared" si="170"/>
        <v>302</v>
      </c>
      <c r="S1124" s="358"/>
      <c r="T1124" s="42">
        <v>29041</v>
      </c>
      <c r="U1124" s="348">
        <f t="shared" si="174"/>
        <v>0</v>
      </c>
      <c r="V1124" s="41"/>
      <c r="W1124" s="42">
        <v>48823</v>
      </c>
      <c r="X1124" s="349">
        <f t="shared" si="175"/>
        <v>0</v>
      </c>
      <c r="Y1124" s="41"/>
      <c r="Z1124" s="243"/>
    </row>
    <row r="1125" spans="1:26">
      <c r="A1125" s="150">
        <v>45654</v>
      </c>
      <c r="B1125" s="350" t="s">
        <v>107</v>
      </c>
      <c r="C1125" s="42">
        <v>4169005</v>
      </c>
      <c r="D1125" s="315">
        <f t="shared" si="172"/>
        <v>0</v>
      </c>
      <c r="E1125" s="41"/>
      <c r="F1125" s="42">
        <v>10238782</v>
      </c>
      <c r="G1125" s="311">
        <f t="shared" si="169"/>
        <v>0</v>
      </c>
      <c r="H1125" s="312">
        <f t="shared" si="173"/>
        <v>-4.4060773480662982</v>
      </c>
      <c r="I1125" s="41"/>
      <c r="J1125" s="42">
        <v>5635469</v>
      </c>
      <c r="K1125" s="313">
        <f t="shared" si="168"/>
        <v>0</v>
      </c>
      <c r="L1125" s="96"/>
      <c r="M1125" s="41"/>
      <c r="N1125" s="42">
        <v>979323</v>
      </c>
      <c r="O1125" s="236">
        <f t="shared" si="171"/>
        <v>724</v>
      </c>
      <c r="P1125" s="358"/>
      <c r="Q1125" s="42">
        <v>692814</v>
      </c>
      <c r="R1125" s="314">
        <f t="shared" si="170"/>
        <v>0</v>
      </c>
      <c r="S1125" s="358"/>
      <c r="T1125" s="42">
        <v>29041</v>
      </c>
      <c r="U1125" s="348">
        <f t="shared" si="174"/>
        <v>0</v>
      </c>
      <c r="V1125" s="41"/>
      <c r="W1125" s="42">
        <v>48823</v>
      </c>
      <c r="X1125" s="349">
        <f t="shared" si="175"/>
        <v>0</v>
      </c>
      <c r="Y1125" s="41"/>
      <c r="Z1125" s="243"/>
    </row>
    <row r="1126" spans="1:26">
      <c r="A1126" s="150">
        <v>45655</v>
      </c>
      <c r="B1126" s="350" t="s">
        <v>36</v>
      </c>
      <c r="C1126" s="42">
        <v>4169005</v>
      </c>
      <c r="D1126" s="315">
        <f t="shared" si="172"/>
        <v>0</v>
      </c>
      <c r="E1126" s="41"/>
      <c r="F1126" s="42">
        <v>10238782</v>
      </c>
      <c r="G1126" s="311">
        <f t="shared" si="169"/>
        <v>0</v>
      </c>
      <c r="H1126" s="312">
        <f t="shared" si="173"/>
        <v>-4.4060773480662982</v>
      </c>
      <c r="I1126" s="41"/>
      <c r="J1126" s="42">
        <v>5635469</v>
      </c>
      <c r="K1126" s="313">
        <f t="shared" si="168"/>
        <v>0</v>
      </c>
      <c r="L1126" s="96"/>
      <c r="M1126" s="41"/>
      <c r="N1126" s="42">
        <v>980047</v>
      </c>
      <c r="O1126" s="236">
        <f t="shared" si="171"/>
        <v>0</v>
      </c>
      <c r="P1126" s="358"/>
      <c r="Q1126" s="42">
        <v>692814</v>
      </c>
      <c r="R1126" s="314">
        <f t="shared" si="170"/>
        <v>0</v>
      </c>
      <c r="S1126" s="358"/>
      <c r="T1126" s="42">
        <v>29041</v>
      </c>
      <c r="U1126" s="348">
        <f t="shared" si="174"/>
        <v>0</v>
      </c>
      <c r="V1126" s="41"/>
      <c r="W1126" s="42">
        <v>48823</v>
      </c>
      <c r="X1126" s="349">
        <f t="shared" si="175"/>
        <v>0</v>
      </c>
      <c r="Y1126" s="41"/>
      <c r="Z1126" s="243"/>
    </row>
    <row r="1127" spans="1:26">
      <c r="A1127" s="150">
        <v>45656</v>
      </c>
      <c r="B1127" s="350" t="s">
        <v>108</v>
      </c>
      <c r="C1127" s="42">
        <v>4169005</v>
      </c>
      <c r="D1127" s="315">
        <f t="shared" si="172"/>
        <v>0</v>
      </c>
      <c r="E1127" s="41"/>
      <c r="F1127" s="42">
        <v>10238782</v>
      </c>
      <c r="G1127" s="311">
        <f t="shared" si="169"/>
        <v>0</v>
      </c>
      <c r="H1127" s="312">
        <f t="shared" si="173"/>
        <v>-4.4060773480662982</v>
      </c>
      <c r="I1127" s="41"/>
      <c r="J1127" s="42">
        <v>5635469</v>
      </c>
      <c r="K1127" s="313">
        <f t="shared" si="168"/>
        <v>0</v>
      </c>
      <c r="L1127" s="96"/>
      <c r="M1127" s="41"/>
      <c r="N1127" s="42">
        <v>980047</v>
      </c>
      <c r="O1127" s="236">
        <f t="shared" si="171"/>
        <v>649</v>
      </c>
      <c r="P1127" s="358"/>
      <c r="Q1127" s="42">
        <v>692814</v>
      </c>
      <c r="R1127" s="314">
        <f t="shared" si="170"/>
        <v>0</v>
      </c>
      <c r="S1127" s="358"/>
      <c r="T1127" s="42">
        <v>29041</v>
      </c>
      <c r="U1127" s="348">
        <f t="shared" si="174"/>
        <v>0</v>
      </c>
      <c r="V1127" s="41"/>
      <c r="W1127" s="42">
        <v>48823</v>
      </c>
      <c r="X1127" s="349">
        <f t="shared" si="175"/>
        <v>0</v>
      </c>
      <c r="Y1127" s="41"/>
      <c r="Z1127" s="243"/>
    </row>
    <row r="1128" spans="1:26">
      <c r="A1128" s="150">
        <v>45657</v>
      </c>
      <c r="B1128" s="350" t="s">
        <v>109</v>
      </c>
      <c r="C1128" s="42">
        <v>4169005</v>
      </c>
      <c r="D1128" s="315">
        <f t="shared" si="172"/>
        <v>0</v>
      </c>
      <c r="E1128" s="41"/>
      <c r="F1128" s="42">
        <v>10238782</v>
      </c>
      <c r="G1128" s="311">
        <f t="shared" si="169"/>
        <v>0</v>
      </c>
      <c r="H1128" s="312">
        <f t="shared" si="173"/>
        <v>-4.4060773480662982</v>
      </c>
      <c r="I1128" s="41"/>
      <c r="J1128" s="42">
        <v>5635469</v>
      </c>
      <c r="K1128" s="313">
        <f t="shared" si="168"/>
        <v>0</v>
      </c>
      <c r="L1128" s="96"/>
      <c r="M1128" s="41"/>
      <c r="N1128" s="42">
        <v>980696</v>
      </c>
      <c r="O1128" s="236">
        <f t="shared" si="171"/>
        <v>0</v>
      </c>
      <c r="P1128" s="358"/>
      <c r="Q1128" s="42">
        <v>692915</v>
      </c>
      <c r="R1128" s="314">
        <f t="shared" si="170"/>
        <v>101</v>
      </c>
      <c r="S1128" s="358"/>
      <c r="T1128" s="42">
        <v>29041</v>
      </c>
      <c r="U1128" s="348">
        <f t="shared" si="174"/>
        <v>0</v>
      </c>
      <c r="V1128" s="41"/>
      <c r="W1128" s="42">
        <v>48823</v>
      </c>
      <c r="X1128" s="349">
        <f t="shared" si="175"/>
        <v>0</v>
      </c>
      <c r="Y1128" s="41"/>
      <c r="Z1128" s="243"/>
    </row>
    <row r="1129" spans="1:26">
      <c r="A1129" s="150">
        <v>45658</v>
      </c>
      <c r="B1129" s="350" t="s">
        <v>110</v>
      </c>
      <c r="C1129" s="42">
        <v>4169005</v>
      </c>
      <c r="D1129" s="315">
        <f t="shared" si="172"/>
        <v>0</v>
      </c>
      <c r="E1129" s="41"/>
      <c r="F1129" s="42">
        <v>10238782</v>
      </c>
      <c r="G1129" s="311">
        <f t="shared" si="169"/>
        <v>0</v>
      </c>
      <c r="H1129" s="312">
        <f t="shared" si="173"/>
        <v>-4.4060773480662982</v>
      </c>
      <c r="I1129" s="41"/>
      <c r="J1129" s="42">
        <v>5635469</v>
      </c>
      <c r="K1129" s="313">
        <f t="shared" si="168"/>
        <v>0</v>
      </c>
      <c r="L1129" s="96"/>
      <c r="M1129" s="41"/>
      <c r="N1129" s="42">
        <v>980696</v>
      </c>
      <c r="O1129" s="236">
        <f t="shared" si="171"/>
        <v>0</v>
      </c>
      <c r="P1129" s="358"/>
      <c r="Q1129" s="42">
        <v>693054</v>
      </c>
      <c r="R1129" s="314">
        <f t="shared" si="170"/>
        <v>139</v>
      </c>
      <c r="S1129" s="358"/>
      <c r="T1129" s="42">
        <v>29041</v>
      </c>
      <c r="U1129" s="348">
        <f t="shared" si="174"/>
        <v>0</v>
      </c>
      <c r="V1129" s="41"/>
      <c r="W1129" s="42">
        <v>48823</v>
      </c>
      <c r="X1129" s="349">
        <f t="shared" si="175"/>
        <v>0</v>
      </c>
      <c r="Y1129" s="41"/>
      <c r="Z1129" s="243"/>
    </row>
    <row r="1130" spans="1:26">
      <c r="A1130" s="150">
        <v>45659</v>
      </c>
      <c r="B1130" s="350" t="s">
        <v>111</v>
      </c>
      <c r="C1130" s="42">
        <v>4169005</v>
      </c>
      <c r="D1130" s="315">
        <f t="shared" si="172"/>
        <v>3500</v>
      </c>
      <c r="E1130" s="41"/>
      <c r="F1130" s="42">
        <v>10238782</v>
      </c>
      <c r="G1130" s="311">
        <f t="shared" si="169"/>
        <v>10186</v>
      </c>
      <c r="H1130" s="312">
        <f t="shared" si="173"/>
        <v>33.400552486187848</v>
      </c>
      <c r="I1130" s="41"/>
      <c r="J1130" s="42">
        <v>5635469</v>
      </c>
      <c r="K1130" s="313">
        <f t="shared" si="168"/>
        <v>601</v>
      </c>
      <c r="L1130" s="96"/>
      <c r="M1130" s="41"/>
      <c r="N1130" s="42">
        <v>980696</v>
      </c>
      <c r="O1130" s="236">
        <f t="shared" si="171"/>
        <v>668</v>
      </c>
      <c r="P1130" s="358"/>
      <c r="Q1130" s="42">
        <v>693054</v>
      </c>
      <c r="R1130" s="314">
        <f t="shared" si="170"/>
        <v>0</v>
      </c>
      <c r="S1130" s="358"/>
      <c r="T1130" s="42">
        <v>29041</v>
      </c>
      <c r="U1130" s="348">
        <f t="shared" si="174"/>
        <v>642</v>
      </c>
      <c r="V1130" s="41"/>
      <c r="W1130" s="42">
        <v>48823</v>
      </c>
      <c r="X1130" s="349">
        <f t="shared" si="175"/>
        <v>16</v>
      </c>
      <c r="Y1130" s="41"/>
      <c r="Z1130" s="243"/>
    </row>
    <row r="1131" spans="1:26">
      <c r="A1131" s="150">
        <v>45660</v>
      </c>
      <c r="B1131" s="350" t="s">
        <v>106</v>
      </c>
      <c r="C1131" s="42">
        <v>4172505</v>
      </c>
      <c r="D1131" s="315">
        <f t="shared" si="172"/>
        <v>3317</v>
      </c>
      <c r="E1131" s="41"/>
      <c r="F1131" s="42">
        <v>10248968</v>
      </c>
      <c r="G1131" s="311">
        <f t="shared" si="169"/>
        <v>17072</v>
      </c>
      <c r="H1131" s="312">
        <f t="shared" si="173"/>
        <v>51.917127071823202</v>
      </c>
      <c r="I1131" s="41"/>
      <c r="J1131" s="42">
        <v>5636070</v>
      </c>
      <c r="K1131" s="313">
        <f t="shared" si="168"/>
        <v>3911</v>
      </c>
      <c r="L1131" s="96"/>
      <c r="M1131" s="41"/>
      <c r="N1131" s="42">
        <v>981364</v>
      </c>
      <c r="O1131" s="236">
        <f t="shared" si="171"/>
        <v>912</v>
      </c>
      <c r="P1131" s="358"/>
      <c r="Q1131" s="42">
        <v>693142</v>
      </c>
      <c r="R1131" s="314">
        <f t="shared" si="170"/>
        <v>88</v>
      </c>
      <c r="S1131" s="358"/>
      <c r="T1131" s="42">
        <v>29683</v>
      </c>
      <c r="U1131" s="348">
        <f t="shared" si="174"/>
        <v>0</v>
      </c>
      <c r="V1131" s="41"/>
      <c r="W1131" s="42">
        <v>48839</v>
      </c>
      <c r="X1131" s="349">
        <f t="shared" si="175"/>
        <v>0</v>
      </c>
      <c r="Y1131" s="41"/>
      <c r="Z1131" s="243"/>
    </row>
    <row r="1132" spans="1:26">
      <c r="A1132" s="150">
        <v>45661</v>
      </c>
      <c r="B1132" s="350" t="s">
        <v>107</v>
      </c>
      <c r="C1132" s="42">
        <v>4175822</v>
      </c>
      <c r="D1132" s="315">
        <f t="shared" si="172"/>
        <v>0</v>
      </c>
      <c r="E1132" s="41"/>
      <c r="F1132" s="42">
        <v>10266040</v>
      </c>
      <c r="G1132" s="311">
        <f t="shared" si="169"/>
        <v>0</v>
      </c>
      <c r="H1132" s="312">
        <f t="shared" si="173"/>
        <v>-4.4060773480662982</v>
      </c>
      <c r="I1132" s="41"/>
      <c r="J1132" s="42">
        <v>5639981</v>
      </c>
      <c r="K1132" s="313">
        <f t="shared" si="168"/>
        <v>0</v>
      </c>
      <c r="L1132" s="96"/>
      <c r="M1132" s="41"/>
      <c r="N1132" s="42">
        <v>982276</v>
      </c>
      <c r="O1132" s="236">
        <f t="shared" si="171"/>
        <v>868</v>
      </c>
      <c r="P1132" s="358"/>
      <c r="Q1132" s="42">
        <v>693398</v>
      </c>
      <c r="R1132" s="314">
        <f t="shared" si="170"/>
        <v>256</v>
      </c>
      <c r="S1132" s="358"/>
      <c r="T1132" s="42">
        <v>29683</v>
      </c>
      <c r="U1132" s="348">
        <f t="shared" si="174"/>
        <v>0</v>
      </c>
      <c r="V1132" s="41"/>
      <c r="W1132" s="42">
        <v>48839</v>
      </c>
      <c r="X1132" s="349">
        <f t="shared" si="175"/>
        <v>0</v>
      </c>
      <c r="Y1132" s="41"/>
      <c r="Z1132" s="243"/>
    </row>
    <row r="1133" spans="1:26">
      <c r="A1133" s="150">
        <v>45662</v>
      </c>
      <c r="B1133" s="350" t="s">
        <v>36</v>
      </c>
      <c r="C1133" s="42">
        <v>4175822</v>
      </c>
      <c r="D1133" s="315">
        <f t="shared" si="172"/>
        <v>0</v>
      </c>
      <c r="E1133" s="41"/>
      <c r="F1133" s="42">
        <v>10266040</v>
      </c>
      <c r="G1133" s="311">
        <f t="shared" si="169"/>
        <v>0</v>
      </c>
      <c r="H1133" s="312">
        <f t="shared" si="173"/>
        <v>-4.4060773480662982</v>
      </c>
      <c r="I1133" s="41"/>
      <c r="J1133" s="42">
        <v>5639981</v>
      </c>
      <c r="K1133" s="313">
        <f t="shared" si="168"/>
        <v>0</v>
      </c>
      <c r="L1133" s="96"/>
      <c r="M1133" s="41"/>
      <c r="N1133" s="42">
        <v>983144</v>
      </c>
      <c r="O1133" s="236">
        <f t="shared" si="171"/>
        <v>0</v>
      </c>
      <c r="P1133" s="358"/>
      <c r="Q1133" s="42">
        <v>693398</v>
      </c>
      <c r="R1133" s="314">
        <f t="shared" si="170"/>
        <v>0</v>
      </c>
      <c r="S1133" s="358"/>
      <c r="T1133" s="42">
        <v>29683</v>
      </c>
      <c r="U1133" s="348">
        <f t="shared" si="174"/>
        <v>0</v>
      </c>
      <c r="V1133" s="41"/>
      <c r="W1133" s="42">
        <v>48839</v>
      </c>
      <c r="X1133" s="349">
        <f t="shared" si="175"/>
        <v>0</v>
      </c>
      <c r="Y1133" s="41"/>
      <c r="Z1133" s="243"/>
    </row>
    <row r="1134" spans="1:26">
      <c r="A1134" s="150">
        <v>45663</v>
      </c>
      <c r="B1134" s="350" t="s">
        <v>108</v>
      </c>
      <c r="C1134" s="42">
        <v>4175822</v>
      </c>
      <c r="D1134" s="315">
        <f t="shared" si="172"/>
        <v>4160</v>
      </c>
      <c r="E1134" s="41"/>
      <c r="F1134" s="42">
        <v>10266040</v>
      </c>
      <c r="G1134" s="311">
        <f t="shared" si="169"/>
        <v>10960</v>
      </c>
      <c r="H1134" s="312">
        <f t="shared" si="173"/>
        <v>37.361878453038671</v>
      </c>
      <c r="I1134" s="41"/>
      <c r="J1134" s="42">
        <v>5639981</v>
      </c>
      <c r="K1134" s="313">
        <f t="shared" si="168"/>
        <v>4453</v>
      </c>
      <c r="L1134" s="96"/>
      <c r="M1134" s="41"/>
      <c r="N1134" s="42">
        <v>983144</v>
      </c>
      <c r="O1134" s="236">
        <f t="shared" si="171"/>
        <v>858</v>
      </c>
      <c r="P1134" s="358"/>
      <c r="Q1134" s="42">
        <v>693398</v>
      </c>
      <c r="R1134" s="314">
        <f t="shared" si="170"/>
        <v>0</v>
      </c>
      <c r="S1134" s="358"/>
      <c r="T1134" s="42">
        <v>29683</v>
      </c>
      <c r="U1134" s="348">
        <f t="shared" si="174"/>
        <v>0</v>
      </c>
      <c r="V1134" s="41"/>
      <c r="W1134" s="42">
        <v>48839</v>
      </c>
      <c r="X1134" s="349">
        <f t="shared" si="175"/>
        <v>0</v>
      </c>
      <c r="Y1134" s="41"/>
      <c r="Z1134" s="243"/>
    </row>
    <row r="1135" spans="1:26">
      <c r="A1135" s="150">
        <v>45664</v>
      </c>
      <c r="B1135" s="350" t="s">
        <v>109</v>
      </c>
      <c r="C1135" s="42">
        <v>4179982</v>
      </c>
      <c r="D1135" s="315">
        <f t="shared" si="172"/>
        <v>4437</v>
      </c>
      <c r="E1135" s="41"/>
      <c r="F1135" s="42">
        <v>10277000</v>
      </c>
      <c r="G1135" s="311">
        <f t="shared" si="169"/>
        <v>11571</v>
      </c>
      <c r="H1135" s="312">
        <f t="shared" si="173"/>
        <v>39.814917127071823</v>
      </c>
      <c r="I1135" s="41"/>
      <c r="J1135" s="42">
        <v>5644434</v>
      </c>
      <c r="K1135" s="313">
        <f t="shared" si="168"/>
        <v>4524</v>
      </c>
      <c r="L1135" s="96"/>
      <c r="M1135" s="41"/>
      <c r="N1135" s="42">
        <v>984002</v>
      </c>
      <c r="O1135" s="236">
        <f t="shared" si="171"/>
        <v>868</v>
      </c>
      <c r="P1135" s="358"/>
      <c r="Q1135" s="42">
        <v>693398</v>
      </c>
      <c r="R1135" s="314">
        <f t="shared" si="170"/>
        <v>0</v>
      </c>
      <c r="S1135" s="358"/>
      <c r="T1135" s="42">
        <v>29683</v>
      </c>
      <c r="U1135" s="348">
        <f t="shared" si="174"/>
        <v>0</v>
      </c>
      <c r="V1135" s="41"/>
      <c r="W1135" s="42">
        <v>48839</v>
      </c>
      <c r="X1135" s="349">
        <f t="shared" si="175"/>
        <v>0</v>
      </c>
      <c r="Y1135" s="41"/>
      <c r="Z1135" s="243"/>
    </row>
    <row r="1136" spans="1:26">
      <c r="A1136" s="150">
        <v>45665</v>
      </c>
      <c r="B1136" s="350" t="s">
        <v>110</v>
      </c>
      <c r="C1136" s="42">
        <v>4184419</v>
      </c>
      <c r="D1136" s="315">
        <f t="shared" si="172"/>
        <v>4834</v>
      </c>
      <c r="E1136" s="41"/>
      <c r="F1136" s="42">
        <v>10288571</v>
      </c>
      <c r="G1136" s="311">
        <f t="shared" si="169"/>
        <v>12654</v>
      </c>
      <c r="H1136" s="312">
        <f t="shared" si="173"/>
        <v>43.903314917127069</v>
      </c>
      <c r="I1136" s="41"/>
      <c r="J1136" s="42">
        <v>5648958</v>
      </c>
      <c r="K1136" s="313">
        <f t="shared" si="168"/>
        <v>4414</v>
      </c>
      <c r="L1136" s="96"/>
      <c r="M1136" s="41"/>
      <c r="N1136" s="42">
        <v>984870</v>
      </c>
      <c r="O1136" s="236">
        <f t="shared" si="171"/>
        <v>724</v>
      </c>
      <c r="P1136" s="358"/>
      <c r="Q1136" s="42">
        <v>693519</v>
      </c>
      <c r="R1136" s="314">
        <f t="shared" si="170"/>
        <v>121</v>
      </c>
      <c r="S1136" s="358"/>
      <c r="T1136" s="42">
        <v>29683</v>
      </c>
      <c r="U1136" s="348">
        <f t="shared" si="174"/>
        <v>7668</v>
      </c>
      <c r="V1136" s="41"/>
      <c r="W1136" s="42">
        <v>48839</v>
      </c>
      <c r="X1136" s="349">
        <f t="shared" si="175"/>
        <v>33</v>
      </c>
      <c r="Y1136" s="41"/>
      <c r="Z1136" s="243"/>
    </row>
    <row r="1137" spans="1:26">
      <c r="A1137" s="150">
        <v>45666</v>
      </c>
      <c r="B1137" s="350" t="s">
        <v>111</v>
      </c>
      <c r="C1137" s="42">
        <v>4189253</v>
      </c>
      <c r="D1137" s="315">
        <f t="shared" si="172"/>
        <v>9198</v>
      </c>
      <c r="E1137" s="41"/>
      <c r="F1137" s="42">
        <v>10301225</v>
      </c>
      <c r="G1137" s="311">
        <f t="shared" si="169"/>
        <v>30641</v>
      </c>
      <c r="H1137" s="312">
        <f t="shared" si="173"/>
        <v>105.646408839779</v>
      </c>
      <c r="I1137" s="41"/>
      <c r="J1137" s="42">
        <v>5653372</v>
      </c>
      <c r="K1137" s="313">
        <f t="shared" si="168"/>
        <v>8679</v>
      </c>
      <c r="L1137" s="96"/>
      <c r="M1137" s="41"/>
      <c r="N1137" s="42">
        <v>985594</v>
      </c>
      <c r="O1137" s="236">
        <f t="shared" si="171"/>
        <v>1173</v>
      </c>
      <c r="P1137" s="358"/>
      <c r="Q1137" s="42">
        <v>693581</v>
      </c>
      <c r="R1137" s="314">
        <f t="shared" si="170"/>
        <v>62</v>
      </c>
      <c r="S1137" s="358"/>
      <c r="T1137" s="42">
        <v>37351</v>
      </c>
      <c r="U1137" s="348">
        <f t="shared" si="174"/>
        <v>0</v>
      </c>
      <c r="V1137" s="41"/>
      <c r="W1137" s="42">
        <v>48872</v>
      </c>
      <c r="X1137" s="349">
        <f t="shared" si="175"/>
        <v>0</v>
      </c>
      <c r="Y1137" s="41"/>
      <c r="Z1137" s="243"/>
    </row>
    <row r="1138" spans="1:26">
      <c r="A1138" s="150">
        <v>45667</v>
      </c>
      <c r="B1138" s="350" t="s">
        <v>106</v>
      </c>
      <c r="C1138" s="42">
        <v>4198451</v>
      </c>
      <c r="D1138" s="315">
        <f t="shared" si="172"/>
        <v>0</v>
      </c>
      <c r="E1138" s="41"/>
      <c r="F1138" s="42">
        <v>10331866</v>
      </c>
      <c r="G1138" s="311">
        <f t="shared" si="169"/>
        <v>0</v>
      </c>
      <c r="H1138" s="312">
        <f t="shared" si="173"/>
        <v>-4.4060773480662982</v>
      </c>
      <c r="I1138" s="41"/>
      <c r="J1138" s="42">
        <v>5662051</v>
      </c>
      <c r="K1138" s="313">
        <f t="shared" si="168"/>
        <v>0</v>
      </c>
      <c r="L1138" s="96"/>
      <c r="M1138" s="41"/>
      <c r="N1138" s="42">
        <v>986767</v>
      </c>
      <c r="O1138" s="236">
        <f t="shared" si="171"/>
        <v>816</v>
      </c>
      <c r="P1138" s="358"/>
      <c r="Q1138" s="42">
        <v>693667</v>
      </c>
      <c r="R1138" s="314">
        <f t="shared" si="170"/>
        <v>86</v>
      </c>
      <c r="S1138" s="358"/>
      <c r="T1138" s="42">
        <v>37351</v>
      </c>
      <c r="U1138" s="348">
        <f t="shared" si="174"/>
        <v>0</v>
      </c>
      <c r="V1138" s="41"/>
      <c r="W1138" s="42">
        <v>48872</v>
      </c>
      <c r="X1138" s="349">
        <f t="shared" si="175"/>
        <v>0</v>
      </c>
      <c r="Y1138" s="41"/>
      <c r="Z1138" s="243"/>
    </row>
    <row r="1139" spans="1:26">
      <c r="A1139" s="150">
        <v>45668</v>
      </c>
      <c r="B1139" s="350" t="s">
        <v>107</v>
      </c>
      <c r="C1139" s="42">
        <v>4198451</v>
      </c>
      <c r="D1139" s="315">
        <f t="shared" si="172"/>
        <v>0</v>
      </c>
      <c r="E1139" s="41"/>
      <c r="F1139" s="42">
        <v>10331866</v>
      </c>
      <c r="G1139" s="311">
        <f t="shared" si="169"/>
        <v>0</v>
      </c>
      <c r="H1139" s="312">
        <f t="shared" si="173"/>
        <v>-4.4060773480662982</v>
      </c>
      <c r="I1139" s="41"/>
      <c r="J1139" s="42">
        <v>5662051</v>
      </c>
      <c r="K1139" s="313">
        <f t="shared" si="168"/>
        <v>0</v>
      </c>
      <c r="L1139" s="96"/>
      <c r="M1139" s="41"/>
      <c r="N1139" s="42">
        <v>987583</v>
      </c>
      <c r="O1139" s="236">
        <f t="shared" si="171"/>
        <v>817</v>
      </c>
      <c r="P1139" s="358"/>
      <c r="Q1139" s="42">
        <v>694003</v>
      </c>
      <c r="R1139" s="314">
        <f t="shared" si="170"/>
        <v>336</v>
      </c>
      <c r="S1139" s="358"/>
      <c r="T1139" s="42">
        <v>37351</v>
      </c>
      <c r="U1139" s="348">
        <f t="shared" si="174"/>
        <v>0</v>
      </c>
      <c r="V1139" s="41"/>
      <c r="W1139" s="42">
        <v>48872</v>
      </c>
      <c r="X1139" s="349">
        <f t="shared" si="175"/>
        <v>0</v>
      </c>
      <c r="Y1139" s="41"/>
      <c r="Z1139" s="243"/>
    </row>
    <row r="1140" spans="1:26">
      <c r="A1140" s="150">
        <v>45669</v>
      </c>
      <c r="B1140" s="350" t="s">
        <v>36</v>
      </c>
      <c r="C1140" s="42">
        <v>4198451</v>
      </c>
      <c r="D1140" s="315">
        <f t="shared" si="172"/>
        <v>0</v>
      </c>
      <c r="E1140" s="41"/>
      <c r="F1140" s="42">
        <v>10331866</v>
      </c>
      <c r="G1140" s="311">
        <f t="shared" si="169"/>
        <v>0</v>
      </c>
      <c r="H1140" s="312">
        <f t="shared" si="173"/>
        <v>-4.4060773480662982</v>
      </c>
      <c r="I1140" s="41"/>
      <c r="J1140" s="42">
        <v>5662051</v>
      </c>
      <c r="K1140" s="313">
        <f t="shared" ref="K1140:K1203" si="176">IF(J1141&gt;0,J1141-J1140," ")</f>
        <v>0</v>
      </c>
      <c r="L1140" s="96"/>
      <c r="M1140" s="41"/>
      <c r="N1140" s="42">
        <v>988400</v>
      </c>
      <c r="O1140" s="236">
        <f t="shared" si="171"/>
        <v>0</v>
      </c>
      <c r="P1140" s="358"/>
      <c r="Q1140" s="42">
        <v>694003</v>
      </c>
      <c r="R1140" s="314">
        <f t="shared" si="170"/>
        <v>0</v>
      </c>
      <c r="S1140" s="358"/>
      <c r="T1140" s="42">
        <v>37351</v>
      </c>
      <c r="U1140" s="348">
        <f t="shared" si="174"/>
        <v>0</v>
      </c>
      <c r="V1140" s="41"/>
      <c r="W1140" s="42">
        <v>48872</v>
      </c>
      <c r="X1140" s="349">
        <f t="shared" si="175"/>
        <v>0</v>
      </c>
      <c r="Y1140" s="41"/>
      <c r="Z1140" s="243"/>
    </row>
    <row r="1141" spans="1:26">
      <c r="A1141" s="150">
        <v>45670</v>
      </c>
      <c r="B1141" s="350" t="s">
        <v>108</v>
      </c>
      <c r="C1141" s="42">
        <v>4198451</v>
      </c>
      <c r="D1141" s="315">
        <f t="shared" si="172"/>
        <v>3340</v>
      </c>
      <c r="E1141" s="41"/>
      <c r="F1141" s="42">
        <v>10331866</v>
      </c>
      <c r="G1141" s="311">
        <f t="shared" si="169"/>
        <v>9103</v>
      </c>
      <c r="H1141" s="312">
        <f t="shared" si="173"/>
        <v>29.966850828729282</v>
      </c>
      <c r="I1141" s="41"/>
      <c r="J1141" s="42">
        <v>5662051</v>
      </c>
      <c r="K1141" s="313">
        <f t="shared" si="176"/>
        <v>4239</v>
      </c>
      <c r="L1141" s="96"/>
      <c r="M1141" s="41"/>
      <c r="N1141" s="42">
        <v>988400</v>
      </c>
      <c r="O1141" s="236">
        <f t="shared" si="171"/>
        <v>892</v>
      </c>
      <c r="P1141" s="358"/>
      <c r="Q1141" s="42">
        <v>694003</v>
      </c>
      <c r="R1141" s="314">
        <f t="shared" si="170"/>
        <v>0</v>
      </c>
      <c r="S1141" s="358"/>
      <c r="T1141" s="42">
        <v>37351</v>
      </c>
      <c r="U1141" s="348">
        <f t="shared" si="174"/>
        <v>0</v>
      </c>
      <c r="V1141" s="41"/>
      <c r="W1141" s="42">
        <v>48872</v>
      </c>
      <c r="X1141" s="349">
        <f t="shared" si="175"/>
        <v>0</v>
      </c>
      <c r="Y1141" s="41"/>
      <c r="Z1141" s="243"/>
    </row>
    <row r="1142" spans="1:26">
      <c r="A1142" s="150">
        <v>45671</v>
      </c>
      <c r="B1142" s="350" t="s">
        <v>109</v>
      </c>
      <c r="C1142" s="42">
        <v>4201791</v>
      </c>
      <c r="D1142" s="315">
        <f t="shared" si="172"/>
        <v>4823</v>
      </c>
      <c r="E1142" s="41"/>
      <c r="F1142" s="42">
        <v>10340969</v>
      </c>
      <c r="G1142" s="311">
        <f t="shared" si="169"/>
        <v>12639</v>
      </c>
      <c r="H1142" s="312">
        <f t="shared" si="173"/>
        <v>43.831491712707184</v>
      </c>
      <c r="I1142" s="41"/>
      <c r="J1142" s="42">
        <v>5666290</v>
      </c>
      <c r="K1142" s="313">
        <f t="shared" si="176"/>
        <v>4380</v>
      </c>
      <c r="L1142" s="96"/>
      <c r="M1142" s="41"/>
      <c r="N1142" s="42">
        <v>989292</v>
      </c>
      <c r="O1142" s="236">
        <f t="shared" si="171"/>
        <v>775</v>
      </c>
      <c r="P1142" s="358"/>
      <c r="Q1142" s="42">
        <v>694077</v>
      </c>
      <c r="R1142" s="314">
        <f t="shared" si="170"/>
        <v>74</v>
      </c>
      <c r="S1142" s="358"/>
      <c r="T1142" s="42">
        <v>37351</v>
      </c>
      <c r="U1142" s="348">
        <f t="shared" si="174"/>
        <v>0</v>
      </c>
      <c r="V1142" s="41"/>
      <c r="W1142" s="42">
        <v>48872</v>
      </c>
      <c r="X1142" s="349">
        <f t="shared" si="175"/>
        <v>0</v>
      </c>
      <c r="Y1142" s="41"/>
      <c r="Z1142" s="243"/>
    </row>
    <row r="1143" spans="1:26">
      <c r="A1143" s="150">
        <v>45672</v>
      </c>
      <c r="B1143" s="350" t="s">
        <v>110</v>
      </c>
      <c r="C1143" s="42">
        <v>4206614</v>
      </c>
      <c r="D1143" s="315">
        <f t="shared" si="172"/>
        <v>8353</v>
      </c>
      <c r="E1143" s="41"/>
      <c r="F1143" s="42">
        <v>10353608</v>
      </c>
      <c r="G1143" s="311">
        <f t="shared" si="169"/>
        <v>21935</v>
      </c>
      <c r="H1143" s="96"/>
      <c r="I1143" s="41"/>
      <c r="J1143" s="42">
        <v>5670670</v>
      </c>
      <c r="K1143" s="313">
        <f t="shared" si="176"/>
        <v>9216</v>
      </c>
      <c r="L1143" s="96"/>
      <c r="M1143" s="41"/>
      <c r="N1143" s="42">
        <v>990067</v>
      </c>
      <c r="O1143" s="236">
        <f t="shared" si="171"/>
        <v>778</v>
      </c>
      <c r="P1143" s="358"/>
      <c r="Q1143" s="42">
        <v>694196</v>
      </c>
      <c r="R1143" s="314">
        <f t="shared" si="170"/>
        <v>119</v>
      </c>
      <c r="S1143" s="358"/>
      <c r="T1143" s="42">
        <v>37351</v>
      </c>
      <c r="U1143" s="348">
        <f t="shared" si="174"/>
        <v>0</v>
      </c>
      <c r="V1143" s="41"/>
      <c r="W1143" s="42">
        <v>48872</v>
      </c>
      <c r="X1143" s="349">
        <f t="shared" si="175"/>
        <v>0</v>
      </c>
      <c r="Y1143" s="41"/>
      <c r="Z1143" s="243"/>
    </row>
    <row r="1144" spans="1:26">
      <c r="A1144" s="150">
        <v>45673</v>
      </c>
      <c r="B1144" s="350" t="s">
        <v>111</v>
      </c>
      <c r="C1144" s="42">
        <v>4214967</v>
      </c>
      <c r="D1144" s="315">
        <f t="shared" si="172"/>
        <v>0</v>
      </c>
      <c r="E1144" s="41"/>
      <c r="F1144" s="42">
        <v>10375543</v>
      </c>
      <c r="G1144" s="311">
        <f t="shared" si="169"/>
        <v>0</v>
      </c>
      <c r="H1144" s="96"/>
      <c r="I1144" s="41"/>
      <c r="J1144" s="42">
        <v>5679886</v>
      </c>
      <c r="K1144" s="313">
        <f t="shared" si="176"/>
        <v>0</v>
      </c>
      <c r="L1144" s="96"/>
      <c r="M1144" s="41"/>
      <c r="N1144" s="42">
        <v>990845</v>
      </c>
      <c r="O1144" s="236">
        <f t="shared" si="171"/>
        <v>884</v>
      </c>
      <c r="P1144" s="358"/>
      <c r="Q1144" s="42">
        <v>694279</v>
      </c>
      <c r="R1144" s="314">
        <f t="shared" si="170"/>
        <v>83</v>
      </c>
      <c r="S1144" s="358"/>
      <c r="T1144" s="42">
        <v>37351</v>
      </c>
      <c r="U1144" s="348">
        <f t="shared" si="174"/>
        <v>0</v>
      </c>
      <c r="V1144" s="41"/>
      <c r="W1144" s="42">
        <v>48872</v>
      </c>
      <c r="X1144" s="349">
        <f t="shared" si="175"/>
        <v>0</v>
      </c>
      <c r="Y1144" s="41"/>
      <c r="Z1144" s="243"/>
    </row>
    <row r="1145" spans="1:26">
      <c r="A1145" s="150">
        <v>45674</v>
      </c>
      <c r="B1145" s="350" t="s">
        <v>106</v>
      </c>
      <c r="C1145" s="42">
        <v>4214967</v>
      </c>
      <c r="D1145" s="315">
        <f t="shared" si="172"/>
        <v>6990</v>
      </c>
      <c r="E1145" s="41"/>
      <c r="F1145" s="42">
        <v>10375543</v>
      </c>
      <c r="G1145" s="311">
        <f t="shared" si="169"/>
        <v>28061</v>
      </c>
      <c r="H1145" s="96"/>
      <c r="I1145" s="41"/>
      <c r="J1145" s="42">
        <v>5679886</v>
      </c>
      <c r="K1145" s="313">
        <f t="shared" si="176"/>
        <v>11387</v>
      </c>
      <c r="L1145" s="96"/>
      <c r="M1145" s="41"/>
      <c r="N1145" s="42">
        <v>991729</v>
      </c>
      <c r="O1145" s="236">
        <f t="shared" si="171"/>
        <v>748</v>
      </c>
      <c r="P1145" s="358"/>
      <c r="Q1145" s="42">
        <v>694419</v>
      </c>
      <c r="R1145" s="314">
        <f t="shared" si="170"/>
        <v>140</v>
      </c>
      <c r="S1145" s="358"/>
      <c r="T1145" s="42">
        <v>37351</v>
      </c>
      <c r="U1145" s="348">
        <f t="shared" si="174"/>
        <v>0</v>
      </c>
      <c r="V1145" s="41"/>
      <c r="W1145" s="42">
        <v>48872</v>
      </c>
      <c r="X1145" s="349">
        <f t="shared" si="175"/>
        <v>0</v>
      </c>
      <c r="Y1145" s="41"/>
      <c r="Z1145" s="243"/>
    </row>
    <row r="1146" spans="1:26">
      <c r="A1146" s="150">
        <v>45675</v>
      </c>
      <c r="B1146" s="350" t="s">
        <v>107</v>
      </c>
      <c r="C1146" s="42">
        <v>4221957</v>
      </c>
      <c r="D1146" s="315">
        <f t="shared" si="172"/>
        <v>0</v>
      </c>
      <c r="E1146" s="41"/>
      <c r="F1146" s="42">
        <v>10403604</v>
      </c>
      <c r="G1146" s="311">
        <f t="shared" ref="G1146:G1209" si="177">IF(F1147&gt;0,F1147-F1146," ")</f>
        <v>0</v>
      </c>
      <c r="H1146" s="96"/>
      <c r="I1146" s="41"/>
      <c r="J1146" s="42">
        <v>5691273</v>
      </c>
      <c r="K1146" s="313">
        <f t="shared" si="176"/>
        <v>0</v>
      </c>
      <c r="L1146" s="96"/>
      <c r="M1146" s="41"/>
      <c r="N1146" s="42">
        <v>992477</v>
      </c>
      <c r="O1146" s="236">
        <f t="shared" si="171"/>
        <v>792</v>
      </c>
      <c r="P1146" s="358"/>
      <c r="Q1146" s="42">
        <v>694928</v>
      </c>
      <c r="R1146" s="314">
        <f t="shared" si="170"/>
        <v>509</v>
      </c>
      <c r="S1146" s="358"/>
      <c r="T1146" s="42">
        <v>37351</v>
      </c>
      <c r="U1146" s="348">
        <f t="shared" si="174"/>
        <v>0</v>
      </c>
      <c r="V1146" s="41"/>
      <c r="W1146" s="42">
        <v>48872</v>
      </c>
      <c r="X1146" s="349">
        <f t="shared" si="175"/>
        <v>0</v>
      </c>
      <c r="Y1146" s="41"/>
      <c r="Z1146" s="243"/>
    </row>
    <row r="1147" spans="1:26">
      <c r="A1147" s="150">
        <v>45676</v>
      </c>
      <c r="B1147" s="350" t="s">
        <v>36</v>
      </c>
      <c r="C1147" s="42">
        <v>4221957</v>
      </c>
      <c r="D1147" s="315">
        <f t="shared" si="172"/>
        <v>0</v>
      </c>
      <c r="E1147" s="41"/>
      <c r="F1147" s="42">
        <v>10403604</v>
      </c>
      <c r="G1147" s="311">
        <f t="shared" si="177"/>
        <v>0</v>
      </c>
      <c r="H1147" s="96"/>
      <c r="I1147" s="41"/>
      <c r="J1147" s="42">
        <v>5691273</v>
      </c>
      <c r="K1147" s="313">
        <f t="shared" si="176"/>
        <v>0</v>
      </c>
      <c r="L1147" s="96"/>
      <c r="M1147" s="41"/>
      <c r="N1147" s="42">
        <v>993269</v>
      </c>
      <c r="O1147" s="236">
        <f t="shared" si="171"/>
        <v>0</v>
      </c>
      <c r="P1147" s="358"/>
      <c r="Q1147" s="42">
        <v>694928</v>
      </c>
      <c r="R1147" s="314">
        <f t="shared" si="170"/>
        <v>0</v>
      </c>
      <c r="S1147" s="358"/>
      <c r="T1147" s="42">
        <v>37351</v>
      </c>
      <c r="U1147" s="348">
        <f t="shared" si="174"/>
        <v>0</v>
      </c>
      <c r="V1147" s="41"/>
      <c r="W1147" s="42">
        <v>48872</v>
      </c>
      <c r="X1147" s="349">
        <f t="shared" si="175"/>
        <v>0</v>
      </c>
      <c r="Y1147" s="41"/>
      <c r="Z1147" s="243"/>
    </row>
    <row r="1148" spans="1:26">
      <c r="A1148" s="150">
        <v>45677</v>
      </c>
      <c r="B1148" s="350" t="s">
        <v>108</v>
      </c>
      <c r="C1148" s="42">
        <v>4221957</v>
      </c>
      <c r="D1148" s="315">
        <f t="shared" si="172"/>
        <v>0</v>
      </c>
      <c r="E1148" s="41"/>
      <c r="F1148" s="42">
        <v>10403604</v>
      </c>
      <c r="G1148" s="311">
        <f t="shared" si="177"/>
        <v>0</v>
      </c>
      <c r="H1148" s="96"/>
      <c r="I1148" s="41"/>
      <c r="J1148" s="42">
        <v>5691273</v>
      </c>
      <c r="K1148" s="313">
        <f t="shared" si="176"/>
        <v>0</v>
      </c>
      <c r="L1148" s="96"/>
      <c r="M1148" s="41"/>
      <c r="N1148" s="42">
        <v>993269</v>
      </c>
      <c r="O1148" s="236">
        <f t="shared" si="171"/>
        <v>695</v>
      </c>
      <c r="P1148" s="358"/>
      <c r="Q1148" s="42">
        <v>694928</v>
      </c>
      <c r="R1148" s="314">
        <f t="shared" si="170"/>
        <v>0</v>
      </c>
      <c r="S1148" s="358"/>
      <c r="T1148" s="42">
        <v>37351</v>
      </c>
      <c r="U1148" s="348">
        <f t="shared" si="174"/>
        <v>0</v>
      </c>
      <c r="V1148" s="41"/>
      <c r="W1148" s="42">
        <v>48872</v>
      </c>
      <c r="X1148" s="349">
        <f t="shared" si="175"/>
        <v>0</v>
      </c>
      <c r="Y1148" s="41"/>
      <c r="Z1148" s="243"/>
    </row>
    <row r="1149" spans="1:26">
      <c r="A1149" s="150">
        <v>45678</v>
      </c>
      <c r="B1149" s="350" t="s">
        <v>109</v>
      </c>
      <c r="C1149" s="42">
        <v>4221957</v>
      </c>
      <c r="D1149" s="315">
        <f t="shared" si="172"/>
        <v>5708</v>
      </c>
      <c r="E1149" s="41"/>
      <c r="F1149" s="42">
        <v>10403604</v>
      </c>
      <c r="G1149" s="311">
        <f t="shared" si="177"/>
        <v>14127</v>
      </c>
      <c r="H1149" s="96"/>
      <c r="I1149" s="41"/>
      <c r="J1149" s="42">
        <v>5691273</v>
      </c>
      <c r="K1149" s="313">
        <f t="shared" si="176"/>
        <v>6370</v>
      </c>
      <c r="L1149" s="96"/>
      <c r="M1149" s="41"/>
      <c r="N1149" s="42">
        <v>993964</v>
      </c>
      <c r="O1149" s="236">
        <f t="shared" si="171"/>
        <v>628</v>
      </c>
      <c r="P1149" s="358"/>
      <c r="Q1149" s="42">
        <v>695143</v>
      </c>
      <c r="R1149" s="314">
        <f t="shared" si="170"/>
        <v>215</v>
      </c>
      <c r="S1149" s="358"/>
      <c r="T1149" s="42">
        <v>37351</v>
      </c>
      <c r="U1149" s="348">
        <f t="shared" si="174"/>
        <v>0</v>
      </c>
      <c r="V1149" s="41"/>
      <c r="W1149" s="42">
        <v>48872</v>
      </c>
      <c r="X1149" s="349">
        <f t="shared" si="175"/>
        <v>0</v>
      </c>
      <c r="Y1149" s="41"/>
      <c r="Z1149" s="243"/>
    </row>
    <row r="1150" spans="1:26">
      <c r="A1150" s="150">
        <v>45679</v>
      </c>
      <c r="B1150" s="350" t="s">
        <v>110</v>
      </c>
      <c r="C1150" s="42">
        <v>4227665</v>
      </c>
      <c r="D1150" s="315">
        <f t="shared" si="172"/>
        <v>4253</v>
      </c>
      <c r="E1150" s="41"/>
      <c r="F1150" s="42">
        <v>10417731</v>
      </c>
      <c r="G1150" s="311">
        <f t="shared" si="177"/>
        <v>10968</v>
      </c>
      <c r="H1150" s="96"/>
      <c r="I1150" s="41"/>
      <c r="J1150" s="42">
        <v>5697643</v>
      </c>
      <c r="K1150" s="313">
        <f t="shared" si="176"/>
        <v>4522</v>
      </c>
      <c r="L1150" s="96"/>
      <c r="M1150" s="41"/>
      <c r="N1150" s="42">
        <v>994592</v>
      </c>
      <c r="O1150" s="236">
        <f t="shared" si="171"/>
        <v>713</v>
      </c>
      <c r="P1150" s="358"/>
      <c r="Q1150" s="42">
        <v>695369</v>
      </c>
      <c r="R1150" s="314">
        <f t="shared" si="170"/>
        <v>226</v>
      </c>
      <c r="S1150" s="358"/>
      <c r="T1150" s="42">
        <v>37351</v>
      </c>
      <c r="U1150" s="348">
        <f t="shared" si="174"/>
        <v>0</v>
      </c>
      <c r="V1150" s="41"/>
      <c r="W1150" s="42">
        <v>48872</v>
      </c>
      <c r="X1150" s="349">
        <f t="shared" si="175"/>
        <v>0</v>
      </c>
      <c r="Y1150" s="41"/>
      <c r="Z1150" s="243"/>
    </row>
    <row r="1151" spans="1:26">
      <c r="A1151" s="150">
        <v>45680</v>
      </c>
      <c r="B1151" s="350" t="s">
        <v>111</v>
      </c>
      <c r="C1151" s="42">
        <v>4231918</v>
      </c>
      <c r="D1151" s="315">
        <f t="shared" si="172"/>
        <v>5561</v>
      </c>
      <c r="E1151" s="41"/>
      <c r="F1151" s="42">
        <v>10428699</v>
      </c>
      <c r="G1151" s="311">
        <f t="shared" si="177"/>
        <v>13607</v>
      </c>
      <c r="H1151" s="96"/>
      <c r="I1151" s="41"/>
      <c r="J1151" s="42">
        <v>5702165</v>
      </c>
      <c r="K1151" s="313">
        <f t="shared" si="176"/>
        <v>6240</v>
      </c>
      <c r="L1151" s="96"/>
      <c r="M1151" s="41"/>
      <c r="N1151" s="42">
        <v>995305</v>
      </c>
      <c r="O1151" s="236">
        <f t="shared" si="171"/>
        <v>825</v>
      </c>
      <c r="P1151" s="358"/>
      <c r="Q1151" s="42">
        <v>695476</v>
      </c>
      <c r="R1151" s="314">
        <f t="shared" ref="R1151:R1181" si="178">Q1151-Q1150</f>
        <v>107</v>
      </c>
      <c r="S1151" s="358"/>
      <c r="T1151" s="42">
        <v>37351</v>
      </c>
      <c r="U1151" s="348">
        <f t="shared" si="174"/>
        <v>0</v>
      </c>
      <c r="V1151" s="41"/>
      <c r="W1151" s="42">
        <v>48872</v>
      </c>
      <c r="X1151" s="349">
        <f t="shared" si="175"/>
        <v>0</v>
      </c>
      <c r="Y1151" s="41"/>
      <c r="Z1151" s="243"/>
    </row>
    <row r="1152" spans="1:26">
      <c r="A1152" s="150">
        <v>45681</v>
      </c>
      <c r="B1152" s="350" t="s">
        <v>106</v>
      </c>
      <c r="C1152" s="42">
        <v>4237479</v>
      </c>
      <c r="D1152" s="315">
        <f t="shared" si="172"/>
        <v>9284</v>
      </c>
      <c r="E1152" s="41"/>
      <c r="F1152" s="42">
        <v>10442306</v>
      </c>
      <c r="G1152" s="311">
        <f t="shared" si="177"/>
        <v>31973</v>
      </c>
      <c r="H1152" s="96"/>
      <c r="I1152" s="41"/>
      <c r="J1152" s="42">
        <v>5708405</v>
      </c>
      <c r="K1152" s="313">
        <f t="shared" si="176"/>
        <v>11439</v>
      </c>
      <c r="L1152" s="96"/>
      <c r="M1152" s="41"/>
      <c r="N1152" s="42">
        <v>996130</v>
      </c>
      <c r="O1152" s="236">
        <f t="shared" si="171"/>
        <v>1225</v>
      </c>
      <c r="P1152" s="358"/>
      <c r="Q1152" s="42">
        <v>695667</v>
      </c>
      <c r="R1152" s="314">
        <f t="shared" si="178"/>
        <v>191</v>
      </c>
      <c r="S1152" s="358"/>
      <c r="T1152" s="42">
        <v>37351</v>
      </c>
      <c r="U1152" s="348">
        <f t="shared" si="174"/>
        <v>0</v>
      </c>
      <c r="V1152" s="41"/>
      <c r="W1152" s="42">
        <v>48872</v>
      </c>
      <c r="X1152" s="349">
        <f t="shared" si="175"/>
        <v>0</v>
      </c>
      <c r="Y1152" s="41"/>
      <c r="Z1152" s="243"/>
    </row>
    <row r="1153" spans="1:26">
      <c r="A1153" s="150">
        <v>45682</v>
      </c>
      <c r="B1153" s="350" t="s">
        <v>107</v>
      </c>
      <c r="C1153" s="42">
        <v>4246763</v>
      </c>
      <c r="D1153" s="315">
        <f t="shared" si="172"/>
        <v>0</v>
      </c>
      <c r="E1153" s="41"/>
      <c r="F1153" s="42">
        <v>10474279</v>
      </c>
      <c r="G1153" s="311">
        <f t="shared" si="177"/>
        <v>0</v>
      </c>
      <c r="H1153" s="96"/>
      <c r="I1153" s="41"/>
      <c r="J1153" s="42">
        <v>5719844</v>
      </c>
      <c r="K1153" s="313">
        <f t="shared" si="176"/>
        <v>0</v>
      </c>
      <c r="L1153" s="96"/>
      <c r="M1153" s="41"/>
      <c r="N1153" s="42">
        <v>997355</v>
      </c>
      <c r="O1153" s="236">
        <f t="shared" ref="O1153:O1216" si="179">N1154-N1153</f>
        <v>0</v>
      </c>
      <c r="P1153" s="358"/>
      <c r="Q1153" s="42">
        <v>696119</v>
      </c>
      <c r="R1153" s="314">
        <f t="shared" si="178"/>
        <v>452</v>
      </c>
      <c r="S1153" s="358"/>
      <c r="T1153" s="42">
        <v>37351</v>
      </c>
      <c r="U1153" s="348">
        <f t="shared" si="174"/>
        <v>0</v>
      </c>
      <c r="V1153" s="41"/>
      <c r="W1153" s="42">
        <v>48872</v>
      </c>
      <c r="X1153" s="349">
        <f t="shared" si="175"/>
        <v>0</v>
      </c>
      <c r="Y1153" s="41"/>
      <c r="Z1153" s="243"/>
    </row>
    <row r="1154" spans="1:26">
      <c r="A1154" s="150">
        <v>45683</v>
      </c>
      <c r="B1154" s="350" t="s">
        <v>36</v>
      </c>
      <c r="C1154" s="42">
        <v>4246763</v>
      </c>
      <c r="D1154" s="315">
        <f t="shared" si="172"/>
        <v>0</v>
      </c>
      <c r="E1154" s="41"/>
      <c r="F1154" s="42">
        <v>10474279</v>
      </c>
      <c r="G1154" s="311">
        <f t="shared" si="177"/>
        <v>0</v>
      </c>
      <c r="H1154" s="96"/>
      <c r="I1154" s="41"/>
      <c r="J1154" s="42">
        <v>5719844</v>
      </c>
      <c r="K1154" s="313">
        <f t="shared" si="176"/>
        <v>0</v>
      </c>
      <c r="L1154" s="96"/>
      <c r="M1154" s="41"/>
      <c r="N1154" s="42">
        <v>997355</v>
      </c>
      <c r="O1154" s="236">
        <f t="shared" si="179"/>
        <v>0</v>
      </c>
      <c r="P1154" s="358"/>
      <c r="Q1154" s="42">
        <v>696119</v>
      </c>
      <c r="R1154" s="314">
        <f t="shared" si="178"/>
        <v>0</v>
      </c>
      <c r="S1154" s="358"/>
      <c r="T1154" s="42">
        <v>37351</v>
      </c>
      <c r="U1154" s="348">
        <f t="shared" si="174"/>
        <v>0</v>
      </c>
      <c r="V1154" s="41"/>
      <c r="W1154" s="42">
        <v>48872</v>
      </c>
      <c r="X1154" s="349">
        <f t="shared" si="175"/>
        <v>0</v>
      </c>
      <c r="Y1154" s="41"/>
      <c r="Z1154" s="243"/>
    </row>
    <row r="1155" spans="1:26">
      <c r="A1155" s="150">
        <v>45684</v>
      </c>
      <c r="B1155" s="350" t="s">
        <v>108</v>
      </c>
      <c r="C1155" s="42">
        <v>4246763</v>
      </c>
      <c r="D1155" s="315">
        <f t="shared" ref="D1155:D1220" si="180">IF(C1156&gt;0,C1156-C1155," ")</f>
        <v>0</v>
      </c>
      <c r="E1155" s="41"/>
      <c r="F1155" s="42">
        <v>10474279</v>
      </c>
      <c r="G1155" s="311">
        <f t="shared" si="177"/>
        <v>0</v>
      </c>
      <c r="H1155" s="96"/>
      <c r="I1155" s="41"/>
      <c r="J1155" s="42">
        <v>5719844</v>
      </c>
      <c r="K1155" s="313">
        <f t="shared" si="176"/>
        <v>0</v>
      </c>
      <c r="L1155" s="96"/>
      <c r="M1155" s="41"/>
      <c r="N1155" s="42">
        <v>997355</v>
      </c>
      <c r="O1155" s="236">
        <f t="shared" si="179"/>
        <v>586</v>
      </c>
      <c r="P1155" s="358"/>
      <c r="Q1155" s="42">
        <v>696119</v>
      </c>
      <c r="R1155" s="314">
        <f t="shared" si="178"/>
        <v>0</v>
      </c>
      <c r="S1155" s="358"/>
      <c r="T1155" s="42">
        <v>37351</v>
      </c>
      <c r="U1155" s="348">
        <f t="shared" si="174"/>
        <v>0</v>
      </c>
      <c r="V1155" s="41"/>
      <c r="W1155" s="42">
        <v>48872</v>
      </c>
      <c r="X1155" s="349">
        <f t="shared" si="175"/>
        <v>0</v>
      </c>
      <c r="Y1155" s="41"/>
      <c r="Z1155" s="243"/>
    </row>
    <row r="1156" spans="1:26">
      <c r="A1156" s="150">
        <v>45685</v>
      </c>
      <c r="B1156" s="350" t="s">
        <v>109</v>
      </c>
      <c r="C1156" s="42">
        <v>4246763</v>
      </c>
      <c r="D1156" s="315">
        <f t="shared" si="180"/>
        <v>10523</v>
      </c>
      <c r="E1156" s="41"/>
      <c r="F1156" s="42">
        <v>10474279</v>
      </c>
      <c r="G1156" s="311">
        <f t="shared" si="177"/>
        <v>26000</v>
      </c>
      <c r="H1156" s="96"/>
      <c r="I1156" s="41"/>
      <c r="J1156" s="42">
        <v>5719844</v>
      </c>
      <c r="K1156" s="313">
        <f t="shared" si="176"/>
        <v>12745</v>
      </c>
      <c r="L1156" s="96"/>
      <c r="M1156" s="41"/>
      <c r="N1156" s="42">
        <v>997941</v>
      </c>
      <c r="O1156" s="236">
        <f t="shared" si="179"/>
        <v>699</v>
      </c>
      <c r="P1156" s="358"/>
      <c r="Q1156" s="42">
        <v>696234</v>
      </c>
      <c r="R1156" s="314">
        <f t="shared" si="178"/>
        <v>115</v>
      </c>
      <c r="S1156" s="358"/>
      <c r="T1156" s="42">
        <v>37351</v>
      </c>
      <c r="U1156" s="348">
        <f t="shared" si="174"/>
        <v>0</v>
      </c>
      <c r="V1156" s="41"/>
      <c r="W1156" s="42">
        <v>48872</v>
      </c>
      <c r="X1156" s="349">
        <f t="shared" si="175"/>
        <v>0</v>
      </c>
      <c r="Y1156" s="41"/>
      <c r="Z1156" s="243"/>
    </row>
    <row r="1157" spans="1:26">
      <c r="A1157" s="150">
        <v>45686</v>
      </c>
      <c r="B1157" s="350" t="s">
        <v>110</v>
      </c>
      <c r="C1157" s="42">
        <v>4257286</v>
      </c>
      <c r="D1157" s="315">
        <f t="shared" si="180"/>
        <v>0</v>
      </c>
      <c r="E1157" s="41"/>
      <c r="F1157" s="42">
        <v>10500279</v>
      </c>
      <c r="G1157" s="311">
        <f t="shared" si="177"/>
        <v>0</v>
      </c>
      <c r="H1157" s="96"/>
      <c r="I1157" s="41"/>
      <c r="J1157" s="42">
        <v>5732589</v>
      </c>
      <c r="K1157" s="313">
        <f t="shared" si="176"/>
        <v>0</v>
      </c>
      <c r="L1157" s="96"/>
      <c r="M1157" s="41"/>
      <c r="N1157" s="42">
        <v>998640</v>
      </c>
      <c r="O1157" s="236">
        <f t="shared" si="179"/>
        <v>786</v>
      </c>
      <c r="P1157" s="358"/>
      <c r="Q1157" s="42">
        <v>696347</v>
      </c>
      <c r="R1157" s="314">
        <f t="shared" si="178"/>
        <v>113</v>
      </c>
      <c r="S1157" s="358"/>
      <c r="T1157" s="42">
        <v>37351</v>
      </c>
      <c r="U1157" s="348">
        <f t="shared" si="174"/>
        <v>0</v>
      </c>
      <c r="V1157" s="41"/>
      <c r="W1157" s="42">
        <v>48872</v>
      </c>
      <c r="X1157" s="349">
        <f t="shared" si="175"/>
        <v>0</v>
      </c>
      <c r="Y1157" s="41"/>
      <c r="Z1157" s="243"/>
    </row>
    <row r="1158" spans="1:26">
      <c r="A1158" s="150">
        <v>45687</v>
      </c>
      <c r="B1158" s="350" t="s">
        <v>111</v>
      </c>
      <c r="C1158" s="42">
        <v>4257286</v>
      </c>
      <c r="D1158" s="315">
        <f t="shared" si="180"/>
        <v>4395</v>
      </c>
      <c r="E1158" s="41"/>
      <c r="F1158" s="42">
        <v>10500279</v>
      </c>
      <c r="G1158" s="311">
        <f t="shared" si="177"/>
        <v>11088</v>
      </c>
      <c r="H1158" s="96"/>
      <c r="I1158" s="41"/>
      <c r="J1158" s="42">
        <v>5732589</v>
      </c>
      <c r="K1158" s="313">
        <f t="shared" si="176"/>
        <v>7773</v>
      </c>
      <c r="L1158" s="96"/>
      <c r="M1158" s="41"/>
      <c r="N1158" s="42">
        <v>999426</v>
      </c>
      <c r="O1158" s="236">
        <f t="shared" si="179"/>
        <v>833</v>
      </c>
      <c r="P1158" s="358"/>
      <c r="Q1158" s="42">
        <v>696462</v>
      </c>
      <c r="R1158" s="314">
        <f t="shared" si="178"/>
        <v>115</v>
      </c>
      <c r="S1158" s="358"/>
      <c r="T1158" s="42">
        <v>37351</v>
      </c>
      <c r="U1158" s="348">
        <f t="shared" si="174"/>
        <v>0</v>
      </c>
      <c r="V1158" s="41"/>
      <c r="W1158" s="42">
        <v>48872</v>
      </c>
      <c r="X1158" s="349">
        <f t="shared" si="175"/>
        <v>0</v>
      </c>
      <c r="Y1158" s="41"/>
      <c r="Z1158" s="243"/>
    </row>
    <row r="1159" spans="1:26">
      <c r="A1159" s="150">
        <v>45688</v>
      </c>
      <c r="B1159" s="350" t="s">
        <v>106</v>
      </c>
      <c r="C1159" s="42">
        <v>4261681</v>
      </c>
      <c r="D1159" s="315">
        <f t="shared" si="180"/>
        <v>6249</v>
      </c>
      <c r="E1159" s="41"/>
      <c r="F1159" s="42">
        <v>10511367</v>
      </c>
      <c r="G1159" s="311">
        <f t="shared" si="177"/>
        <v>22547</v>
      </c>
      <c r="H1159" s="96"/>
      <c r="I1159" s="41"/>
      <c r="J1159" s="42">
        <v>5740362</v>
      </c>
      <c r="K1159" s="313">
        <f t="shared" si="176"/>
        <v>10029</v>
      </c>
      <c r="L1159" s="96"/>
      <c r="M1159" s="41"/>
      <c r="N1159" s="42">
        <v>1000259</v>
      </c>
      <c r="O1159" s="236">
        <f t="shared" si="179"/>
        <v>848</v>
      </c>
      <c r="P1159" s="358"/>
      <c r="Q1159" s="42">
        <v>696561</v>
      </c>
      <c r="R1159" s="314">
        <f t="shared" si="178"/>
        <v>99</v>
      </c>
      <c r="S1159" s="358"/>
      <c r="T1159" s="42">
        <v>37351</v>
      </c>
      <c r="U1159" s="348">
        <f t="shared" si="174"/>
        <v>0</v>
      </c>
      <c r="V1159" s="41"/>
      <c r="W1159" s="42">
        <v>48872</v>
      </c>
      <c r="X1159" s="349">
        <f t="shared" si="175"/>
        <v>0</v>
      </c>
      <c r="Y1159" s="41"/>
      <c r="Z1159" s="243"/>
    </row>
    <row r="1160" spans="1:26">
      <c r="A1160" s="150">
        <v>45689</v>
      </c>
      <c r="B1160" s="350" t="s">
        <v>107</v>
      </c>
      <c r="C1160" s="42">
        <v>4267930</v>
      </c>
      <c r="D1160" s="315">
        <f t="shared" si="180"/>
        <v>0</v>
      </c>
      <c r="E1160" s="41"/>
      <c r="F1160" s="42">
        <v>10533914</v>
      </c>
      <c r="G1160" s="311">
        <f t="shared" si="177"/>
        <v>0</v>
      </c>
      <c r="H1160" s="96"/>
      <c r="I1160" s="41"/>
      <c r="J1160" s="42">
        <v>5750391</v>
      </c>
      <c r="K1160" s="313">
        <f t="shared" si="176"/>
        <v>0</v>
      </c>
      <c r="L1160" s="96"/>
      <c r="M1160" s="41"/>
      <c r="N1160" s="42">
        <v>1001107</v>
      </c>
      <c r="O1160" s="236">
        <f t="shared" si="179"/>
        <v>686</v>
      </c>
      <c r="P1160" s="358"/>
      <c r="Q1160" s="42">
        <v>696843</v>
      </c>
      <c r="R1160" s="314">
        <f t="shared" si="178"/>
        <v>282</v>
      </c>
      <c r="S1160" s="358"/>
      <c r="T1160" s="42">
        <v>37351</v>
      </c>
      <c r="U1160" s="348">
        <f t="shared" si="174"/>
        <v>0</v>
      </c>
      <c r="V1160" s="41"/>
      <c r="W1160" s="42">
        <v>48872</v>
      </c>
      <c r="X1160" s="349">
        <f t="shared" si="175"/>
        <v>0</v>
      </c>
      <c r="Y1160" s="41"/>
      <c r="Z1160" s="243"/>
    </row>
    <row r="1161" spans="1:26">
      <c r="A1161" s="150">
        <v>45690</v>
      </c>
      <c r="B1161" s="350" t="s">
        <v>36</v>
      </c>
      <c r="C1161" s="42">
        <v>4267930</v>
      </c>
      <c r="D1161" s="315">
        <f t="shared" si="180"/>
        <v>0</v>
      </c>
      <c r="E1161" s="41"/>
      <c r="F1161" s="42">
        <v>10533914</v>
      </c>
      <c r="G1161" s="311">
        <f t="shared" si="177"/>
        <v>0</v>
      </c>
      <c r="H1161" s="96"/>
      <c r="I1161" s="41"/>
      <c r="J1161" s="42">
        <v>5750391</v>
      </c>
      <c r="K1161" s="313">
        <f t="shared" si="176"/>
        <v>0</v>
      </c>
      <c r="L1161" s="96"/>
      <c r="M1161" s="41"/>
      <c r="N1161" s="42">
        <v>1001793</v>
      </c>
      <c r="O1161" s="236">
        <f t="shared" si="179"/>
        <v>0</v>
      </c>
      <c r="P1161" s="358"/>
      <c r="Q1161" s="42">
        <v>696843</v>
      </c>
      <c r="R1161" s="314">
        <f t="shared" si="178"/>
        <v>0</v>
      </c>
      <c r="S1161" s="358"/>
      <c r="T1161" s="42">
        <v>37351</v>
      </c>
      <c r="U1161" s="348">
        <f t="shared" si="174"/>
        <v>0</v>
      </c>
      <c r="V1161" s="41"/>
      <c r="W1161" s="42">
        <v>48872</v>
      </c>
      <c r="X1161" s="349">
        <f t="shared" si="175"/>
        <v>0</v>
      </c>
      <c r="Y1161" s="41"/>
      <c r="Z1161" s="243"/>
    </row>
    <row r="1162" spans="1:26">
      <c r="A1162" s="150">
        <v>45691</v>
      </c>
      <c r="B1162" s="350" t="s">
        <v>108</v>
      </c>
      <c r="C1162" s="42">
        <v>4267930</v>
      </c>
      <c r="D1162" s="315">
        <f t="shared" si="180"/>
        <v>4816</v>
      </c>
      <c r="E1162" s="41"/>
      <c r="F1162" s="42">
        <v>10533914</v>
      </c>
      <c r="G1162" s="311">
        <f t="shared" si="177"/>
        <v>11785</v>
      </c>
      <c r="H1162" s="96"/>
      <c r="I1162" s="41"/>
      <c r="J1162" s="42">
        <v>5750391</v>
      </c>
      <c r="K1162" s="313">
        <f t="shared" si="176"/>
        <v>0</v>
      </c>
      <c r="L1162" s="96"/>
      <c r="M1162" s="41"/>
      <c r="N1162" s="42">
        <v>1001793</v>
      </c>
      <c r="O1162" s="236">
        <f t="shared" si="179"/>
        <v>730</v>
      </c>
      <c r="P1162" s="358"/>
      <c r="Q1162" s="42">
        <v>696843</v>
      </c>
      <c r="R1162" s="314">
        <f t="shared" si="178"/>
        <v>0</v>
      </c>
      <c r="S1162" s="358"/>
      <c r="T1162" s="42">
        <v>37351</v>
      </c>
      <c r="U1162" s="348">
        <f t="shared" si="174"/>
        <v>0</v>
      </c>
      <c r="V1162" s="41"/>
      <c r="W1162" s="42">
        <v>48872</v>
      </c>
      <c r="X1162" s="349">
        <f t="shared" si="175"/>
        <v>0</v>
      </c>
      <c r="Y1162" s="41"/>
      <c r="Z1162" s="243"/>
    </row>
    <row r="1163" spans="1:26">
      <c r="A1163" s="150">
        <v>45692</v>
      </c>
      <c r="B1163" s="350" t="s">
        <v>109</v>
      </c>
      <c r="C1163" s="42">
        <v>4272746</v>
      </c>
      <c r="D1163" s="315">
        <f t="shared" si="180"/>
        <v>5520</v>
      </c>
      <c r="E1163" s="41"/>
      <c r="F1163" s="42">
        <v>10545699</v>
      </c>
      <c r="G1163" s="311">
        <f t="shared" si="177"/>
        <v>13425</v>
      </c>
      <c r="H1163" s="96"/>
      <c r="I1163" s="41"/>
      <c r="J1163" s="42">
        <v>5750391</v>
      </c>
      <c r="K1163" s="313">
        <f t="shared" si="176"/>
        <v>6340</v>
      </c>
      <c r="L1163" s="96"/>
      <c r="M1163" s="41"/>
      <c r="N1163" s="42">
        <v>1002523</v>
      </c>
      <c r="O1163" s="236">
        <f t="shared" si="179"/>
        <v>669</v>
      </c>
      <c r="P1163" s="358"/>
      <c r="Q1163" s="42">
        <v>697024</v>
      </c>
      <c r="R1163" s="314">
        <f t="shared" si="178"/>
        <v>181</v>
      </c>
      <c r="S1163" s="358"/>
      <c r="T1163" s="42">
        <v>37351</v>
      </c>
      <c r="U1163" s="348">
        <f t="shared" si="174"/>
        <v>0</v>
      </c>
      <c r="V1163" s="41"/>
      <c r="W1163" s="42">
        <v>48872</v>
      </c>
      <c r="X1163" s="349">
        <f t="shared" si="175"/>
        <v>0</v>
      </c>
      <c r="Y1163" s="41"/>
      <c r="Z1163" s="243"/>
    </row>
    <row r="1164" spans="1:26">
      <c r="A1164" s="150">
        <v>45693</v>
      </c>
      <c r="B1164" s="350" t="s">
        <v>110</v>
      </c>
      <c r="C1164" s="42">
        <v>4278266</v>
      </c>
      <c r="D1164" s="315">
        <f t="shared" si="180"/>
        <v>11991</v>
      </c>
      <c r="E1164" s="41"/>
      <c r="F1164" s="42">
        <v>10559124</v>
      </c>
      <c r="G1164" s="311">
        <f t="shared" si="177"/>
        <v>29242</v>
      </c>
      <c r="H1164" s="96"/>
      <c r="I1164" s="41"/>
      <c r="J1164" s="42">
        <v>5756731</v>
      </c>
      <c r="K1164" s="313">
        <f t="shared" si="176"/>
        <v>17030</v>
      </c>
      <c r="L1164" s="96"/>
      <c r="M1164" s="41"/>
      <c r="N1164" s="42">
        <v>1003192</v>
      </c>
      <c r="O1164" s="236">
        <f t="shared" si="179"/>
        <v>848</v>
      </c>
      <c r="P1164" s="358"/>
      <c r="Q1164" s="42">
        <v>697222</v>
      </c>
      <c r="R1164" s="314">
        <f t="shared" si="178"/>
        <v>198</v>
      </c>
      <c r="S1164" s="358"/>
      <c r="T1164" s="42">
        <v>37351</v>
      </c>
      <c r="U1164" s="348">
        <f t="shared" si="174"/>
        <v>0</v>
      </c>
      <c r="V1164" s="41"/>
      <c r="W1164" s="42">
        <v>48872</v>
      </c>
      <c r="X1164" s="349">
        <f t="shared" si="175"/>
        <v>0</v>
      </c>
      <c r="Y1164" s="41"/>
      <c r="Z1164" s="243"/>
    </row>
    <row r="1165" spans="1:26">
      <c r="A1165" s="150">
        <v>45694</v>
      </c>
      <c r="B1165" s="350" t="s">
        <v>111</v>
      </c>
      <c r="C1165" s="42">
        <v>4290257</v>
      </c>
      <c r="D1165" s="315">
        <f t="shared" si="180"/>
        <v>0</v>
      </c>
      <c r="E1165" s="41"/>
      <c r="F1165" s="42">
        <v>10588366</v>
      </c>
      <c r="G1165" s="311">
        <f t="shared" si="177"/>
        <v>0</v>
      </c>
      <c r="H1165" s="96"/>
      <c r="I1165" s="41"/>
      <c r="J1165" s="42">
        <v>5773761</v>
      </c>
      <c r="K1165" s="313">
        <f t="shared" si="176"/>
        <v>0</v>
      </c>
      <c r="L1165" s="96"/>
      <c r="M1165" s="41"/>
      <c r="N1165" s="42">
        <v>1004040</v>
      </c>
      <c r="O1165" s="236">
        <f t="shared" si="179"/>
        <v>682</v>
      </c>
      <c r="P1165" s="358"/>
      <c r="Q1165" s="42">
        <v>697230</v>
      </c>
      <c r="R1165" s="314">
        <f t="shared" si="178"/>
        <v>8</v>
      </c>
      <c r="S1165" s="358"/>
      <c r="T1165" s="42">
        <v>37351</v>
      </c>
      <c r="U1165" s="348">
        <f t="shared" si="174"/>
        <v>0</v>
      </c>
      <c r="V1165" s="41"/>
      <c r="W1165" s="42">
        <v>48872</v>
      </c>
      <c r="X1165" s="349">
        <f t="shared" si="175"/>
        <v>0</v>
      </c>
      <c r="Y1165" s="41"/>
      <c r="Z1165" s="243"/>
    </row>
    <row r="1166" spans="1:26">
      <c r="A1166" s="150">
        <v>45695</v>
      </c>
      <c r="B1166" s="350" t="s">
        <v>106</v>
      </c>
      <c r="C1166" s="42">
        <v>4290257</v>
      </c>
      <c r="D1166" s="315">
        <f t="shared" si="180"/>
        <v>2806</v>
      </c>
      <c r="E1166" s="41"/>
      <c r="F1166" s="42">
        <v>10588366</v>
      </c>
      <c r="G1166" s="311">
        <f t="shared" si="177"/>
        <v>15553</v>
      </c>
      <c r="H1166" s="96"/>
      <c r="I1166" s="41"/>
      <c r="J1166" s="42">
        <v>5773761</v>
      </c>
      <c r="K1166" s="313">
        <f t="shared" si="176"/>
        <v>7180</v>
      </c>
      <c r="L1166" s="96"/>
      <c r="M1166" s="41"/>
      <c r="N1166" s="42">
        <v>1004722</v>
      </c>
      <c r="O1166" s="236">
        <f t="shared" si="179"/>
        <v>753</v>
      </c>
      <c r="P1166" s="358"/>
      <c r="Q1166" s="42">
        <v>697525</v>
      </c>
      <c r="R1166" s="314">
        <f t="shared" si="178"/>
        <v>295</v>
      </c>
      <c r="S1166" s="358"/>
      <c r="T1166" s="42">
        <v>37351</v>
      </c>
      <c r="U1166" s="348">
        <f t="shared" si="174"/>
        <v>31530</v>
      </c>
      <c r="V1166" s="41"/>
      <c r="W1166" s="42">
        <v>48872</v>
      </c>
      <c r="X1166" s="349">
        <f t="shared" si="175"/>
        <v>79</v>
      </c>
      <c r="Y1166" s="41"/>
      <c r="Z1166" s="243"/>
    </row>
    <row r="1167" spans="1:26">
      <c r="A1167" s="150">
        <v>45696</v>
      </c>
      <c r="B1167" s="350" t="s">
        <v>107</v>
      </c>
      <c r="C1167" s="42">
        <v>4293063</v>
      </c>
      <c r="D1167" s="315">
        <f t="shared" si="180"/>
        <v>0</v>
      </c>
      <c r="E1167" s="41"/>
      <c r="F1167" s="42">
        <v>10603919</v>
      </c>
      <c r="G1167" s="311">
        <f t="shared" si="177"/>
        <v>0</v>
      </c>
      <c r="H1167" s="96"/>
      <c r="I1167" s="41"/>
      <c r="J1167" s="42">
        <v>5780941</v>
      </c>
      <c r="K1167" s="313">
        <f t="shared" si="176"/>
        <v>0</v>
      </c>
      <c r="L1167" s="96"/>
      <c r="M1167" s="41"/>
      <c r="N1167" s="42">
        <v>1005475</v>
      </c>
      <c r="O1167" s="236">
        <f t="shared" si="179"/>
        <v>768</v>
      </c>
      <c r="P1167" s="358"/>
      <c r="Q1167" s="42">
        <v>697742</v>
      </c>
      <c r="R1167" s="314">
        <f t="shared" si="178"/>
        <v>217</v>
      </c>
      <c r="S1167" s="358"/>
      <c r="T1167" s="42">
        <v>68881</v>
      </c>
      <c r="U1167" s="348">
        <f t="shared" si="174"/>
        <v>0</v>
      </c>
      <c r="V1167" s="41"/>
      <c r="W1167" s="42">
        <v>48951</v>
      </c>
      <c r="X1167" s="349">
        <f t="shared" si="175"/>
        <v>0</v>
      </c>
      <c r="Y1167" s="41"/>
      <c r="Z1167" s="243"/>
    </row>
    <row r="1168" spans="1:26">
      <c r="A1168" s="150">
        <v>45697</v>
      </c>
      <c r="B1168" s="350" t="s">
        <v>36</v>
      </c>
      <c r="C1168" s="42">
        <v>4293063</v>
      </c>
      <c r="D1168" s="315">
        <f t="shared" si="180"/>
        <v>0</v>
      </c>
      <c r="E1168" s="41"/>
      <c r="F1168" s="42">
        <v>10603919</v>
      </c>
      <c r="G1168" s="311">
        <f t="shared" si="177"/>
        <v>0</v>
      </c>
      <c r="H1168" s="96"/>
      <c r="I1168" s="41"/>
      <c r="J1168" s="42">
        <v>5780941</v>
      </c>
      <c r="K1168" s="313">
        <f t="shared" si="176"/>
        <v>0</v>
      </c>
      <c r="L1168" s="96"/>
      <c r="M1168" s="41"/>
      <c r="N1168" s="42">
        <v>1006243</v>
      </c>
      <c r="O1168" s="236">
        <f t="shared" si="179"/>
        <v>0</v>
      </c>
      <c r="P1168" s="358"/>
      <c r="Q1168" s="42">
        <v>698075</v>
      </c>
      <c r="R1168" s="314">
        <f t="shared" si="178"/>
        <v>333</v>
      </c>
      <c r="S1168" s="358"/>
      <c r="T1168" s="42">
        <v>68881</v>
      </c>
      <c r="U1168" s="348">
        <f t="shared" si="174"/>
        <v>0</v>
      </c>
      <c r="V1168" s="41"/>
      <c r="W1168" s="42">
        <v>48951</v>
      </c>
      <c r="X1168" s="349">
        <f t="shared" si="175"/>
        <v>0</v>
      </c>
      <c r="Y1168" s="41"/>
      <c r="Z1168" s="243"/>
    </row>
    <row r="1169" spans="1:26">
      <c r="A1169" s="150">
        <v>45698</v>
      </c>
      <c r="B1169" s="350" t="s">
        <v>108</v>
      </c>
      <c r="C1169" s="42">
        <v>4293063</v>
      </c>
      <c r="D1169" s="315">
        <f t="shared" si="180"/>
        <v>4722</v>
      </c>
      <c r="E1169" s="41"/>
      <c r="F1169" s="42">
        <v>10603919</v>
      </c>
      <c r="G1169" s="311">
        <f t="shared" si="177"/>
        <v>12186</v>
      </c>
      <c r="H1169" s="96"/>
      <c r="I1169" s="41"/>
      <c r="J1169" s="42">
        <v>5780941</v>
      </c>
      <c r="K1169" s="313">
        <f t="shared" si="176"/>
        <v>5532</v>
      </c>
      <c r="L1169" s="96"/>
      <c r="M1169" s="41"/>
      <c r="N1169" s="42">
        <v>1006243</v>
      </c>
      <c r="O1169" s="236">
        <f t="shared" si="179"/>
        <v>750</v>
      </c>
      <c r="P1169" s="358"/>
      <c r="Q1169" s="42">
        <v>698075</v>
      </c>
      <c r="R1169" s="314">
        <f t="shared" si="178"/>
        <v>0</v>
      </c>
      <c r="S1169" s="358"/>
      <c r="T1169" s="42">
        <v>68881</v>
      </c>
      <c r="U1169" s="348">
        <f t="shared" si="174"/>
        <v>0</v>
      </c>
      <c r="V1169" s="41"/>
      <c r="W1169" s="42">
        <v>48951</v>
      </c>
      <c r="X1169" s="349">
        <f t="shared" si="175"/>
        <v>0</v>
      </c>
      <c r="Y1169" s="41"/>
      <c r="Z1169" s="243"/>
    </row>
    <row r="1170" spans="1:26">
      <c r="A1170" s="150">
        <v>45699</v>
      </c>
      <c r="B1170" s="350" t="s">
        <v>109</v>
      </c>
      <c r="C1170" s="42">
        <v>4297785</v>
      </c>
      <c r="D1170" s="315">
        <f t="shared" si="180"/>
        <v>7581</v>
      </c>
      <c r="E1170" s="41"/>
      <c r="F1170" s="42">
        <v>10616105</v>
      </c>
      <c r="G1170" s="311">
        <f t="shared" si="177"/>
        <v>16448</v>
      </c>
      <c r="H1170" s="96"/>
      <c r="I1170" s="41"/>
      <c r="J1170" s="42">
        <v>5786473</v>
      </c>
      <c r="K1170" s="313">
        <f t="shared" si="176"/>
        <v>8408</v>
      </c>
      <c r="L1170" s="96"/>
      <c r="M1170" s="41"/>
      <c r="N1170" s="42">
        <v>1006993</v>
      </c>
      <c r="O1170" s="236">
        <f t="shared" si="179"/>
        <v>861</v>
      </c>
      <c r="P1170" s="358"/>
      <c r="Q1170" s="42">
        <v>698375</v>
      </c>
      <c r="R1170" s="314">
        <f t="shared" si="178"/>
        <v>300</v>
      </c>
      <c r="S1170" s="358"/>
      <c r="T1170" s="42">
        <v>68881</v>
      </c>
      <c r="U1170" s="348">
        <f t="shared" si="174"/>
        <v>0</v>
      </c>
      <c r="V1170" s="41"/>
      <c r="W1170" s="42">
        <v>48951</v>
      </c>
      <c r="X1170" s="349">
        <f t="shared" si="175"/>
        <v>0</v>
      </c>
      <c r="Y1170" s="41"/>
      <c r="Z1170" s="243"/>
    </row>
    <row r="1171" spans="1:26">
      <c r="A1171" s="150">
        <v>45700</v>
      </c>
      <c r="B1171" s="350" t="s">
        <v>110</v>
      </c>
      <c r="C1171" s="42">
        <v>4305366</v>
      </c>
      <c r="D1171" s="315">
        <f t="shared" si="180"/>
        <v>7045</v>
      </c>
      <c r="E1171" s="41"/>
      <c r="F1171" s="42">
        <v>10632553</v>
      </c>
      <c r="G1171" s="311">
        <f t="shared" si="177"/>
        <v>16047</v>
      </c>
      <c r="H1171" s="96"/>
      <c r="I1171" s="41"/>
      <c r="J1171" s="42">
        <v>5794881</v>
      </c>
      <c r="K1171" s="313">
        <f t="shared" si="176"/>
        <v>6676</v>
      </c>
      <c r="L1171" s="96"/>
      <c r="M1171" s="41"/>
      <c r="N1171" s="42">
        <v>1007854</v>
      </c>
      <c r="O1171" s="236">
        <f t="shared" si="179"/>
        <v>894</v>
      </c>
      <c r="P1171" s="358"/>
      <c r="Q1171" s="42">
        <v>698580</v>
      </c>
      <c r="R1171" s="314">
        <f t="shared" si="178"/>
        <v>205</v>
      </c>
      <c r="S1171" s="358"/>
      <c r="T1171" s="42">
        <v>68881</v>
      </c>
      <c r="U1171" s="348">
        <f t="shared" si="174"/>
        <v>0</v>
      </c>
      <c r="V1171" s="41"/>
      <c r="W1171" s="42">
        <v>48951</v>
      </c>
      <c r="X1171" s="349">
        <f t="shared" si="175"/>
        <v>0</v>
      </c>
      <c r="Y1171" s="41"/>
      <c r="Z1171" s="243"/>
    </row>
    <row r="1172" spans="1:26">
      <c r="A1172" s="150">
        <v>45701</v>
      </c>
      <c r="B1172" s="350" t="s">
        <v>111</v>
      </c>
      <c r="C1172" s="42">
        <v>4312411</v>
      </c>
      <c r="D1172" s="315">
        <f t="shared" si="180"/>
        <v>11123</v>
      </c>
      <c r="E1172" s="41"/>
      <c r="F1172" s="42">
        <v>10648600</v>
      </c>
      <c r="G1172" s="311">
        <f t="shared" si="177"/>
        <v>36232</v>
      </c>
      <c r="H1172" s="96"/>
      <c r="I1172" s="41"/>
      <c r="J1172" s="42">
        <v>5801557</v>
      </c>
      <c r="K1172" s="313">
        <f t="shared" si="176"/>
        <v>16556</v>
      </c>
      <c r="L1172" s="96"/>
      <c r="M1172" s="41"/>
      <c r="N1172" s="42">
        <v>1008748</v>
      </c>
      <c r="O1172" s="236">
        <f t="shared" si="179"/>
        <v>755</v>
      </c>
      <c r="P1172" s="358"/>
      <c r="Q1172" s="42">
        <v>699003</v>
      </c>
      <c r="R1172" s="314">
        <f t="shared" si="178"/>
        <v>423</v>
      </c>
      <c r="S1172" s="358"/>
      <c r="T1172" s="42">
        <v>68881</v>
      </c>
      <c r="U1172" s="348">
        <f t="shared" si="174"/>
        <v>0</v>
      </c>
      <c r="V1172" s="41"/>
      <c r="W1172" s="42">
        <v>48951</v>
      </c>
      <c r="X1172" s="349">
        <f t="shared" si="175"/>
        <v>0</v>
      </c>
      <c r="Y1172" s="41"/>
      <c r="Z1172" s="243"/>
    </row>
    <row r="1173" spans="1:26">
      <c r="A1173" s="150">
        <v>45702</v>
      </c>
      <c r="B1173" s="350" t="s">
        <v>106</v>
      </c>
      <c r="C1173" s="42">
        <v>4323534</v>
      </c>
      <c r="D1173" s="315">
        <f t="shared" si="180"/>
        <v>0</v>
      </c>
      <c r="E1173" s="41"/>
      <c r="F1173" s="42">
        <v>10684832</v>
      </c>
      <c r="G1173" s="311">
        <f t="shared" si="177"/>
        <v>0</v>
      </c>
      <c r="H1173" s="96"/>
      <c r="I1173" s="41"/>
      <c r="J1173" s="42">
        <v>5818113</v>
      </c>
      <c r="K1173" s="313">
        <f t="shared" si="176"/>
        <v>0</v>
      </c>
      <c r="L1173" s="96"/>
      <c r="M1173" s="41"/>
      <c r="N1173" s="42">
        <v>1009503</v>
      </c>
      <c r="O1173" s="236">
        <f t="shared" si="179"/>
        <v>859</v>
      </c>
      <c r="P1173" s="358"/>
      <c r="Q1173" s="42">
        <v>699003</v>
      </c>
      <c r="R1173" s="314">
        <f t="shared" si="178"/>
        <v>0</v>
      </c>
      <c r="S1173" s="358"/>
      <c r="T1173" s="42">
        <v>68881</v>
      </c>
      <c r="U1173" s="348">
        <f t="shared" si="174"/>
        <v>0</v>
      </c>
      <c r="V1173" s="41"/>
      <c r="W1173" s="42">
        <v>48951</v>
      </c>
      <c r="X1173" s="349">
        <f t="shared" si="175"/>
        <v>0</v>
      </c>
      <c r="Y1173" s="41"/>
      <c r="Z1173" s="243"/>
    </row>
    <row r="1174" spans="1:26">
      <c r="A1174" s="150">
        <v>45703</v>
      </c>
      <c r="B1174" s="350" t="s">
        <v>107</v>
      </c>
      <c r="C1174" s="42">
        <v>4323534</v>
      </c>
      <c r="D1174" s="315">
        <f t="shared" si="180"/>
        <v>0</v>
      </c>
      <c r="E1174" s="41"/>
      <c r="F1174" s="42">
        <v>10684832</v>
      </c>
      <c r="G1174" s="311">
        <f t="shared" si="177"/>
        <v>0</v>
      </c>
      <c r="H1174" s="96"/>
      <c r="I1174" s="41"/>
      <c r="J1174" s="42">
        <v>5818113</v>
      </c>
      <c r="K1174" s="313">
        <f t="shared" si="176"/>
        <v>0</v>
      </c>
      <c r="L1174" s="96"/>
      <c r="M1174" s="41"/>
      <c r="N1174" s="42">
        <v>1010362</v>
      </c>
      <c r="O1174" s="236">
        <f t="shared" si="179"/>
        <v>880</v>
      </c>
      <c r="P1174" s="358"/>
      <c r="Q1174" s="42">
        <v>699197</v>
      </c>
      <c r="R1174" s="314">
        <f t="shared" si="178"/>
        <v>194</v>
      </c>
      <c r="S1174" s="358"/>
      <c r="T1174" s="42">
        <v>68881</v>
      </c>
      <c r="U1174" s="348">
        <f t="shared" si="174"/>
        <v>0</v>
      </c>
      <c r="V1174" s="41"/>
      <c r="W1174" s="42">
        <v>48951</v>
      </c>
      <c r="X1174" s="349">
        <f t="shared" si="175"/>
        <v>0</v>
      </c>
      <c r="Y1174" s="41"/>
      <c r="Z1174" s="243"/>
    </row>
    <row r="1175" spans="1:26">
      <c r="A1175" s="150">
        <v>45704</v>
      </c>
      <c r="B1175" s="350" t="s">
        <v>36</v>
      </c>
      <c r="C1175" s="42">
        <v>4323534</v>
      </c>
      <c r="D1175" s="315">
        <f t="shared" si="180"/>
        <v>0</v>
      </c>
      <c r="E1175" s="41"/>
      <c r="F1175" s="42">
        <v>10684832</v>
      </c>
      <c r="G1175" s="311">
        <f t="shared" si="177"/>
        <v>0</v>
      </c>
      <c r="H1175" s="96"/>
      <c r="I1175" s="41"/>
      <c r="J1175" s="42">
        <v>5818113</v>
      </c>
      <c r="K1175" s="313">
        <f t="shared" si="176"/>
        <v>0</v>
      </c>
      <c r="L1175" s="96"/>
      <c r="M1175" s="41"/>
      <c r="N1175" s="42">
        <v>1011242</v>
      </c>
      <c r="O1175" s="236">
        <f t="shared" si="179"/>
        <v>0</v>
      </c>
      <c r="P1175" s="358"/>
      <c r="Q1175" s="42">
        <v>699528</v>
      </c>
      <c r="R1175" s="314">
        <f t="shared" si="178"/>
        <v>331</v>
      </c>
      <c r="S1175" s="358"/>
      <c r="T1175" s="42">
        <v>68881</v>
      </c>
      <c r="U1175" s="348">
        <f t="shared" si="174"/>
        <v>0</v>
      </c>
      <c r="V1175" s="41"/>
      <c r="W1175" s="42">
        <v>48951</v>
      </c>
      <c r="X1175" s="349">
        <f t="shared" si="175"/>
        <v>0</v>
      </c>
      <c r="Y1175" s="41"/>
      <c r="Z1175" s="243"/>
    </row>
    <row r="1176" spans="1:26">
      <c r="A1176" s="150">
        <v>45705</v>
      </c>
      <c r="B1176" s="350" t="s">
        <v>108</v>
      </c>
      <c r="C1176" s="42">
        <v>4323534</v>
      </c>
      <c r="D1176" s="315">
        <f t="shared" si="180"/>
        <v>4522</v>
      </c>
      <c r="E1176" s="41"/>
      <c r="F1176" s="42">
        <v>10684832</v>
      </c>
      <c r="G1176" s="311">
        <f t="shared" si="177"/>
        <v>11565</v>
      </c>
      <c r="H1176" s="96"/>
      <c r="I1176" s="41"/>
      <c r="J1176" s="42">
        <v>5818113</v>
      </c>
      <c r="K1176" s="313">
        <f t="shared" si="176"/>
        <v>7591</v>
      </c>
      <c r="L1176" s="96"/>
      <c r="M1176" s="41"/>
      <c r="N1176" s="42">
        <v>1011242</v>
      </c>
      <c r="O1176" s="236">
        <f t="shared" si="179"/>
        <v>800</v>
      </c>
      <c r="P1176" s="358"/>
      <c r="Q1176" s="42">
        <v>699528</v>
      </c>
      <c r="R1176" s="314">
        <f t="shared" si="178"/>
        <v>0</v>
      </c>
      <c r="S1176" s="358"/>
      <c r="T1176" s="42">
        <v>68881</v>
      </c>
      <c r="U1176" s="348">
        <f t="shared" ref="U1176:U1239" si="181">T1177-T1176</f>
        <v>0</v>
      </c>
      <c r="V1176" s="41"/>
      <c r="W1176" s="42">
        <v>48951</v>
      </c>
      <c r="X1176" s="349">
        <f t="shared" si="175"/>
        <v>0</v>
      </c>
      <c r="Y1176" s="41"/>
      <c r="Z1176" s="243"/>
    </row>
    <row r="1177" spans="1:26">
      <c r="A1177" s="150">
        <v>45706</v>
      </c>
      <c r="B1177" s="350" t="s">
        <v>109</v>
      </c>
      <c r="C1177" s="42">
        <v>4328056</v>
      </c>
      <c r="D1177" s="315">
        <f t="shared" si="180"/>
        <v>5029</v>
      </c>
      <c r="E1177" s="41"/>
      <c r="F1177" s="42">
        <v>10696397</v>
      </c>
      <c r="G1177" s="311">
        <f t="shared" si="177"/>
        <v>12730</v>
      </c>
      <c r="H1177" s="96"/>
      <c r="I1177" s="41"/>
      <c r="J1177" s="42">
        <v>5825704</v>
      </c>
      <c r="K1177" s="313">
        <f t="shared" si="176"/>
        <v>5655</v>
      </c>
      <c r="L1177" s="96"/>
      <c r="M1177" s="41"/>
      <c r="N1177" s="42">
        <v>1012042</v>
      </c>
      <c r="O1177" s="236">
        <f t="shared" si="179"/>
        <v>842</v>
      </c>
      <c r="P1177" s="358"/>
      <c r="Q1177" s="42">
        <v>699758</v>
      </c>
      <c r="R1177" s="314">
        <f t="shared" si="178"/>
        <v>230</v>
      </c>
      <c r="S1177" s="358"/>
      <c r="T1177" s="42">
        <v>68881</v>
      </c>
      <c r="U1177" s="348">
        <f t="shared" si="181"/>
        <v>0</v>
      </c>
      <c r="V1177" s="41"/>
      <c r="W1177" s="42">
        <v>48951</v>
      </c>
      <c r="X1177" s="349">
        <f t="shared" si="175"/>
        <v>0</v>
      </c>
      <c r="Y1177" s="41"/>
      <c r="Z1177" s="243"/>
    </row>
    <row r="1178" spans="1:26">
      <c r="A1178" s="150">
        <v>45707</v>
      </c>
      <c r="B1178" s="350" t="s">
        <v>110</v>
      </c>
      <c r="C1178" s="42">
        <v>4333085</v>
      </c>
      <c r="D1178" s="315">
        <f t="shared" si="180"/>
        <v>5214</v>
      </c>
      <c r="E1178" s="41"/>
      <c r="F1178" s="42">
        <v>10709127</v>
      </c>
      <c r="G1178" s="311">
        <f t="shared" si="177"/>
        <v>12975</v>
      </c>
      <c r="H1178" s="96"/>
      <c r="I1178" s="41"/>
      <c r="J1178" s="42">
        <v>5831359</v>
      </c>
      <c r="K1178" s="313">
        <f t="shared" si="176"/>
        <v>9560</v>
      </c>
      <c r="L1178" s="96"/>
      <c r="M1178" s="41"/>
      <c r="N1178" s="42">
        <v>1012884</v>
      </c>
      <c r="O1178" s="236">
        <f t="shared" si="179"/>
        <v>786</v>
      </c>
      <c r="P1178" s="358"/>
      <c r="Q1178" s="42">
        <v>699952</v>
      </c>
      <c r="R1178" s="314">
        <f t="shared" si="178"/>
        <v>194</v>
      </c>
      <c r="S1178" s="358"/>
      <c r="T1178" s="42">
        <v>68881</v>
      </c>
      <c r="U1178" s="348">
        <f t="shared" si="181"/>
        <v>0</v>
      </c>
      <c r="V1178" s="41"/>
      <c r="W1178" s="42">
        <v>48951</v>
      </c>
      <c r="X1178" s="349">
        <f t="shared" si="175"/>
        <v>0</v>
      </c>
      <c r="Y1178" s="41"/>
      <c r="Z1178" s="243"/>
    </row>
    <row r="1179" spans="1:26">
      <c r="A1179" s="150">
        <v>45708</v>
      </c>
      <c r="B1179" s="350" t="s">
        <v>111</v>
      </c>
      <c r="C1179" s="42">
        <v>4338299</v>
      </c>
      <c r="D1179" s="315">
        <f t="shared" si="180"/>
        <v>5213</v>
      </c>
      <c r="E1179" s="41"/>
      <c r="F1179" s="42">
        <v>10722102</v>
      </c>
      <c r="G1179" s="311">
        <f t="shared" si="177"/>
        <v>13233</v>
      </c>
      <c r="H1179" s="96"/>
      <c r="I1179" s="41"/>
      <c r="J1179" s="42">
        <v>5840919</v>
      </c>
      <c r="K1179" s="313">
        <f t="shared" si="176"/>
        <v>6980</v>
      </c>
      <c r="L1179" s="96"/>
      <c r="M1179" s="41"/>
      <c r="N1179" s="42">
        <v>1013670</v>
      </c>
      <c r="O1179" s="236">
        <f t="shared" si="179"/>
        <v>937</v>
      </c>
      <c r="P1179" s="358"/>
      <c r="Q1179" s="42">
        <v>700185</v>
      </c>
      <c r="R1179" s="314">
        <f t="shared" si="178"/>
        <v>233</v>
      </c>
      <c r="S1179" s="358"/>
      <c r="T1179" s="42">
        <v>68881</v>
      </c>
      <c r="U1179" s="348">
        <f t="shared" si="181"/>
        <v>0</v>
      </c>
      <c r="V1179" s="41"/>
      <c r="W1179" s="42">
        <v>48951</v>
      </c>
      <c r="X1179" s="349">
        <f t="shared" si="175"/>
        <v>0</v>
      </c>
      <c r="Y1179" s="41"/>
      <c r="Z1179" s="243"/>
    </row>
    <row r="1180" spans="1:26">
      <c r="A1180" s="150">
        <v>45709</v>
      </c>
      <c r="B1180" s="350" t="s">
        <v>106</v>
      </c>
      <c r="C1180" s="42">
        <v>4343512</v>
      </c>
      <c r="D1180" s="315">
        <f t="shared" si="180"/>
        <v>9846</v>
      </c>
      <c r="E1180" s="41"/>
      <c r="F1180" s="42">
        <v>10735335</v>
      </c>
      <c r="G1180" s="311">
        <f t="shared" si="177"/>
        <v>32939</v>
      </c>
      <c r="H1180" s="96"/>
      <c r="I1180" s="41"/>
      <c r="J1180" s="42">
        <v>5847899</v>
      </c>
      <c r="K1180" s="313">
        <f t="shared" si="176"/>
        <v>18349</v>
      </c>
      <c r="L1180" s="96"/>
      <c r="M1180" s="41"/>
      <c r="N1180" s="42">
        <v>1014607</v>
      </c>
      <c r="O1180" s="236">
        <f t="shared" si="179"/>
        <v>1006</v>
      </c>
      <c r="P1180" s="358"/>
      <c r="Q1180" s="42">
        <v>700361</v>
      </c>
      <c r="R1180" s="314">
        <f t="shared" si="178"/>
        <v>176</v>
      </c>
      <c r="S1180" s="358"/>
      <c r="T1180" s="42">
        <v>68881</v>
      </c>
      <c r="U1180" s="348">
        <f t="shared" si="181"/>
        <v>0</v>
      </c>
      <c r="V1180" s="41"/>
      <c r="W1180" s="42">
        <v>48951</v>
      </c>
      <c r="X1180" s="349">
        <f t="shared" si="175"/>
        <v>0</v>
      </c>
      <c r="Y1180" s="41"/>
      <c r="Z1180" s="243"/>
    </row>
    <row r="1181" spans="1:26">
      <c r="A1181" s="150">
        <v>45710</v>
      </c>
      <c r="B1181" s="350" t="s">
        <v>107</v>
      </c>
      <c r="C1181" s="42">
        <v>4353358</v>
      </c>
      <c r="D1181" s="315">
        <f t="shared" si="180"/>
        <v>0</v>
      </c>
      <c r="E1181" s="41"/>
      <c r="F1181" s="42">
        <v>10768274</v>
      </c>
      <c r="G1181" s="311">
        <f t="shared" si="177"/>
        <v>0</v>
      </c>
      <c r="H1181" s="96"/>
      <c r="I1181" s="41"/>
      <c r="J1181" s="42">
        <v>5866248</v>
      </c>
      <c r="K1181" s="313">
        <f t="shared" si="176"/>
        <v>0</v>
      </c>
      <c r="L1181" s="96"/>
      <c r="M1181" s="41"/>
      <c r="N1181" s="42">
        <v>1015613</v>
      </c>
      <c r="O1181" s="236">
        <f t="shared" si="179"/>
        <v>808</v>
      </c>
      <c r="P1181" s="358"/>
      <c r="Q1181" s="42">
        <v>700565</v>
      </c>
      <c r="R1181" s="314">
        <f t="shared" si="178"/>
        <v>204</v>
      </c>
      <c r="S1181" s="358"/>
      <c r="T1181" s="42">
        <v>68881</v>
      </c>
      <c r="U1181" s="348">
        <f t="shared" si="181"/>
        <v>0</v>
      </c>
      <c r="V1181" s="41"/>
      <c r="W1181" s="42">
        <v>48951</v>
      </c>
      <c r="X1181" s="349">
        <f t="shared" si="175"/>
        <v>0</v>
      </c>
      <c r="Y1181" s="41"/>
      <c r="Z1181" s="243"/>
    </row>
    <row r="1182" spans="1:26">
      <c r="A1182" s="150">
        <v>45711</v>
      </c>
      <c r="B1182" s="350" t="s">
        <v>36</v>
      </c>
      <c r="C1182" s="42">
        <v>4353358</v>
      </c>
      <c r="D1182" s="315">
        <f t="shared" si="180"/>
        <v>0</v>
      </c>
      <c r="E1182" s="41"/>
      <c r="F1182" s="42">
        <v>10768274</v>
      </c>
      <c r="G1182" s="311">
        <f t="shared" si="177"/>
        <v>0</v>
      </c>
      <c r="H1182" s="96"/>
      <c r="I1182" s="41"/>
      <c r="J1182" s="42">
        <v>5866248</v>
      </c>
      <c r="K1182" s="313">
        <f t="shared" si="176"/>
        <v>0</v>
      </c>
      <c r="L1182" s="96"/>
      <c r="M1182" s="41"/>
      <c r="N1182" s="42">
        <v>1016421</v>
      </c>
      <c r="O1182" s="236">
        <f t="shared" si="179"/>
        <v>0</v>
      </c>
      <c r="P1182" s="358"/>
      <c r="Q1182" s="42">
        <v>700859</v>
      </c>
      <c r="R1182" s="314">
        <f>Q1182-Q1181</f>
        <v>294</v>
      </c>
      <c r="S1182" s="358"/>
      <c r="T1182" s="42">
        <v>68881</v>
      </c>
      <c r="U1182" s="348">
        <f t="shared" si="181"/>
        <v>0</v>
      </c>
      <c r="V1182" s="41"/>
      <c r="W1182" s="42">
        <v>48951</v>
      </c>
      <c r="X1182" s="349">
        <f t="shared" si="175"/>
        <v>0</v>
      </c>
      <c r="Y1182" s="41"/>
      <c r="Z1182" s="243"/>
    </row>
    <row r="1183" spans="1:26">
      <c r="A1183" s="150">
        <v>45712</v>
      </c>
      <c r="B1183" s="350" t="s">
        <v>108</v>
      </c>
      <c r="C1183" s="42">
        <v>4353358</v>
      </c>
      <c r="D1183" s="315">
        <f t="shared" si="180"/>
        <v>0</v>
      </c>
      <c r="E1183" s="41"/>
      <c r="F1183" s="42">
        <v>10768274</v>
      </c>
      <c r="G1183" s="311">
        <f t="shared" si="177"/>
        <v>0</v>
      </c>
      <c r="H1183" s="96"/>
      <c r="I1183" s="41"/>
      <c r="J1183" s="42">
        <v>5866248</v>
      </c>
      <c r="K1183" s="313">
        <f t="shared" si="176"/>
        <v>0</v>
      </c>
      <c r="L1183" s="96"/>
      <c r="M1183" s="41"/>
      <c r="N1183" s="42">
        <v>1016421</v>
      </c>
      <c r="O1183" s="236">
        <f t="shared" si="179"/>
        <v>765</v>
      </c>
      <c r="P1183" s="358"/>
      <c r="Q1183" s="42">
        <v>700859</v>
      </c>
      <c r="R1183" s="314">
        <f>Q1183-Q1182</f>
        <v>0</v>
      </c>
      <c r="S1183" s="358"/>
      <c r="T1183" s="42">
        <v>68881</v>
      </c>
      <c r="U1183" s="348">
        <f t="shared" si="181"/>
        <v>0</v>
      </c>
      <c r="V1183" s="41"/>
      <c r="W1183" s="42">
        <v>48951</v>
      </c>
      <c r="X1183" s="349">
        <f t="shared" ref="X1183:X1246" si="182">W1184-W1183</f>
        <v>0</v>
      </c>
      <c r="Y1183" s="41"/>
      <c r="Z1183" s="243"/>
    </row>
    <row r="1184" spans="1:26">
      <c r="A1184" s="150">
        <v>45713</v>
      </c>
      <c r="B1184" s="350" t="s">
        <v>109</v>
      </c>
      <c r="C1184" s="42">
        <v>4353358</v>
      </c>
      <c r="D1184" s="315">
        <f t="shared" si="180"/>
        <v>26491</v>
      </c>
      <c r="E1184" s="41"/>
      <c r="F1184" s="42">
        <v>10768274</v>
      </c>
      <c r="G1184" s="311">
        <f t="shared" si="177"/>
        <v>80615</v>
      </c>
      <c r="H1184" s="96"/>
      <c r="I1184" s="41"/>
      <c r="J1184" s="42">
        <v>5866248</v>
      </c>
      <c r="K1184" s="313">
        <f t="shared" si="176"/>
        <v>47323</v>
      </c>
      <c r="L1184" s="96"/>
      <c r="M1184" s="41"/>
      <c r="N1184" s="42">
        <v>1017186</v>
      </c>
      <c r="O1184" s="236">
        <f t="shared" si="179"/>
        <v>844</v>
      </c>
      <c r="P1184" s="358"/>
      <c r="Q1184" s="42">
        <v>701079</v>
      </c>
      <c r="R1184" s="314">
        <f>Q1184-Q1183</f>
        <v>220</v>
      </c>
      <c r="S1184" s="358"/>
      <c r="T1184" s="42">
        <v>68881</v>
      </c>
      <c r="U1184" s="348">
        <f t="shared" si="181"/>
        <v>0</v>
      </c>
      <c r="V1184" s="41"/>
      <c r="W1184" s="42">
        <v>48951</v>
      </c>
      <c r="X1184" s="349">
        <f t="shared" si="182"/>
        <v>0</v>
      </c>
      <c r="Y1184" s="41"/>
      <c r="Z1184" s="243"/>
    </row>
    <row r="1185" spans="1:26">
      <c r="A1185" s="150">
        <v>45714</v>
      </c>
      <c r="B1185" s="350" t="s">
        <v>110</v>
      </c>
      <c r="C1185" s="42">
        <v>4379849</v>
      </c>
      <c r="D1185" s="315">
        <f t="shared" si="180"/>
        <v>0</v>
      </c>
      <c r="E1185" s="41"/>
      <c r="F1185" s="42">
        <v>10848889</v>
      </c>
      <c r="G1185" s="311">
        <f t="shared" si="177"/>
        <v>0</v>
      </c>
      <c r="H1185" s="96"/>
      <c r="I1185" s="41"/>
      <c r="J1185" s="42">
        <v>5913571</v>
      </c>
      <c r="K1185" s="313">
        <f t="shared" si="176"/>
        <v>0</v>
      </c>
      <c r="L1185" s="96"/>
      <c r="M1185" s="41"/>
      <c r="N1185" s="42">
        <v>1018030</v>
      </c>
      <c r="O1185" s="236">
        <f t="shared" si="179"/>
        <v>753</v>
      </c>
      <c r="P1185" s="358"/>
      <c r="Q1185" s="42">
        <v>701270</v>
      </c>
      <c r="R1185" s="314">
        <f t="shared" ref="R1185:R1248" si="183">Q1185-Q1184</f>
        <v>191</v>
      </c>
      <c r="S1185" s="358"/>
      <c r="T1185" s="42">
        <v>68881</v>
      </c>
      <c r="U1185" s="348">
        <f t="shared" si="181"/>
        <v>0</v>
      </c>
      <c r="V1185" s="41"/>
      <c r="W1185" s="42">
        <v>48951</v>
      </c>
      <c r="X1185" s="349">
        <f t="shared" si="182"/>
        <v>0</v>
      </c>
      <c r="Y1185" s="41"/>
      <c r="Z1185" s="243"/>
    </row>
    <row r="1186" spans="1:26">
      <c r="A1186" s="150">
        <v>45715</v>
      </c>
      <c r="B1186" s="350" t="s">
        <v>111</v>
      </c>
      <c r="C1186" s="42">
        <v>4379849</v>
      </c>
      <c r="D1186" s="315">
        <f t="shared" si="180"/>
        <v>0</v>
      </c>
      <c r="E1186" s="41"/>
      <c r="F1186" s="42">
        <v>10848889</v>
      </c>
      <c r="G1186" s="311">
        <f t="shared" si="177"/>
        <v>0</v>
      </c>
      <c r="H1186" s="96"/>
      <c r="I1186" s="41"/>
      <c r="J1186" s="42">
        <v>5913571</v>
      </c>
      <c r="K1186" s="313">
        <f t="shared" si="176"/>
        <v>0</v>
      </c>
      <c r="L1186" s="96"/>
      <c r="M1186" s="41"/>
      <c r="N1186" s="42">
        <v>1018783</v>
      </c>
      <c r="O1186" s="236">
        <f t="shared" si="179"/>
        <v>898</v>
      </c>
      <c r="P1186" s="358"/>
      <c r="Q1186" s="42">
        <v>701486</v>
      </c>
      <c r="R1186" s="314">
        <f t="shared" si="183"/>
        <v>216</v>
      </c>
      <c r="S1186" s="358"/>
      <c r="T1186" s="42">
        <v>68881</v>
      </c>
      <c r="U1186" s="348">
        <f t="shared" si="181"/>
        <v>0</v>
      </c>
      <c r="V1186" s="41"/>
      <c r="W1186" s="42">
        <v>48951</v>
      </c>
      <c r="X1186" s="349">
        <f t="shared" si="182"/>
        <v>0</v>
      </c>
      <c r="Y1186" s="41"/>
      <c r="Z1186" s="243"/>
    </row>
    <row r="1187" spans="1:26">
      <c r="A1187" s="150">
        <v>45716</v>
      </c>
      <c r="B1187" s="350" t="s">
        <v>106</v>
      </c>
      <c r="C1187" s="42">
        <v>4379849</v>
      </c>
      <c r="D1187" s="315">
        <f t="shared" si="180"/>
        <v>0</v>
      </c>
      <c r="E1187" s="41"/>
      <c r="F1187" s="42">
        <v>10848889</v>
      </c>
      <c r="G1187" s="311">
        <f t="shared" si="177"/>
        <v>0</v>
      </c>
      <c r="H1187" s="96"/>
      <c r="I1187" s="41"/>
      <c r="J1187" s="42">
        <v>5913571</v>
      </c>
      <c r="K1187" s="313">
        <f t="shared" si="176"/>
        <v>0</v>
      </c>
      <c r="L1187" s="96"/>
      <c r="M1187" s="41"/>
      <c r="N1187" s="42">
        <v>1019681</v>
      </c>
      <c r="O1187" s="236">
        <f t="shared" si="179"/>
        <v>3933</v>
      </c>
      <c r="P1187" s="358"/>
      <c r="Q1187" s="42">
        <v>701702</v>
      </c>
      <c r="R1187" s="314">
        <f t="shared" si="183"/>
        <v>216</v>
      </c>
      <c r="S1187" s="358"/>
      <c r="T1187" s="42">
        <v>68881</v>
      </c>
      <c r="U1187" s="348">
        <f t="shared" si="181"/>
        <v>0</v>
      </c>
      <c r="V1187" s="41"/>
      <c r="W1187" s="42">
        <v>48951</v>
      </c>
      <c r="X1187" s="349">
        <f t="shared" si="182"/>
        <v>0</v>
      </c>
      <c r="Y1187" s="41"/>
      <c r="Z1187" s="243"/>
    </row>
    <row r="1188" spans="1:26">
      <c r="A1188" s="150">
        <v>45717</v>
      </c>
      <c r="B1188" s="350" t="s">
        <v>107</v>
      </c>
      <c r="C1188" s="42">
        <v>4379849</v>
      </c>
      <c r="D1188" s="315">
        <f t="shared" si="180"/>
        <v>0</v>
      </c>
      <c r="E1188" s="41"/>
      <c r="F1188" s="42">
        <v>10848889</v>
      </c>
      <c r="G1188" s="311">
        <f t="shared" si="177"/>
        <v>0</v>
      </c>
      <c r="H1188" s="96"/>
      <c r="I1188" s="41"/>
      <c r="J1188" s="42">
        <v>5913571</v>
      </c>
      <c r="K1188" s="313">
        <f t="shared" si="176"/>
        <v>0</v>
      </c>
      <c r="L1188" s="96"/>
      <c r="M1188" s="41"/>
      <c r="N1188" s="42">
        <v>1023614</v>
      </c>
      <c r="O1188" s="236">
        <f t="shared" si="179"/>
        <v>0</v>
      </c>
      <c r="P1188" s="358"/>
      <c r="Q1188" s="42">
        <v>702924</v>
      </c>
      <c r="R1188" s="314">
        <f t="shared" si="183"/>
        <v>1222</v>
      </c>
      <c r="S1188" s="358"/>
      <c r="T1188" s="42">
        <v>68881</v>
      </c>
      <c r="U1188" s="348">
        <f t="shared" si="181"/>
        <v>0</v>
      </c>
      <c r="V1188" s="41"/>
      <c r="W1188" s="42">
        <v>48951</v>
      </c>
      <c r="X1188" s="349">
        <f t="shared" si="182"/>
        <v>0</v>
      </c>
      <c r="Y1188" s="41"/>
      <c r="Z1188" s="243"/>
    </row>
    <row r="1189" spans="1:26">
      <c r="A1189" s="150">
        <v>45718</v>
      </c>
      <c r="B1189" s="350" t="s">
        <v>36</v>
      </c>
      <c r="C1189" s="42">
        <v>4379849</v>
      </c>
      <c r="D1189" s="315">
        <f t="shared" si="180"/>
        <v>0</v>
      </c>
      <c r="E1189" s="41"/>
      <c r="F1189" s="42">
        <v>10848889</v>
      </c>
      <c r="G1189" s="311">
        <f t="shared" si="177"/>
        <v>0</v>
      </c>
      <c r="H1189" s="96"/>
      <c r="I1189" s="41"/>
      <c r="J1189" s="42">
        <v>5913571</v>
      </c>
      <c r="K1189" s="313">
        <f t="shared" si="176"/>
        <v>0</v>
      </c>
      <c r="L1189" s="96"/>
      <c r="M1189" s="41"/>
      <c r="N1189" s="42">
        <v>1023614</v>
      </c>
      <c r="O1189" s="236">
        <f t="shared" si="179"/>
        <v>0</v>
      </c>
      <c r="P1189" s="358"/>
      <c r="Q1189" s="42">
        <v>702924</v>
      </c>
      <c r="R1189" s="314">
        <f t="shared" si="183"/>
        <v>0</v>
      </c>
      <c r="S1189" s="358"/>
      <c r="T1189" s="42">
        <v>68881</v>
      </c>
      <c r="U1189" s="348">
        <f t="shared" si="181"/>
        <v>0</v>
      </c>
      <c r="V1189" s="41"/>
      <c r="W1189" s="42">
        <v>48951</v>
      </c>
      <c r="X1189" s="349">
        <f t="shared" si="182"/>
        <v>0</v>
      </c>
      <c r="Y1189" s="41"/>
      <c r="Z1189" s="243"/>
    </row>
    <row r="1190" spans="1:26">
      <c r="A1190" s="150">
        <v>45719</v>
      </c>
      <c r="B1190" s="350" t="s">
        <v>108</v>
      </c>
      <c r="C1190" s="42">
        <v>4379849</v>
      </c>
      <c r="D1190" s="315">
        <f t="shared" si="180"/>
        <v>0</v>
      </c>
      <c r="E1190" s="41"/>
      <c r="F1190" s="42">
        <v>10848889</v>
      </c>
      <c r="G1190" s="311">
        <f t="shared" si="177"/>
        <v>0</v>
      </c>
      <c r="H1190" s="96"/>
      <c r="I1190" s="41"/>
      <c r="J1190" s="42">
        <v>5913571</v>
      </c>
      <c r="K1190" s="313">
        <f t="shared" si="176"/>
        <v>0</v>
      </c>
      <c r="L1190" s="96"/>
      <c r="M1190" s="41"/>
      <c r="N1190" s="42">
        <v>1023614</v>
      </c>
      <c r="O1190" s="236">
        <f t="shared" si="179"/>
        <v>0</v>
      </c>
      <c r="P1190" s="358"/>
      <c r="Q1190" s="42">
        <v>702924</v>
      </c>
      <c r="R1190" s="314">
        <f t="shared" si="183"/>
        <v>0</v>
      </c>
      <c r="S1190" s="358"/>
      <c r="T1190" s="42">
        <v>68881</v>
      </c>
      <c r="U1190" s="348">
        <f t="shared" si="181"/>
        <v>0</v>
      </c>
      <c r="V1190" s="41"/>
      <c r="W1190" s="42">
        <v>48951</v>
      </c>
      <c r="X1190" s="349">
        <f t="shared" si="182"/>
        <v>0</v>
      </c>
      <c r="Y1190" s="41"/>
      <c r="Z1190" s="243"/>
    </row>
    <row r="1191" spans="1:26">
      <c r="A1191" s="150">
        <v>45720</v>
      </c>
      <c r="B1191" s="350" t="s">
        <v>109</v>
      </c>
      <c r="C1191" s="42">
        <v>4379849</v>
      </c>
      <c r="D1191" s="315">
        <f t="shared" si="180"/>
        <v>0</v>
      </c>
      <c r="E1191" s="41"/>
      <c r="F1191" s="42">
        <v>10848889</v>
      </c>
      <c r="G1191" s="311">
        <f t="shared" si="177"/>
        <v>0</v>
      </c>
      <c r="H1191" s="96"/>
      <c r="I1191" s="41"/>
      <c r="J1191" s="42">
        <v>5913571</v>
      </c>
      <c r="K1191" s="313">
        <f t="shared" si="176"/>
        <v>0</v>
      </c>
      <c r="L1191" s="96"/>
      <c r="M1191" s="41"/>
      <c r="N1191" s="42">
        <v>1023614</v>
      </c>
      <c r="O1191" s="236">
        <f t="shared" si="179"/>
        <v>0</v>
      </c>
      <c r="P1191" s="358"/>
      <c r="Q1191" s="42">
        <v>702924</v>
      </c>
      <c r="R1191" s="314">
        <f t="shared" si="183"/>
        <v>0</v>
      </c>
      <c r="S1191" s="358"/>
      <c r="T1191" s="42">
        <v>68881</v>
      </c>
      <c r="U1191" s="348">
        <f t="shared" si="181"/>
        <v>0</v>
      </c>
      <c r="V1191" s="41"/>
      <c r="W1191" s="42">
        <v>48951</v>
      </c>
      <c r="X1191" s="349">
        <f t="shared" si="182"/>
        <v>0</v>
      </c>
      <c r="Y1191" s="41"/>
      <c r="Z1191" s="243"/>
    </row>
    <row r="1192" spans="1:26">
      <c r="A1192" s="150">
        <v>45721</v>
      </c>
      <c r="B1192" s="350" t="s">
        <v>110</v>
      </c>
      <c r="C1192" s="42">
        <v>4379849</v>
      </c>
      <c r="D1192" s="315">
        <f t="shared" si="180"/>
        <v>0</v>
      </c>
      <c r="E1192" s="41"/>
      <c r="F1192" s="42">
        <v>10848889</v>
      </c>
      <c r="G1192" s="311">
        <f t="shared" si="177"/>
        <v>0</v>
      </c>
      <c r="H1192" s="96"/>
      <c r="I1192" s="41"/>
      <c r="J1192" s="42">
        <v>5913571</v>
      </c>
      <c r="K1192" s="313">
        <f t="shared" si="176"/>
        <v>0</v>
      </c>
      <c r="L1192" s="96"/>
      <c r="M1192" s="41"/>
      <c r="N1192" s="42">
        <v>1023614</v>
      </c>
      <c r="O1192" s="236">
        <f t="shared" si="179"/>
        <v>0</v>
      </c>
      <c r="P1192" s="358"/>
      <c r="Q1192" s="42">
        <v>702924</v>
      </c>
      <c r="R1192" s="314">
        <f t="shared" si="183"/>
        <v>0</v>
      </c>
      <c r="S1192" s="358"/>
      <c r="T1192" s="42">
        <v>68881</v>
      </c>
      <c r="U1192" s="348">
        <f t="shared" si="181"/>
        <v>0</v>
      </c>
      <c r="V1192" s="41"/>
      <c r="W1192" s="42">
        <v>48951</v>
      </c>
      <c r="X1192" s="349">
        <f t="shared" si="182"/>
        <v>0</v>
      </c>
      <c r="Y1192" s="41"/>
      <c r="Z1192" s="243"/>
    </row>
    <row r="1193" spans="1:26">
      <c r="A1193" s="150">
        <v>45722</v>
      </c>
      <c r="B1193" s="350" t="s">
        <v>111</v>
      </c>
      <c r="C1193" s="42">
        <v>4379849</v>
      </c>
      <c r="D1193" s="315">
        <f t="shared" si="180"/>
        <v>7260</v>
      </c>
      <c r="E1193" s="41"/>
      <c r="F1193" s="42">
        <v>10848889</v>
      </c>
      <c r="G1193" s="311">
        <f t="shared" si="177"/>
        <v>16191</v>
      </c>
      <c r="H1193" s="96"/>
      <c r="I1193" s="41"/>
      <c r="J1193" s="42">
        <v>5913571</v>
      </c>
      <c r="K1193" s="313">
        <f t="shared" si="176"/>
        <v>6042</v>
      </c>
      <c r="L1193" s="96"/>
      <c r="M1193" s="41"/>
      <c r="N1193" s="42">
        <v>1023614</v>
      </c>
      <c r="O1193" s="236">
        <f t="shared" si="179"/>
        <v>0</v>
      </c>
      <c r="P1193" s="358"/>
      <c r="Q1193" s="42">
        <v>702924</v>
      </c>
      <c r="R1193" s="314">
        <f t="shared" si="183"/>
        <v>0</v>
      </c>
      <c r="S1193" s="358"/>
      <c r="T1193" s="42">
        <v>68881</v>
      </c>
      <c r="U1193" s="348">
        <f t="shared" si="181"/>
        <v>0</v>
      </c>
      <c r="V1193" s="41"/>
      <c r="W1193" s="42">
        <v>48951</v>
      </c>
      <c r="X1193" s="349">
        <f t="shared" si="182"/>
        <v>0</v>
      </c>
      <c r="Y1193" s="41"/>
      <c r="Z1193" s="243"/>
    </row>
    <row r="1194" spans="1:26">
      <c r="A1194" s="150">
        <v>45723</v>
      </c>
      <c r="B1194" s="350" t="s">
        <v>106</v>
      </c>
      <c r="C1194" s="42">
        <v>4387109</v>
      </c>
      <c r="D1194" s="315">
        <f t="shared" si="180"/>
        <v>30342</v>
      </c>
      <c r="E1194" s="41"/>
      <c r="F1194" s="42">
        <v>10865080</v>
      </c>
      <c r="G1194" s="311">
        <f t="shared" si="177"/>
        <v>66325</v>
      </c>
      <c r="H1194" s="96"/>
      <c r="I1194" s="41"/>
      <c r="J1194" s="42">
        <v>5919613</v>
      </c>
      <c r="K1194" s="313">
        <f t="shared" si="176"/>
        <v>24770</v>
      </c>
      <c r="L1194" s="96"/>
      <c r="M1194" s="41"/>
      <c r="N1194" s="42">
        <v>1023614</v>
      </c>
      <c r="O1194" s="236">
        <f t="shared" si="179"/>
        <v>818</v>
      </c>
      <c r="P1194" s="358"/>
      <c r="Q1194" s="42">
        <v>702924</v>
      </c>
      <c r="R1194" s="314">
        <f t="shared" si="183"/>
        <v>0</v>
      </c>
      <c r="S1194" s="358"/>
      <c r="T1194" s="42">
        <v>68881</v>
      </c>
      <c r="U1194" s="348">
        <f t="shared" si="181"/>
        <v>0</v>
      </c>
      <c r="V1194" s="41"/>
      <c r="W1194" s="42">
        <v>48951</v>
      </c>
      <c r="X1194" s="349">
        <f t="shared" si="182"/>
        <v>0</v>
      </c>
      <c r="Y1194" s="41"/>
      <c r="Z1194" s="243"/>
    </row>
    <row r="1195" spans="1:26">
      <c r="A1195" s="150">
        <v>45724</v>
      </c>
      <c r="B1195" s="350" t="s">
        <v>107</v>
      </c>
      <c r="C1195" s="42">
        <v>4417451</v>
      </c>
      <c r="D1195" s="315">
        <f t="shared" si="180"/>
        <v>0</v>
      </c>
      <c r="E1195" s="41"/>
      <c r="F1195" s="42">
        <v>10931405</v>
      </c>
      <c r="G1195" s="311">
        <f t="shared" si="177"/>
        <v>0</v>
      </c>
      <c r="H1195" s="96"/>
      <c r="I1195" s="41"/>
      <c r="J1195" s="42">
        <v>5944383</v>
      </c>
      <c r="K1195" s="313">
        <f t="shared" si="176"/>
        <v>0</v>
      </c>
      <c r="L1195" s="96"/>
      <c r="M1195" s="41"/>
      <c r="N1195" s="42">
        <v>1024432</v>
      </c>
      <c r="O1195" s="236">
        <f t="shared" si="179"/>
        <v>2394</v>
      </c>
      <c r="P1195" s="358"/>
      <c r="Q1195" s="42">
        <v>703162</v>
      </c>
      <c r="R1195" s="314">
        <f t="shared" si="183"/>
        <v>238</v>
      </c>
      <c r="S1195" s="358"/>
      <c r="T1195" s="42">
        <v>68881</v>
      </c>
      <c r="U1195" s="348">
        <f t="shared" si="181"/>
        <v>0</v>
      </c>
      <c r="V1195" s="41"/>
      <c r="W1195" s="42">
        <v>48951</v>
      </c>
      <c r="X1195" s="349">
        <f t="shared" si="182"/>
        <v>0</v>
      </c>
      <c r="Y1195" s="41"/>
      <c r="Z1195" s="243"/>
    </row>
    <row r="1196" spans="1:26">
      <c r="A1196" s="150">
        <v>45725</v>
      </c>
      <c r="B1196" s="350" t="s">
        <v>36</v>
      </c>
      <c r="C1196" s="42">
        <v>4417451</v>
      </c>
      <c r="D1196" s="315">
        <f t="shared" si="180"/>
        <v>0</v>
      </c>
      <c r="E1196" s="41"/>
      <c r="F1196" s="42">
        <v>10931405</v>
      </c>
      <c r="G1196" s="311">
        <f t="shared" si="177"/>
        <v>0</v>
      </c>
      <c r="H1196" s="96"/>
      <c r="I1196" s="41"/>
      <c r="J1196" s="42">
        <v>5944383</v>
      </c>
      <c r="K1196" s="313">
        <f t="shared" si="176"/>
        <v>0</v>
      </c>
      <c r="L1196" s="96"/>
      <c r="M1196" s="41"/>
      <c r="N1196" s="42">
        <v>1026826</v>
      </c>
      <c r="O1196" s="236">
        <f t="shared" si="179"/>
        <v>0</v>
      </c>
      <c r="P1196" s="358"/>
      <c r="Q1196" s="42">
        <v>703519</v>
      </c>
      <c r="R1196" s="314">
        <f t="shared" si="183"/>
        <v>357</v>
      </c>
      <c r="S1196" s="358"/>
      <c r="T1196" s="42">
        <v>68881</v>
      </c>
      <c r="U1196" s="348">
        <f t="shared" si="181"/>
        <v>0</v>
      </c>
      <c r="V1196" s="41"/>
      <c r="W1196" s="42">
        <v>48951</v>
      </c>
      <c r="X1196" s="349">
        <f t="shared" si="182"/>
        <v>0</v>
      </c>
      <c r="Y1196" s="41"/>
      <c r="Z1196" s="243"/>
    </row>
    <row r="1197" spans="1:26">
      <c r="A1197" s="150">
        <v>45726</v>
      </c>
      <c r="B1197" s="350" t="s">
        <v>108</v>
      </c>
      <c r="C1197" s="42">
        <v>4417451</v>
      </c>
      <c r="D1197" s="315">
        <f t="shared" si="180"/>
        <v>0</v>
      </c>
      <c r="E1197" s="41"/>
      <c r="F1197" s="42">
        <v>10931405</v>
      </c>
      <c r="G1197" s="311">
        <f t="shared" si="177"/>
        <v>0</v>
      </c>
      <c r="H1197" s="96"/>
      <c r="I1197" s="41"/>
      <c r="J1197" s="42">
        <v>5944383</v>
      </c>
      <c r="K1197" s="313">
        <f t="shared" si="176"/>
        <v>0</v>
      </c>
      <c r="L1197" s="96"/>
      <c r="M1197" s="41"/>
      <c r="N1197" s="42">
        <v>1026826</v>
      </c>
      <c r="O1197" s="236">
        <f t="shared" si="179"/>
        <v>0</v>
      </c>
      <c r="P1197" s="358"/>
      <c r="Q1197" s="42">
        <v>703519</v>
      </c>
      <c r="R1197" s="314">
        <f t="shared" si="183"/>
        <v>0</v>
      </c>
      <c r="S1197" s="358"/>
      <c r="T1197" s="42">
        <v>68881</v>
      </c>
      <c r="U1197" s="348">
        <f t="shared" si="181"/>
        <v>0</v>
      </c>
      <c r="V1197" s="41"/>
      <c r="W1197" s="42">
        <v>48951</v>
      </c>
      <c r="X1197" s="349">
        <f t="shared" si="182"/>
        <v>0</v>
      </c>
      <c r="Y1197" s="41"/>
      <c r="Z1197" s="243"/>
    </row>
    <row r="1198" spans="1:26">
      <c r="A1198" s="150">
        <v>45727</v>
      </c>
      <c r="B1198" s="350" t="s">
        <v>109</v>
      </c>
      <c r="C1198" s="42">
        <v>4417451</v>
      </c>
      <c r="D1198" s="315">
        <f t="shared" si="180"/>
        <v>53147</v>
      </c>
      <c r="E1198" s="41"/>
      <c r="F1198" s="42">
        <v>10931405</v>
      </c>
      <c r="G1198" s="311">
        <f t="shared" si="177"/>
        <v>114939</v>
      </c>
      <c r="H1198" s="96"/>
      <c r="I1198" s="41"/>
      <c r="J1198" s="42">
        <v>5944383</v>
      </c>
      <c r="K1198" s="313">
        <f t="shared" si="176"/>
        <v>9636</v>
      </c>
      <c r="L1198" s="96"/>
      <c r="M1198" s="41"/>
      <c r="N1198" s="42">
        <v>1026826</v>
      </c>
      <c r="O1198" s="236">
        <f t="shared" si="179"/>
        <v>1293</v>
      </c>
      <c r="P1198" s="358"/>
      <c r="Q1198" s="42">
        <v>703762</v>
      </c>
      <c r="R1198" s="314">
        <f t="shared" si="183"/>
        <v>243</v>
      </c>
      <c r="S1198" s="358"/>
      <c r="T1198" s="42">
        <v>68881</v>
      </c>
      <c r="U1198" s="348">
        <f t="shared" si="181"/>
        <v>0</v>
      </c>
      <c r="V1198" s="41"/>
      <c r="W1198" s="42">
        <v>48951</v>
      </c>
      <c r="X1198" s="349">
        <f t="shared" si="182"/>
        <v>0</v>
      </c>
      <c r="Y1198" s="41"/>
      <c r="Z1198" s="243"/>
    </row>
    <row r="1199" spans="1:26">
      <c r="A1199" s="150">
        <v>45728</v>
      </c>
      <c r="B1199" s="350" t="s">
        <v>110</v>
      </c>
      <c r="C1199" s="42">
        <v>4470598</v>
      </c>
      <c r="D1199" s="315">
        <f t="shared" si="180"/>
        <v>0</v>
      </c>
      <c r="E1199" s="41"/>
      <c r="F1199" s="42">
        <v>11046344</v>
      </c>
      <c r="G1199" s="311">
        <f t="shared" si="177"/>
        <v>0</v>
      </c>
      <c r="H1199" s="96"/>
      <c r="I1199" s="41"/>
      <c r="J1199" s="42">
        <v>5954019</v>
      </c>
      <c r="K1199" s="313">
        <f t="shared" si="176"/>
        <v>0</v>
      </c>
      <c r="L1199" s="96"/>
      <c r="M1199" s="41"/>
      <c r="N1199" s="42">
        <v>1028119</v>
      </c>
      <c r="O1199" s="236">
        <f t="shared" si="179"/>
        <v>684</v>
      </c>
      <c r="P1199" s="358"/>
      <c r="Q1199" s="42">
        <v>703965</v>
      </c>
      <c r="R1199" s="314">
        <f t="shared" si="183"/>
        <v>203</v>
      </c>
      <c r="S1199" s="358"/>
      <c r="T1199" s="42">
        <v>68881</v>
      </c>
      <c r="U1199" s="348">
        <f t="shared" si="181"/>
        <v>0</v>
      </c>
      <c r="V1199" s="41"/>
      <c r="W1199" s="42">
        <v>48951</v>
      </c>
      <c r="X1199" s="349">
        <f t="shared" si="182"/>
        <v>0</v>
      </c>
      <c r="Y1199" s="41"/>
      <c r="Z1199" s="243"/>
    </row>
    <row r="1200" spans="1:26">
      <c r="A1200" s="150">
        <v>45729</v>
      </c>
      <c r="B1200" s="350" t="s">
        <v>111</v>
      </c>
      <c r="C1200" s="42">
        <v>4470598</v>
      </c>
      <c r="D1200" s="315">
        <f t="shared" si="180"/>
        <v>0</v>
      </c>
      <c r="E1200" s="41"/>
      <c r="F1200" s="42">
        <v>11046344</v>
      </c>
      <c r="G1200" s="311">
        <f t="shared" si="177"/>
        <v>0</v>
      </c>
      <c r="H1200" s="96"/>
      <c r="I1200" s="41"/>
      <c r="J1200" s="42">
        <v>5954019</v>
      </c>
      <c r="K1200" s="313">
        <f t="shared" si="176"/>
        <v>0</v>
      </c>
      <c r="L1200" s="96"/>
      <c r="M1200" s="41"/>
      <c r="N1200" s="42">
        <v>1028803</v>
      </c>
      <c r="O1200" s="236">
        <f t="shared" si="179"/>
        <v>910</v>
      </c>
      <c r="P1200" s="358"/>
      <c r="Q1200" s="42">
        <v>704168</v>
      </c>
      <c r="R1200" s="314">
        <f t="shared" si="183"/>
        <v>203</v>
      </c>
      <c r="S1200" s="358"/>
      <c r="T1200" s="42">
        <v>68881</v>
      </c>
      <c r="U1200" s="348">
        <f t="shared" si="181"/>
        <v>0</v>
      </c>
      <c r="V1200" s="41"/>
      <c r="W1200" s="42">
        <v>48951</v>
      </c>
      <c r="X1200" s="349">
        <f t="shared" si="182"/>
        <v>0</v>
      </c>
      <c r="Y1200" s="41"/>
      <c r="Z1200" s="243"/>
    </row>
    <row r="1201" spans="1:26">
      <c r="A1201" s="150">
        <v>45730</v>
      </c>
      <c r="B1201" s="350" t="s">
        <v>106</v>
      </c>
      <c r="C1201" s="42">
        <v>4470598</v>
      </c>
      <c r="D1201" s="315">
        <f t="shared" si="180"/>
        <v>0</v>
      </c>
      <c r="E1201" s="41"/>
      <c r="F1201" s="42">
        <v>11046344</v>
      </c>
      <c r="G1201" s="311">
        <f t="shared" si="177"/>
        <v>0</v>
      </c>
      <c r="H1201" s="96"/>
      <c r="I1201" s="41"/>
      <c r="J1201" s="42">
        <v>5954019</v>
      </c>
      <c r="K1201" s="313">
        <f t="shared" si="176"/>
        <v>0</v>
      </c>
      <c r="L1201" s="96"/>
      <c r="M1201" s="41"/>
      <c r="N1201" s="42">
        <v>1029713</v>
      </c>
      <c r="O1201" s="236">
        <f t="shared" si="179"/>
        <v>723</v>
      </c>
      <c r="P1201" s="358"/>
      <c r="Q1201" s="42">
        <v>704392</v>
      </c>
      <c r="R1201" s="314">
        <f t="shared" si="183"/>
        <v>224</v>
      </c>
      <c r="S1201" s="358"/>
      <c r="T1201" s="42">
        <v>68881</v>
      </c>
      <c r="U1201" s="348">
        <f t="shared" si="181"/>
        <v>0</v>
      </c>
      <c r="V1201" s="41"/>
      <c r="W1201" s="42">
        <v>48951</v>
      </c>
      <c r="X1201" s="349">
        <f t="shared" si="182"/>
        <v>0</v>
      </c>
      <c r="Y1201" s="41"/>
      <c r="Z1201" s="243"/>
    </row>
    <row r="1202" spans="1:26">
      <c r="A1202" s="150">
        <v>45731</v>
      </c>
      <c r="B1202" s="350" t="s">
        <v>107</v>
      </c>
      <c r="C1202" s="42">
        <v>4470598</v>
      </c>
      <c r="D1202" s="315">
        <f t="shared" si="180"/>
        <v>0</v>
      </c>
      <c r="E1202" s="41"/>
      <c r="F1202" s="42">
        <v>11046344</v>
      </c>
      <c r="G1202" s="311">
        <f t="shared" si="177"/>
        <v>0</v>
      </c>
      <c r="H1202" s="96"/>
      <c r="I1202" s="41"/>
      <c r="J1202" s="42">
        <v>5954019</v>
      </c>
      <c r="K1202" s="313">
        <f t="shared" si="176"/>
        <v>0</v>
      </c>
      <c r="L1202" s="96"/>
      <c r="M1202" s="41"/>
      <c r="N1202" s="42">
        <v>1030436</v>
      </c>
      <c r="O1202" s="236">
        <f t="shared" si="179"/>
        <v>2031</v>
      </c>
      <c r="P1202" s="358"/>
      <c r="Q1202" s="42">
        <v>704609</v>
      </c>
      <c r="R1202" s="314">
        <f t="shared" si="183"/>
        <v>217</v>
      </c>
      <c r="S1202" s="358"/>
      <c r="T1202" s="42">
        <v>68881</v>
      </c>
      <c r="U1202" s="348">
        <f t="shared" si="181"/>
        <v>0</v>
      </c>
      <c r="V1202" s="41"/>
      <c r="W1202" s="42">
        <v>48951</v>
      </c>
      <c r="X1202" s="349">
        <f t="shared" si="182"/>
        <v>0</v>
      </c>
      <c r="Y1202" s="41"/>
      <c r="Z1202" s="243"/>
    </row>
    <row r="1203" spans="1:26">
      <c r="A1203" s="150">
        <v>45732</v>
      </c>
      <c r="B1203" s="350" t="s">
        <v>36</v>
      </c>
      <c r="C1203" s="42">
        <v>4470598</v>
      </c>
      <c r="D1203" s="315">
        <f t="shared" si="180"/>
        <v>0</v>
      </c>
      <c r="E1203" s="41"/>
      <c r="F1203" s="42">
        <v>11046344</v>
      </c>
      <c r="G1203" s="311">
        <f t="shared" si="177"/>
        <v>0</v>
      </c>
      <c r="H1203" s="96"/>
      <c r="I1203" s="41"/>
      <c r="J1203" s="42">
        <v>5954019</v>
      </c>
      <c r="K1203" s="313">
        <f t="shared" si="176"/>
        <v>0</v>
      </c>
      <c r="L1203" s="96"/>
      <c r="M1203" s="41"/>
      <c r="N1203" s="42">
        <v>1032467</v>
      </c>
      <c r="O1203" s="236">
        <f t="shared" si="179"/>
        <v>0</v>
      </c>
      <c r="P1203" s="358"/>
      <c r="Q1203" s="42">
        <v>704931</v>
      </c>
      <c r="R1203" s="314">
        <f t="shared" si="183"/>
        <v>322</v>
      </c>
      <c r="S1203" s="358"/>
      <c r="T1203" s="42">
        <v>68881</v>
      </c>
      <c r="U1203" s="348">
        <f t="shared" si="181"/>
        <v>0</v>
      </c>
      <c r="V1203" s="41"/>
      <c r="W1203" s="42">
        <v>48951</v>
      </c>
      <c r="X1203" s="349">
        <f t="shared" si="182"/>
        <v>0</v>
      </c>
      <c r="Y1203" s="41"/>
      <c r="Z1203" s="243"/>
    </row>
    <row r="1204" spans="1:26">
      <c r="A1204" s="150">
        <v>45733</v>
      </c>
      <c r="B1204" s="350" t="s">
        <v>108</v>
      </c>
      <c r="C1204" s="42">
        <v>4470598</v>
      </c>
      <c r="D1204" s="315">
        <f t="shared" si="180"/>
        <v>0</v>
      </c>
      <c r="E1204" s="41"/>
      <c r="F1204" s="42">
        <v>11046344</v>
      </c>
      <c r="G1204" s="311">
        <f t="shared" si="177"/>
        <v>0</v>
      </c>
      <c r="H1204" s="96"/>
      <c r="I1204" s="41"/>
      <c r="J1204" s="42">
        <v>5954019</v>
      </c>
      <c r="K1204" s="313">
        <f t="shared" ref="K1204:K1271" si="184">IF(J1205&gt;0,J1205-J1204," ")</f>
        <v>0</v>
      </c>
      <c r="L1204" s="96"/>
      <c r="M1204" s="41"/>
      <c r="N1204" s="42">
        <v>1032467</v>
      </c>
      <c r="O1204" s="236">
        <f t="shared" si="179"/>
        <v>1244</v>
      </c>
      <c r="P1204" s="358"/>
      <c r="Q1204" s="42">
        <v>704931</v>
      </c>
      <c r="R1204" s="314">
        <f t="shared" si="183"/>
        <v>0</v>
      </c>
      <c r="S1204" s="358"/>
      <c r="T1204" s="42">
        <v>68881</v>
      </c>
      <c r="U1204" s="348">
        <f t="shared" si="181"/>
        <v>0</v>
      </c>
      <c r="V1204" s="41"/>
      <c r="W1204" s="42">
        <v>48951</v>
      </c>
      <c r="X1204" s="349">
        <f t="shared" si="182"/>
        <v>0</v>
      </c>
      <c r="Y1204" s="41"/>
      <c r="Z1204" s="243"/>
    </row>
    <row r="1205" spans="1:26">
      <c r="A1205" s="150">
        <v>45734</v>
      </c>
      <c r="B1205" s="350" t="s">
        <v>109</v>
      </c>
      <c r="C1205" s="42">
        <v>4470598</v>
      </c>
      <c r="D1205" s="315">
        <f t="shared" si="180"/>
        <v>6975</v>
      </c>
      <c r="E1205" s="41"/>
      <c r="F1205" s="42">
        <v>11046344</v>
      </c>
      <c r="G1205" s="311">
        <f t="shared" si="177"/>
        <v>15056</v>
      </c>
      <c r="H1205" s="96"/>
      <c r="I1205" s="41"/>
      <c r="J1205" s="42">
        <v>5954019</v>
      </c>
      <c r="K1205" s="313">
        <f t="shared" si="184"/>
        <v>35132</v>
      </c>
      <c r="L1205" s="96"/>
      <c r="M1205" s="41"/>
      <c r="N1205" s="42">
        <v>1033711</v>
      </c>
      <c r="O1205" s="236">
        <f t="shared" si="179"/>
        <v>798</v>
      </c>
      <c r="P1205" s="358"/>
      <c r="Q1205" s="42">
        <v>705072</v>
      </c>
      <c r="R1205" s="314">
        <f t="shared" si="183"/>
        <v>141</v>
      </c>
      <c r="S1205" s="358"/>
      <c r="T1205" s="42">
        <v>68881</v>
      </c>
      <c r="U1205" s="348">
        <f t="shared" si="181"/>
        <v>0</v>
      </c>
      <c r="V1205" s="41"/>
      <c r="W1205" s="42">
        <v>48951</v>
      </c>
      <c r="X1205" s="349">
        <f t="shared" si="182"/>
        <v>0</v>
      </c>
      <c r="Y1205" s="41"/>
      <c r="Z1205" s="243"/>
    </row>
    <row r="1206" spans="1:26">
      <c r="A1206" s="150">
        <v>45735</v>
      </c>
      <c r="B1206" s="350" t="s">
        <v>110</v>
      </c>
      <c r="C1206" s="42">
        <v>4477573</v>
      </c>
      <c r="D1206" s="315">
        <f t="shared" si="180"/>
        <v>7572</v>
      </c>
      <c r="E1206" s="41"/>
      <c r="F1206" s="42">
        <v>11061400</v>
      </c>
      <c r="G1206" s="311">
        <f t="shared" si="177"/>
        <v>16249</v>
      </c>
      <c r="H1206" s="96"/>
      <c r="I1206" s="41"/>
      <c r="J1206" s="42">
        <v>5989151</v>
      </c>
      <c r="K1206" s="313">
        <f t="shared" si="184"/>
        <v>9482</v>
      </c>
      <c r="L1206" s="96"/>
      <c r="M1206" s="41"/>
      <c r="N1206" s="42">
        <v>1034509</v>
      </c>
      <c r="O1206" s="236">
        <f t="shared" si="179"/>
        <v>886</v>
      </c>
      <c r="P1206" s="358"/>
      <c r="Q1206" s="42">
        <v>705188</v>
      </c>
      <c r="R1206" s="314">
        <f t="shared" si="183"/>
        <v>116</v>
      </c>
      <c r="S1206" s="358"/>
      <c r="T1206" s="42">
        <v>68881</v>
      </c>
      <c r="U1206" s="348">
        <f t="shared" si="181"/>
        <v>16757</v>
      </c>
      <c r="V1206" s="41"/>
      <c r="W1206" s="42">
        <v>48951</v>
      </c>
      <c r="X1206" s="349">
        <f t="shared" si="182"/>
        <v>23</v>
      </c>
      <c r="Y1206" s="41"/>
      <c r="Z1206" s="243"/>
    </row>
    <row r="1207" spans="1:26">
      <c r="A1207" s="150">
        <v>45736</v>
      </c>
      <c r="B1207" s="350" t="s">
        <v>111</v>
      </c>
      <c r="C1207" s="42">
        <v>4485145</v>
      </c>
      <c r="D1207" s="315">
        <f t="shared" si="180"/>
        <v>34002</v>
      </c>
      <c r="E1207" s="41"/>
      <c r="F1207" s="42">
        <v>11077649</v>
      </c>
      <c r="G1207" s="311">
        <f t="shared" si="177"/>
        <v>77046</v>
      </c>
      <c r="H1207" s="96"/>
      <c r="I1207" s="41"/>
      <c r="J1207" s="42">
        <v>5998633</v>
      </c>
      <c r="K1207" s="313">
        <f t="shared" si="184"/>
        <v>25181</v>
      </c>
      <c r="L1207" s="96"/>
      <c r="M1207" s="41"/>
      <c r="N1207" s="42">
        <v>1035395</v>
      </c>
      <c r="O1207" s="236">
        <f t="shared" si="179"/>
        <v>721</v>
      </c>
      <c r="P1207" s="358"/>
      <c r="Q1207" s="42">
        <v>705323</v>
      </c>
      <c r="R1207" s="314">
        <f t="shared" si="183"/>
        <v>135</v>
      </c>
      <c r="S1207" s="358"/>
      <c r="T1207" s="42">
        <v>85638</v>
      </c>
      <c r="U1207" s="348">
        <f t="shared" si="181"/>
        <v>0</v>
      </c>
      <c r="V1207" s="41"/>
      <c r="W1207" s="42">
        <v>48974</v>
      </c>
      <c r="X1207" s="349">
        <f t="shared" si="182"/>
        <v>0</v>
      </c>
      <c r="Y1207" s="41"/>
      <c r="Z1207" s="243"/>
    </row>
    <row r="1208" spans="1:26">
      <c r="A1208" s="150">
        <v>45737</v>
      </c>
      <c r="B1208" s="350" t="s">
        <v>106</v>
      </c>
      <c r="C1208" s="42">
        <v>4519147</v>
      </c>
      <c r="D1208" s="315">
        <f t="shared" si="180"/>
        <v>0</v>
      </c>
      <c r="E1208" s="41"/>
      <c r="F1208" s="42">
        <v>11154695</v>
      </c>
      <c r="G1208" s="311">
        <f t="shared" si="177"/>
        <v>0</v>
      </c>
      <c r="H1208" s="96"/>
      <c r="I1208" s="41"/>
      <c r="J1208" s="42">
        <v>6023814</v>
      </c>
      <c r="K1208" s="313">
        <f t="shared" si="184"/>
        <v>0</v>
      </c>
      <c r="L1208" s="96"/>
      <c r="M1208" s="41"/>
      <c r="N1208" s="42">
        <v>1036116</v>
      </c>
      <c r="O1208" s="236">
        <f t="shared" si="179"/>
        <v>730</v>
      </c>
      <c r="P1208" s="358"/>
      <c r="Q1208" s="42">
        <v>705464</v>
      </c>
      <c r="R1208" s="314">
        <f t="shared" si="183"/>
        <v>141</v>
      </c>
      <c r="S1208" s="358"/>
      <c r="T1208" s="42">
        <v>85638</v>
      </c>
      <c r="U1208" s="348">
        <f t="shared" si="181"/>
        <v>0</v>
      </c>
      <c r="V1208" s="41"/>
      <c r="W1208" s="42">
        <v>48974</v>
      </c>
      <c r="X1208" s="349">
        <f t="shared" si="182"/>
        <v>0</v>
      </c>
      <c r="Y1208" s="41"/>
      <c r="Z1208" s="243"/>
    </row>
    <row r="1209" spans="1:26">
      <c r="A1209" s="150">
        <v>45738</v>
      </c>
      <c r="B1209" s="350" t="s">
        <v>107</v>
      </c>
      <c r="C1209" s="42">
        <v>4519147</v>
      </c>
      <c r="D1209" s="315">
        <f t="shared" si="180"/>
        <v>0</v>
      </c>
      <c r="E1209" s="41"/>
      <c r="F1209" s="42">
        <v>11154695</v>
      </c>
      <c r="G1209" s="311">
        <f t="shared" si="177"/>
        <v>0</v>
      </c>
      <c r="H1209" s="96"/>
      <c r="I1209" s="41"/>
      <c r="J1209" s="42">
        <v>6023814</v>
      </c>
      <c r="K1209" s="313">
        <f t="shared" si="184"/>
        <v>0</v>
      </c>
      <c r="L1209" s="96"/>
      <c r="M1209" s="41"/>
      <c r="N1209" s="42">
        <v>1036846</v>
      </c>
      <c r="O1209" s="236">
        <f t="shared" si="179"/>
        <v>2019</v>
      </c>
      <c r="P1209" s="358"/>
      <c r="Q1209" s="42">
        <v>705591</v>
      </c>
      <c r="R1209" s="314">
        <f t="shared" si="183"/>
        <v>127</v>
      </c>
      <c r="S1209" s="358"/>
      <c r="T1209" s="42">
        <v>85638</v>
      </c>
      <c r="U1209" s="348">
        <f t="shared" si="181"/>
        <v>0</v>
      </c>
      <c r="V1209" s="41"/>
      <c r="W1209" s="42">
        <v>48974</v>
      </c>
      <c r="X1209" s="349">
        <f t="shared" si="182"/>
        <v>0</v>
      </c>
      <c r="Y1209" s="41"/>
      <c r="Z1209" s="243"/>
    </row>
    <row r="1210" spans="1:26">
      <c r="A1210" s="150">
        <v>45739</v>
      </c>
      <c r="B1210" s="350" t="s">
        <v>36</v>
      </c>
      <c r="C1210" s="42">
        <v>4519147</v>
      </c>
      <c r="D1210" s="315">
        <f t="shared" si="180"/>
        <v>0</v>
      </c>
      <c r="E1210" s="41"/>
      <c r="F1210" s="42">
        <v>11154695</v>
      </c>
      <c r="G1210" s="311">
        <f t="shared" ref="G1210:G1273" si="185">IF(F1211&gt;0,F1211-F1210," ")</f>
        <v>0</v>
      </c>
      <c r="H1210" s="96"/>
      <c r="I1210" s="41"/>
      <c r="J1210" s="42">
        <v>6023814</v>
      </c>
      <c r="K1210" s="313">
        <f t="shared" si="184"/>
        <v>0</v>
      </c>
      <c r="L1210" s="96"/>
      <c r="M1210" s="41"/>
      <c r="N1210" s="42">
        <v>1038865</v>
      </c>
      <c r="O1210" s="236">
        <f t="shared" si="179"/>
        <v>0</v>
      </c>
      <c r="P1210" s="358"/>
      <c r="Q1210" s="42">
        <v>705953</v>
      </c>
      <c r="R1210" s="314">
        <f t="shared" si="183"/>
        <v>362</v>
      </c>
      <c r="S1210" s="358"/>
      <c r="T1210" s="42">
        <v>85638</v>
      </c>
      <c r="U1210" s="348">
        <f t="shared" si="181"/>
        <v>0</v>
      </c>
      <c r="V1210" s="41"/>
      <c r="W1210" s="42">
        <v>48974</v>
      </c>
      <c r="X1210" s="349">
        <f t="shared" si="182"/>
        <v>0</v>
      </c>
      <c r="Y1210" s="41"/>
      <c r="Z1210" s="243"/>
    </row>
    <row r="1211" spans="1:26">
      <c r="A1211" s="150">
        <v>45740</v>
      </c>
      <c r="B1211" s="350" t="s">
        <v>108</v>
      </c>
      <c r="C1211" s="42">
        <v>4519147</v>
      </c>
      <c r="D1211" s="315">
        <f t="shared" si="180"/>
        <v>0</v>
      </c>
      <c r="E1211" s="41"/>
      <c r="F1211" s="42">
        <v>11154695</v>
      </c>
      <c r="G1211" s="311">
        <f t="shared" si="185"/>
        <v>0</v>
      </c>
      <c r="H1211" s="96"/>
      <c r="I1211" s="41"/>
      <c r="J1211" s="42">
        <v>6023814</v>
      </c>
      <c r="K1211" s="313">
        <f t="shared" si="184"/>
        <v>0</v>
      </c>
      <c r="L1211" s="96"/>
      <c r="M1211" s="41"/>
      <c r="N1211" s="42">
        <v>1038865</v>
      </c>
      <c r="O1211" s="236">
        <f t="shared" si="179"/>
        <v>626</v>
      </c>
      <c r="P1211" s="358"/>
      <c r="Q1211" s="42">
        <v>705953</v>
      </c>
      <c r="R1211" s="314">
        <f t="shared" si="183"/>
        <v>0</v>
      </c>
      <c r="S1211" s="358"/>
      <c r="T1211" s="42">
        <v>85638</v>
      </c>
      <c r="U1211" s="348">
        <f t="shared" si="181"/>
        <v>0</v>
      </c>
      <c r="V1211" s="41"/>
      <c r="W1211" s="42">
        <v>48974</v>
      </c>
      <c r="X1211" s="349">
        <f t="shared" si="182"/>
        <v>0</v>
      </c>
      <c r="Y1211" s="41"/>
      <c r="Z1211" s="243"/>
    </row>
    <row r="1212" spans="1:26">
      <c r="A1212" s="150">
        <v>45741</v>
      </c>
      <c r="B1212" s="350" t="s">
        <v>109</v>
      </c>
      <c r="C1212" s="42">
        <v>4519147</v>
      </c>
      <c r="D1212" s="315">
        <f t="shared" si="180"/>
        <v>7400</v>
      </c>
      <c r="E1212" s="41"/>
      <c r="F1212" s="42">
        <v>11154695</v>
      </c>
      <c r="G1212" s="311">
        <f t="shared" si="185"/>
        <v>16050</v>
      </c>
      <c r="H1212" s="96"/>
      <c r="I1212" s="41"/>
      <c r="J1212" s="42">
        <v>6023814</v>
      </c>
      <c r="K1212" s="313">
        <f t="shared" si="184"/>
        <v>5296</v>
      </c>
      <c r="L1212" s="96"/>
      <c r="M1212" s="41"/>
      <c r="N1212" s="42">
        <v>1039491</v>
      </c>
      <c r="O1212" s="236">
        <f t="shared" si="179"/>
        <v>829</v>
      </c>
      <c r="P1212" s="358"/>
      <c r="Q1212" s="42">
        <v>706102</v>
      </c>
      <c r="R1212" s="314">
        <f t="shared" si="183"/>
        <v>149</v>
      </c>
      <c r="S1212" s="358"/>
      <c r="T1212" s="42">
        <v>85638</v>
      </c>
      <c r="U1212" s="348">
        <f t="shared" si="181"/>
        <v>0</v>
      </c>
      <c r="V1212" s="41"/>
      <c r="W1212" s="42">
        <v>48974</v>
      </c>
      <c r="X1212" s="349">
        <f t="shared" si="182"/>
        <v>0</v>
      </c>
      <c r="Y1212" s="41"/>
      <c r="Z1212" s="243"/>
    </row>
    <row r="1213" spans="1:26">
      <c r="A1213" s="150">
        <v>45742</v>
      </c>
      <c r="B1213" s="350" t="s">
        <v>110</v>
      </c>
      <c r="C1213" s="42">
        <v>4526547</v>
      </c>
      <c r="D1213" s="315">
        <f t="shared" si="180"/>
        <v>7531</v>
      </c>
      <c r="E1213" s="41"/>
      <c r="F1213" s="42">
        <v>11170745</v>
      </c>
      <c r="G1213" s="311">
        <f t="shared" si="185"/>
        <v>16169</v>
      </c>
      <c r="H1213" s="96"/>
      <c r="I1213" s="41"/>
      <c r="J1213" s="42">
        <v>6029110</v>
      </c>
      <c r="K1213" s="313">
        <f t="shared" si="184"/>
        <v>9556</v>
      </c>
      <c r="L1213" s="96"/>
      <c r="M1213" s="41"/>
      <c r="N1213" s="42">
        <v>1040320</v>
      </c>
      <c r="O1213" s="236">
        <f t="shared" si="179"/>
        <v>897</v>
      </c>
      <c r="P1213" s="358"/>
      <c r="Q1213" s="42">
        <v>706224</v>
      </c>
      <c r="R1213" s="314">
        <f t="shared" si="183"/>
        <v>122</v>
      </c>
      <c r="S1213" s="358"/>
      <c r="T1213" s="42">
        <v>85638</v>
      </c>
      <c r="U1213" s="348">
        <f t="shared" si="181"/>
        <v>0</v>
      </c>
      <c r="V1213" s="41"/>
      <c r="W1213" s="42">
        <v>48974</v>
      </c>
      <c r="X1213" s="349">
        <f t="shared" si="182"/>
        <v>0</v>
      </c>
      <c r="Y1213" s="41"/>
      <c r="Z1213" s="243"/>
    </row>
    <row r="1214" spans="1:26">
      <c r="A1214" s="150">
        <v>45743</v>
      </c>
      <c r="B1214" s="350" t="s">
        <v>111</v>
      </c>
      <c r="C1214" s="42">
        <v>4534078</v>
      </c>
      <c r="D1214" s="315">
        <f t="shared" si="180"/>
        <v>7517</v>
      </c>
      <c r="E1214" s="41"/>
      <c r="F1214" s="42">
        <v>11186914</v>
      </c>
      <c r="G1214" s="311">
        <f t="shared" si="185"/>
        <v>16277</v>
      </c>
      <c r="H1214" s="96"/>
      <c r="I1214" s="41"/>
      <c r="J1214" s="42">
        <v>6038666</v>
      </c>
      <c r="K1214" s="313">
        <f t="shared" si="184"/>
        <v>2737</v>
      </c>
      <c r="L1214" s="96"/>
      <c r="M1214" s="41"/>
      <c r="N1214" s="42">
        <v>1041217</v>
      </c>
      <c r="O1214" s="236">
        <f t="shared" si="179"/>
        <v>1408</v>
      </c>
      <c r="P1214" s="358"/>
      <c r="Q1214" s="42">
        <v>706348</v>
      </c>
      <c r="R1214" s="314">
        <f t="shared" si="183"/>
        <v>124</v>
      </c>
      <c r="S1214" s="358"/>
      <c r="T1214" s="42">
        <v>85638</v>
      </c>
      <c r="U1214" s="348">
        <f t="shared" si="181"/>
        <v>0</v>
      </c>
      <c r="V1214" s="41"/>
      <c r="W1214" s="42">
        <v>48974</v>
      </c>
      <c r="X1214" s="349">
        <f t="shared" si="182"/>
        <v>0</v>
      </c>
      <c r="Y1214" s="41"/>
      <c r="Z1214" s="243"/>
    </row>
    <row r="1215" spans="1:26">
      <c r="A1215" s="150">
        <v>45744</v>
      </c>
      <c r="B1215" s="350" t="s">
        <v>106</v>
      </c>
      <c r="C1215" s="42">
        <v>4541595</v>
      </c>
      <c r="D1215" s="315">
        <f t="shared" si="180"/>
        <v>16427</v>
      </c>
      <c r="E1215" s="41"/>
      <c r="F1215" s="42">
        <v>11203191</v>
      </c>
      <c r="G1215" s="311">
        <f t="shared" si="185"/>
        <v>43668</v>
      </c>
      <c r="H1215" s="96"/>
      <c r="I1215" s="41"/>
      <c r="J1215" s="42">
        <v>6041403</v>
      </c>
      <c r="K1215" s="313">
        <f t="shared" si="184"/>
        <v>18477</v>
      </c>
      <c r="L1215" s="96"/>
      <c r="M1215" s="41"/>
      <c r="N1215" s="42">
        <v>1042625</v>
      </c>
      <c r="O1215" s="236">
        <f t="shared" si="179"/>
        <v>703</v>
      </c>
      <c r="P1215" s="358"/>
      <c r="Q1215" s="42">
        <v>706496</v>
      </c>
      <c r="R1215" s="314">
        <f t="shared" si="183"/>
        <v>148</v>
      </c>
      <c r="S1215" s="358"/>
      <c r="T1215" s="42">
        <v>85638</v>
      </c>
      <c r="U1215" s="348">
        <f t="shared" si="181"/>
        <v>0</v>
      </c>
      <c r="V1215" s="41"/>
      <c r="W1215" s="42">
        <v>48974</v>
      </c>
      <c r="X1215" s="349">
        <f t="shared" si="182"/>
        <v>0</v>
      </c>
      <c r="Y1215" s="41"/>
      <c r="Z1215" s="243"/>
    </row>
    <row r="1216" spans="1:26">
      <c r="A1216" s="150">
        <v>45745</v>
      </c>
      <c r="B1216" s="350" t="s">
        <v>107</v>
      </c>
      <c r="C1216" s="42">
        <v>4558022</v>
      </c>
      <c r="D1216" s="315">
        <f t="shared" si="180"/>
        <v>0</v>
      </c>
      <c r="E1216" s="41"/>
      <c r="F1216" s="42">
        <v>11246859</v>
      </c>
      <c r="G1216" s="311">
        <f t="shared" si="185"/>
        <v>0</v>
      </c>
      <c r="H1216" s="96"/>
      <c r="I1216" s="41"/>
      <c r="J1216" s="42">
        <v>6059880</v>
      </c>
      <c r="K1216" s="313">
        <f t="shared" si="184"/>
        <v>0</v>
      </c>
      <c r="L1216" s="96"/>
      <c r="M1216" s="41"/>
      <c r="N1216" s="42">
        <v>1043328</v>
      </c>
      <c r="O1216" s="236">
        <f t="shared" si="179"/>
        <v>1609</v>
      </c>
      <c r="P1216" s="358"/>
      <c r="Q1216" s="42">
        <v>706723</v>
      </c>
      <c r="R1216" s="314">
        <f t="shared" si="183"/>
        <v>227</v>
      </c>
      <c r="S1216" s="358"/>
      <c r="T1216" s="42">
        <v>85638</v>
      </c>
      <c r="U1216" s="348">
        <f t="shared" si="181"/>
        <v>0</v>
      </c>
      <c r="V1216" s="41"/>
      <c r="W1216" s="42">
        <v>48974</v>
      </c>
      <c r="X1216" s="349">
        <f t="shared" si="182"/>
        <v>0</v>
      </c>
      <c r="Y1216" s="41"/>
      <c r="Z1216" s="243"/>
    </row>
    <row r="1217" spans="1:26">
      <c r="A1217" s="150">
        <v>45746</v>
      </c>
      <c r="B1217" s="350" t="s">
        <v>36</v>
      </c>
      <c r="C1217" s="42">
        <v>4558022</v>
      </c>
      <c r="D1217" s="315">
        <f t="shared" si="180"/>
        <v>0</v>
      </c>
      <c r="E1217" s="41"/>
      <c r="F1217" s="42">
        <v>11246859</v>
      </c>
      <c r="G1217" s="311">
        <f t="shared" si="185"/>
        <v>0</v>
      </c>
      <c r="H1217" s="96"/>
      <c r="I1217" s="41"/>
      <c r="J1217" s="42">
        <v>6059880</v>
      </c>
      <c r="K1217" s="313">
        <f t="shared" si="184"/>
        <v>0</v>
      </c>
      <c r="L1217" s="96"/>
      <c r="M1217" s="41"/>
      <c r="N1217" s="42">
        <v>1044937</v>
      </c>
      <c r="O1217" s="236">
        <f t="shared" ref="O1217:O1280" si="186">N1218-N1217</f>
        <v>0</v>
      </c>
      <c r="P1217" s="358"/>
      <c r="Q1217" s="42">
        <v>707079</v>
      </c>
      <c r="R1217" s="314">
        <f t="shared" si="183"/>
        <v>356</v>
      </c>
      <c r="S1217" s="358"/>
      <c r="T1217" s="42">
        <v>85638</v>
      </c>
      <c r="U1217" s="348">
        <f t="shared" si="181"/>
        <v>0</v>
      </c>
      <c r="V1217" s="41"/>
      <c r="W1217" s="42">
        <v>48974</v>
      </c>
      <c r="X1217" s="349">
        <f t="shared" si="182"/>
        <v>0</v>
      </c>
      <c r="Y1217" s="41"/>
      <c r="Z1217" s="243"/>
    </row>
    <row r="1218" spans="1:26">
      <c r="A1218" s="150">
        <v>45747</v>
      </c>
      <c r="B1218" s="350" t="s">
        <v>108</v>
      </c>
      <c r="C1218" s="42">
        <v>4558022</v>
      </c>
      <c r="D1218" s="315">
        <f t="shared" si="180"/>
        <v>5724</v>
      </c>
      <c r="E1218" s="41"/>
      <c r="F1218" s="42">
        <v>11246859</v>
      </c>
      <c r="G1218" s="311">
        <f t="shared" si="185"/>
        <v>8368</v>
      </c>
      <c r="H1218" s="96"/>
      <c r="I1218" s="41"/>
      <c r="J1218" s="42">
        <v>6059880</v>
      </c>
      <c r="K1218" s="313">
        <f t="shared" si="184"/>
        <v>3663</v>
      </c>
      <c r="L1218" s="96"/>
      <c r="M1218" s="41"/>
      <c r="N1218" s="42">
        <v>1044937</v>
      </c>
      <c r="O1218" s="236">
        <f t="shared" si="186"/>
        <v>761</v>
      </c>
      <c r="P1218" s="358"/>
      <c r="Q1218" s="42">
        <v>707079</v>
      </c>
      <c r="R1218" s="314">
        <f t="shared" si="183"/>
        <v>0</v>
      </c>
      <c r="S1218" s="358"/>
      <c r="T1218" s="42">
        <v>85638</v>
      </c>
      <c r="U1218" s="348">
        <f t="shared" si="181"/>
        <v>0</v>
      </c>
      <c r="V1218" s="41"/>
      <c r="W1218" s="42">
        <v>48974</v>
      </c>
      <c r="X1218" s="349">
        <f t="shared" si="182"/>
        <v>0</v>
      </c>
      <c r="Y1218" s="41"/>
      <c r="Z1218" s="243"/>
    </row>
    <row r="1219" spans="1:26">
      <c r="A1219" s="150">
        <v>45748</v>
      </c>
      <c r="B1219" s="350" t="s">
        <v>109</v>
      </c>
      <c r="C1219" s="42">
        <v>4563746</v>
      </c>
      <c r="D1219" s="315">
        <f t="shared" si="180"/>
        <v>6757</v>
      </c>
      <c r="E1219" s="41"/>
      <c r="F1219" s="42">
        <v>11255227</v>
      </c>
      <c r="G1219" s="311">
        <f t="shared" si="185"/>
        <v>19356</v>
      </c>
      <c r="H1219" s="96"/>
      <c r="I1219" s="41"/>
      <c r="J1219" s="42">
        <v>6063543</v>
      </c>
      <c r="K1219" s="313">
        <f t="shared" si="184"/>
        <v>9371</v>
      </c>
      <c r="L1219" s="96"/>
      <c r="M1219" s="41"/>
      <c r="N1219" s="42">
        <v>1045698</v>
      </c>
      <c r="O1219" s="236">
        <f t="shared" si="186"/>
        <v>868</v>
      </c>
      <c r="P1219" s="358"/>
      <c r="Q1219" s="42">
        <v>707327</v>
      </c>
      <c r="R1219" s="314">
        <f t="shared" si="183"/>
        <v>248</v>
      </c>
      <c r="S1219" s="358"/>
      <c r="T1219" s="42">
        <v>85638</v>
      </c>
      <c r="U1219" s="348">
        <f t="shared" si="181"/>
        <v>0</v>
      </c>
      <c r="V1219" s="41"/>
      <c r="W1219" s="42">
        <v>48974</v>
      </c>
      <c r="X1219" s="349">
        <f t="shared" si="182"/>
        <v>0</v>
      </c>
      <c r="Y1219" s="41"/>
      <c r="Z1219" s="243"/>
    </row>
    <row r="1220" spans="1:26">
      <c r="A1220" s="150">
        <v>45749</v>
      </c>
      <c r="B1220" s="350" t="s">
        <v>110</v>
      </c>
      <c r="C1220" s="42">
        <v>4570503</v>
      </c>
      <c r="D1220" s="315">
        <f t="shared" si="180"/>
        <v>6473</v>
      </c>
      <c r="E1220" s="41"/>
      <c r="F1220" s="42">
        <v>11274583</v>
      </c>
      <c r="G1220" s="311">
        <f t="shared" si="185"/>
        <v>15593</v>
      </c>
      <c r="H1220" s="96"/>
      <c r="I1220" s="41"/>
      <c r="J1220" s="42">
        <v>6072914</v>
      </c>
      <c r="K1220" s="313">
        <f t="shared" si="184"/>
        <v>6278</v>
      </c>
      <c r="L1220" s="96"/>
      <c r="M1220" s="41"/>
      <c r="N1220" s="42">
        <v>1046566</v>
      </c>
      <c r="O1220" s="236">
        <f t="shared" si="186"/>
        <v>904</v>
      </c>
      <c r="P1220" s="358"/>
      <c r="Q1220" s="42">
        <v>707544</v>
      </c>
      <c r="R1220" s="314">
        <f t="shared" si="183"/>
        <v>217</v>
      </c>
      <c r="S1220" s="358"/>
      <c r="T1220" s="42">
        <v>85638</v>
      </c>
      <c r="U1220" s="348">
        <f t="shared" si="181"/>
        <v>0</v>
      </c>
      <c r="V1220" s="41"/>
      <c r="W1220" s="42">
        <v>48974</v>
      </c>
      <c r="X1220" s="349">
        <f t="shared" si="182"/>
        <v>0</v>
      </c>
      <c r="Y1220" s="41"/>
      <c r="Z1220" s="243"/>
    </row>
    <row r="1221" spans="1:26">
      <c r="A1221" s="150">
        <v>45750</v>
      </c>
      <c r="B1221" s="350" t="s">
        <v>111</v>
      </c>
      <c r="C1221" s="42">
        <v>4576976</v>
      </c>
      <c r="D1221" s="315">
        <f t="shared" ref="D1221:D1284" si="187">IF(C1222&gt;0,C1222-C1221," ")</f>
        <v>7551</v>
      </c>
      <c r="E1221" s="41"/>
      <c r="F1221" s="42">
        <v>11290176</v>
      </c>
      <c r="G1221" s="311">
        <f t="shared" si="185"/>
        <v>16210</v>
      </c>
      <c r="H1221" s="96"/>
      <c r="I1221" s="41"/>
      <c r="J1221" s="42">
        <v>6079192</v>
      </c>
      <c r="K1221" s="313">
        <f t="shared" si="184"/>
        <v>9824</v>
      </c>
      <c r="L1221" s="96"/>
      <c r="M1221" s="41"/>
      <c r="N1221" s="42">
        <v>1047470</v>
      </c>
      <c r="O1221" s="236">
        <f t="shared" si="186"/>
        <v>933</v>
      </c>
      <c r="P1221" s="358"/>
      <c r="Q1221" s="42">
        <v>707779</v>
      </c>
      <c r="R1221" s="314">
        <f t="shared" si="183"/>
        <v>235</v>
      </c>
      <c r="S1221" s="358"/>
      <c r="T1221" s="42">
        <v>85638</v>
      </c>
      <c r="U1221" s="348">
        <f t="shared" si="181"/>
        <v>36290</v>
      </c>
      <c r="V1221" s="41"/>
      <c r="W1221" s="42">
        <v>48974</v>
      </c>
      <c r="X1221" s="349">
        <f t="shared" si="182"/>
        <v>343</v>
      </c>
      <c r="Y1221" s="41"/>
      <c r="Z1221" s="243"/>
    </row>
    <row r="1222" spans="1:26">
      <c r="A1222" s="150">
        <v>45751</v>
      </c>
      <c r="B1222" s="350" t="s">
        <v>106</v>
      </c>
      <c r="C1222" s="42">
        <v>4584527</v>
      </c>
      <c r="D1222" s="315">
        <f t="shared" si="187"/>
        <v>17855</v>
      </c>
      <c r="E1222" s="41"/>
      <c r="F1222" s="42">
        <v>11306386</v>
      </c>
      <c r="G1222" s="311">
        <f t="shared" si="185"/>
        <v>42348</v>
      </c>
      <c r="H1222" s="96"/>
      <c r="I1222" s="41"/>
      <c r="J1222" s="42">
        <v>6089016</v>
      </c>
      <c r="K1222" s="313">
        <f t="shared" si="184"/>
        <v>17168</v>
      </c>
      <c r="L1222" s="96"/>
      <c r="M1222" s="41"/>
      <c r="N1222" s="42">
        <v>1048403</v>
      </c>
      <c r="O1222" s="236">
        <f t="shared" si="186"/>
        <v>931</v>
      </c>
      <c r="P1222" s="358"/>
      <c r="Q1222" s="42">
        <v>708003</v>
      </c>
      <c r="R1222" s="314">
        <f t="shared" si="183"/>
        <v>224</v>
      </c>
      <c r="S1222" s="358"/>
      <c r="T1222" s="42">
        <v>121928</v>
      </c>
      <c r="U1222" s="348">
        <f t="shared" si="181"/>
        <v>0</v>
      </c>
      <c r="V1222" s="41"/>
      <c r="W1222" s="42">
        <v>49317</v>
      </c>
      <c r="X1222" s="349">
        <f t="shared" si="182"/>
        <v>0</v>
      </c>
      <c r="Y1222" s="41"/>
      <c r="Z1222" s="243"/>
    </row>
    <row r="1223" spans="1:26">
      <c r="A1223" s="150">
        <v>45752</v>
      </c>
      <c r="B1223" s="350" t="s">
        <v>107</v>
      </c>
      <c r="C1223" s="42">
        <v>4602382</v>
      </c>
      <c r="D1223" s="315">
        <f t="shared" si="187"/>
        <v>0</v>
      </c>
      <c r="E1223" s="41"/>
      <c r="F1223" s="42">
        <v>11348734</v>
      </c>
      <c r="G1223" s="311">
        <f t="shared" si="185"/>
        <v>0</v>
      </c>
      <c r="H1223" s="96"/>
      <c r="I1223" s="41"/>
      <c r="J1223" s="42">
        <v>6106184</v>
      </c>
      <c r="K1223" s="313">
        <f t="shared" si="184"/>
        <v>0</v>
      </c>
      <c r="L1223" s="96"/>
      <c r="M1223" s="41"/>
      <c r="N1223" s="42">
        <v>1049334</v>
      </c>
      <c r="O1223" s="236">
        <f t="shared" si="186"/>
        <v>742</v>
      </c>
      <c r="P1223" s="358"/>
      <c r="Q1223" s="42">
        <v>708139</v>
      </c>
      <c r="R1223" s="314">
        <f t="shared" si="183"/>
        <v>136</v>
      </c>
      <c r="S1223" s="358"/>
      <c r="T1223" s="42">
        <v>121928</v>
      </c>
      <c r="U1223" s="348">
        <f t="shared" si="181"/>
        <v>0</v>
      </c>
      <c r="V1223" s="41"/>
      <c r="W1223" s="42">
        <v>49317</v>
      </c>
      <c r="X1223" s="349">
        <f t="shared" si="182"/>
        <v>0</v>
      </c>
      <c r="Y1223" s="41"/>
      <c r="Z1223" s="243"/>
    </row>
    <row r="1224" spans="1:26">
      <c r="A1224" s="150">
        <v>45753</v>
      </c>
      <c r="B1224" s="350" t="s">
        <v>36</v>
      </c>
      <c r="C1224" s="42">
        <v>4602382</v>
      </c>
      <c r="D1224" s="315">
        <f t="shared" si="187"/>
        <v>0</v>
      </c>
      <c r="E1224" s="41"/>
      <c r="F1224" s="42">
        <v>11348734</v>
      </c>
      <c r="G1224" s="311">
        <f t="shared" si="185"/>
        <v>0</v>
      </c>
      <c r="H1224" s="96"/>
      <c r="I1224" s="41"/>
      <c r="J1224" s="42">
        <v>6106184</v>
      </c>
      <c r="K1224" s="313">
        <f t="shared" si="184"/>
        <v>0</v>
      </c>
      <c r="L1224" s="96"/>
      <c r="M1224" s="41"/>
      <c r="N1224" s="42">
        <v>1050076</v>
      </c>
      <c r="O1224" s="236">
        <f t="shared" si="186"/>
        <v>0</v>
      </c>
      <c r="P1224" s="358"/>
      <c r="Q1224" s="42">
        <v>708409</v>
      </c>
      <c r="R1224" s="314">
        <f t="shared" si="183"/>
        <v>270</v>
      </c>
      <c r="S1224" s="358"/>
      <c r="T1224" s="42">
        <v>121928</v>
      </c>
      <c r="U1224" s="348">
        <f t="shared" si="181"/>
        <v>0</v>
      </c>
      <c r="V1224" s="41"/>
      <c r="W1224" s="42">
        <v>49317</v>
      </c>
      <c r="X1224" s="349">
        <f t="shared" si="182"/>
        <v>0</v>
      </c>
      <c r="Y1224" s="41"/>
      <c r="Z1224" s="243"/>
    </row>
    <row r="1225" spans="1:26">
      <c r="A1225" s="150">
        <v>45754</v>
      </c>
      <c r="B1225" s="350" t="s">
        <v>108</v>
      </c>
      <c r="C1225" s="42">
        <v>4602382</v>
      </c>
      <c r="D1225" s="315">
        <f t="shared" si="187"/>
        <v>0</v>
      </c>
      <c r="E1225" s="41"/>
      <c r="F1225" s="42">
        <v>11348734</v>
      </c>
      <c r="G1225" s="311">
        <f t="shared" si="185"/>
        <v>0</v>
      </c>
      <c r="H1225" s="96"/>
      <c r="I1225" s="41"/>
      <c r="J1225" s="42">
        <v>6106184</v>
      </c>
      <c r="K1225" s="313">
        <f t="shared" si="184"/>
        <v>0</v>
      </c>
      <c r="L1225" s="96"/>
      <c r="M1225" s="41"/>
      <c r="N1225" s="42">
        <v>1050076</v>
      </c>
      <c r="O1225" s="236">
        <f t="shared" si="186"/>
        <v>796</v>
      </c>
      <c r="P1225" s="358"/>
      <c r="Q1225" s="42">
        <v>708409</v>
      </c>
      <c r="R1225" s="314">
        <f t="shared" si="183"/>
        <v>0</v>
      </c>
      <c r="S1225" s="358"/>
      <c r="T1225" s="42">
        <v>121928</v>
      </c>
      <c r="U1225" s="348">
        <f t="shared" si="181"/>
        <v>0</v>
      </c>
      <c r="V1225" s="41"/>
      <c r="W1225" s="42">
        <v>49317</v>
      </c>
      <c r="X1225" s="349">
        <f t="shared" si="182"/>
        <v>0</v>
      </c>
      <c r="Y1225" s="41"/>
      <c r="Z1225" s="243"/>
    </row>
    <row r="1226" spans="1:26">
      <c r="A1226" s="150">
        <v>45755</v>
      </c>
      <c r="B1226" s="350" t="s">
        <v>109</v>
      </c>
      <c r="C1226" s="42">
        <v>4602382</v>
      </c>
      <c r="D1226" s="315">
        <f t="shared" si="187"/>
        <v>5622</v>
      </c>
      <c r="E1226" s="41"/>
      <c r="F1226" s="42">
        <v>11348734</v>
      </c>
      <c r="G1226" s="311">
        <f t="shared" si="185"/>
        <v>13375</v>
      </c>
      <c r="H1226" s="96"/>
      <c r="I1226" s="41"/>
      <c r="J1226" s="42">
        <v>6106184</v>
      </c>
      <c r="K1226" s="313">
        <f t="shared" si="184"/>
        <v>5287</v>
      </c>
      <c r="L1226" s="96"/>
      <c r="M1226" s="41"/>
      <c r="N1226" s="42">
        <v>1050872</v>
      </c>
      <c r="O1226" s="236">
        <f t="shared" si="186"/>
        <v>752</v>
      </c>
      <c r="P1226" s="358"/>
      <c r="Q1226" s="42">
        <v>708697</v>
      </c>
      <c r="R1226" s="314">
        <f t="shared" si="183"/>
        <v>288</v>
      </c>
      <c r="S1226" s="358"/>
      <c r="T1226" s="42">
        <v>121928</v>
      </c>
      <c r="U1226" s="348">
        <f t="shared" si="181"/>
        <v>0</v>
      </c>
      <c r="V1226" s="41"/>
      <c r="W1226" s="42">
        <v>49317</v>
      </c>
      <c r="X1226" s="349">
        <f t="shared" si="182"/>
        <v>0</v>
      </c>
      <c r="Y1226" s="41"/>
      <c r="Z1226" s="243"/>
    </row>
    <row r="1227" spans="1:26">
      <c r="A1227" s="150">
        <v>45756</v>
      </c>
      <c r="B1227" s="350" t="s">
        <v>110</v>
      </c>
      <c r="C1227" s="42">
        <v>4608004</v>
      </c>
      <c r="D1227" s="315">
        <f t="shared" si="187"/>
        <v>6937</v>
      </c>
      <c r="E1227" s="41"/>
      <c r="F1227" s="42">
        <v>11362109</v>
      </c>
      <c r="G1227" s="311">
        <f t="shared" si="185"/>
        <v>15389</v>
      </c>
      <c r="H1227" s="96"/>
      <c r="I1227" s="41"/>
      <c r="J1227" s="42">
        <v>6111471</v>
      </c>
      <c r="K1227" s="313">
        <f t="shared" si="184"/>
        <v>9729</v>
      </c>
      <c r="L1227" s="96"/>
      <c r="M1227" s="41"/>
      <c r="N1227" s="42">
        <v>1051624</v>
      </c>
      <c r="O1227" s="236">
        <f t="shared" si="186"/>
        <v>622</v>
      </c>
      <c r="P1227" s="358"/>
      <c r="Q1227" s="42">
        <v>708915</v>
      </c>
      <c r="R1227" s="314">
        <f t="shared" si="183"/>
        <v>218</v>
      </c>
      <c r="S1227" s="358"/>
      <c r="T1227" s="42">
        <v>121928</v>
      </c>
      <c r="U1227" s="348">
        <f t="shared" si="181"/>
        <v>0</v>
      </c>
      <c r="V1227" s="41"/>
      <c r="W1227" s="42">
        <v>49317</v>
      </c>
      <c r="X1227" s="349">
        <f t="shared" si="182"/>
        <v>0</v>
      </c>
      <c r="Y1227" s="41"/>
      <c r="Z1227" s="243"/>
    </row>
    <row r="1228" spans="1:26">
      <c r="A1228" s="150">
        <v>45757</v>
      </c>
      <c r="B1228" s="350" t="s">
        <v>111</v>
      </c>
      <c r="C1228" s="42">
        <v>4614941</v>
      </c>
      <c r="D1228" s="315">
        <f t="shared" si="187"/>
        <v>6041</v>
      </c>
      <c r="E1228" s="41"/>
      <c r="F1228" s="42">
        <v>11377498</v>
      </c>
      <c r="G1228" s="311">
        <f t="shared" si="185"/>
        <v>14076</v>
      </c>
      <c r="H1228" s="96"/>
      <c r="I1228" s="41"/>
      <c r="J1228" s="42">
        <v>6121200</v>
      </c>
      <c r="K1228" s="313">
        <f t="shared" si="184"/>
        <v>9355</v>
      </c>
      <c r="L1228" s="96"/>
      <c r="M1228" s="41"/>
      <c r="N1228" s="42">
        <v>1052246</v>
      </c>
      <c r="O1228" s="236">
        <f t="shared" si="186"/>
        <v>900</v>
      </c>
      <c r="P1228" s="358"/>
      <c r="Q1228" s="42">
        <v>709256</v>
      </c>
      <c r="R1228" s="314">
        <f t="shared" si="183"/>
        <v>341</v>
      </c>
      <c r="S1228" s="358"/>
      <c r="T1228" s="42">
        <v>121928</v>
      </c>
      <c r="U1228" s="348">
        <f t="shared" si="181"/>
        <v>0</v>
      </c>
      <c r="V1228" s="41"/>
      <c r="W1228" s="42">
        <v>49317</v>
      </c>
      <c r="X1228" s="349">
        <f t="shared" si="182"/>
        <v>0</v>
      </c>
      <c r="Y1228" s="41"/>
      <c r="Z1228" s="243"/>
    </row>
    <row r="1229" spans="1:26">
      <c r="A1229" s="150">
        <v>45758</v>
      </c>
      <c r="B1229" s="350" t="s">
        <v>106</v>
      </c>
      <c r="C1229" s="42">
        <v>4620982</v>
      </c>
      <c r="D1229" s="315">
        <f t="shared" si="187"/>
        <v>11839</v>
      </c>
      <c r="E1229" s="41"/>
      <c r="F1229" s="42">
        <v>11391574</v>
      </c>
      <c r="G1229" s="311">
        <f t="shared" si="185"/>
        <v>35843</v>
      </c>
      <c r="H1229" s="96"/>
      <c r="I1229" s="41"/>
      <c r="J1229" s="42">
        <v>6130555</v>
      </c>
      <c r="K1229" s="313">
        <f t="shared" si="184"/>
        <v>16355</v>
      </c>
      <c r="L1229" s="96"/>
      <c r="M1229" s="41"/>
      <c r="N1229" s="42">
        <v>1053146</v>
      </c>
      <c r="O1229" s="236">
        <f t="shared" si="186"/>
        <v>734</v>
      </c>
      <c r="P1229" s="358"/>
      <c r="Q1229" s="42">
        <v>709514</v>
      </c>
      <c r="R1229" s="314">
        <f t="shared" si="183"/>
        <v>258</v>
      </c>
      <c r="S1229" s="358"/>
      <c r="T1229" s="42">
        <v>121928</v>
      </c>
      <c r="U1229" s="348">
        <f t="shared" si="181"/>
        <v>0</v>
      </c>
      <c r="V1229" s="41"/>
      <c r="W1229" s="42">
        <v>49317</v>
      </c>
      <c r="X1229" s="349">
        <f t="shared" si="182"/>
        <v>0</v>
      </c>
      <c r="Y1229" s="41"/>
      <c r="Z1229" s="243"/>
    </row>
    <row r="1230" spans="1:26">
      <c r="A1230" s="150">
        <v>45759</v>
      </c>
      <c r="B1230" s="350" t="s">
        <v>107</v>
      </c>
      <c r="C1230" s="42">
        <v>4632821</v>
      </c>
      <c r="D1230" s="315">
        <f t="shared" si="187"/>
        <v>0</v>
      </c>
      <c r="E1230" s="41"/>
      <c r="F1230" s="42">
        <v>11427417</v>
      </c>
      <c r="G1230" s="311">
        <f t="shared" si="185"/>
        <v>0</v>
      </c>
      <c r="H1230" s="96"/>
      <c r="I1230" s="41"/>
      <c r="J1230" s="42">
        <v>6146910</v>
      </c>
      <c r="K1230" s="313">
        <f t="shared" si="184"/>
        <v>0</v>
      </c>
      <c r="L1230" s="96"/>
      <c r="M1230" s="41"/>
      <c r="N1230" s="42">
        <v>1053880</v>
      </c>
      <c r="O1230" s="236">
        <f t="shared" si="186"/>
        <v>865</v>
      </c>
      <c r="P1230" s="358"/>
      <c r="Q1230" s="42">
        <v>709725</v>
      </c>
      <c r="R1230" s="314">
        <f t="shared" si="183"/>
        <v>211</v>
      </c>
      <c r="S1230" s="358"/>
      <c r="T1230" s="42">
        <v>121928</v>
      </c>
      <c r="U1230" s="348">
        <f t="shared" si="181"/>
        <v>0</v>
      </c>
      <c r="V1230" s="41"/>
      <c r="W1230" s="42">
        <v>49317</v>
      </c>
      <c r="X1230" s="349">
        <f t="shared" si="182"/>
        <v>0</v>
      </c>
      <c r="Y1230" s="41"/>
      <c r="Z1230" s="243"/>
    </row>
    <row r="1231" spans="1:26">
      <c r="A1231" s="150">
        <v>45760</v>
      </c>
      <c r="B1231" s="350" t="s">
        <v>36</v>
      </c>
      <c r="C1231" s="42">
        <v>4632821</v>
      </c>
      <c r="D1231" s="315">
        <f t="shared" si="187"/>
        <v>0</v>
      </c>
      <c r="E1231" s="41"/>
      <c r="F1231" s="42">
        <v>11427417</v>
      </c>
      <c r="G1231" s="311">
        <f t="shared" si="185"/>
        <v>0</v>
      </c>
      <c r="H1231" s="96"/>
      <c r="I1231" s="41"/>
      <c r="J1231" s="42">
        <v>6146910</v>
      </c>
      <c r="K1231" s="313">
        <f t="shared" si="184"/>
        <v>0</v>
      </c>
      <c r="L1231" s="96"/>
      <c r="M1231" s="41"/>
      <c r="N1231" s="42">
        <v>1054745</v>
      </c>
      <c r="O1231" s="236">
        <f t="shared" si="186"/>
        <v>0</v>
      </c>
      <c r="P1231" s="358"/>
      <c r="Q1231" s="42">
        <v>710074</v>
      </c>
      <c r="R1231" s="314">
        <f t="shared" si="183"/>
        <v>349</v>
      </c>
      <c r="S1231" s="358"/>
      <c r="T1231" s="42">
        <v>121928</v>
      </c>
      <c r="U1231" s="348">
        <f t="shared" si="181"/>
        <v>0</v>
      </c>
      <c r="V1231" s="41"/>
      <c r="W1231" s="42">
        <v>49317</v>
      </c>
      <c r="X1231" s="349">
        <f t="shared" si="182"/>
        <v>0</v>
      </c>
      <c r="Y1231" s="41"/>
      <c r="Z1231" s="243"/>
    </row>
    <row r="1232" spans="1:26">
      <c r="A1232" s="150">
        <v>45761</v>
      </c>
      <c r="B1232" s="350" t="s">
        <v>108</v>
      </c>
      <c r="C1232" s="42">
        <v>4632821</v>
      </c>
      <c r="D1232" s="315">
        <f t="shared" si="187"/>
        <v>0</v>
      </c>
      <c r="E1232" s="41"/>
      <c r="F1232" s="42">
        <v>11427417</v>
      </c>
      <c r="G1232" s="311">
        <f t="shared" si="185"/>
        <v>0</v>
      </c>
      <c r="H1232" s="96"/>
      <c r="I1232" s="41"/>
      <c r="J1232" s="42">
        <v>6146910</v>
      </c>
      <c r="K1232" s="313">
        <f t="shared" si="184"/>
        <v>0</v>
      </c>
      <c r="L1232" s="96"/>
      <c r="M1232" s="41"/>
      <c r="N1232" s="42">
        <v>1054745</v>
      </c>
      <c r="O1232" s="236">
        <f t="shared" si="186"/>
        <v>747</v>
      </c>
      <c r="P1232" s="358"/>
      <c r="Q1232" s="42">
        <v>710074</v>
      </c>
      <c r="R1232" s="314">
        <f t="shared" si="183"/>
        <v>0</v>
      </c>
      <c r="S1232" s="358"/>
      <c r="T1232" s="42">
        <v>121928</v>
      </c>
      <c r="U1232" s="348">
        <f t="shared" si="181"/>
        <v>0</v>
      </c>
      <c r="V1232" s="41"/>
      <c r="W1232" s="42">
        <v>49317</v>
      </c>
      <c r="X1232" s="349">
        <f t="shared" si="182"/>
        <v>0</v>
      </c>
      <c r="Y1232" s="41"/>
      <c r="Z1232" s="243"/>
    </row>
    <row r="1233" spans="1:26">
      <c r="A1233" s="150">
        <v>45762</v>
      </c>
      <c r="B1233" s="350" t="s">
        <v>109</v>
      </c>
      <c r="C1233" s="42">
        <v>4632821</v>
      </c>
      <c r="D1233" s="315">
        <f t="shared" si="187"/>
        <v>5805</v>
      </c>
      <c r="E1233" s="41"/>
      <c r="F1233" s="42">
        <v>11427417</v>
      </c>
      <c r="G1233" s="311">
        <f t="shared" si="185"/>
        <v>13637</v>
      </c>
      <c r="H1233" s="96"/>
      <c r="I1233" s="41"/>
      <c r="J1233" s="42">
        <v>6146910</v>
      </c>
      <c r="K1233" s="313">
        <f t="shared" si="184"/>
        <v>8933</v>
      </c>
      <c r="L1233" s="96"/>
      <c r="M1233" s="41"/>
      <c r="N1233" s="42">
        <v>1055492</v>
      </c>
      <c r="O1233" s="236">
        <f t="shared" si="186"/>
        <v>741</v>
      </c>
      <c r="P1233" s="358"/>
      <c r="Q1233" s="42">
        <v>710277</v>
      </c>
      <c r="R1233" s="314">
        <f t="shared" si="183"/>
        <v>203</v>
      </c>
      <c r="S1233" s="358"/>
      <c r="T1233" s="42">
        <v>121928</v>
      </c>
      <c r="U1233" s="348">
        <f t="shared" si="181"/>
        <v>0</v>
      </c>
      <c r="V1233" s="41"/>
      <c r="W1233" s="42">
        <v>49317</v>
      </c>
      <c r="X1233" s="349">
        <f t="shared" si="182"/>
        <v>0</v>
      </c>
      <c r="Y1233" s="41"/>
      <c r="Z1233" s="243"/>
    </row>
    <row r="1234" spans="1:26">
      <c r="A1234" s="150">
        <v>45763</v>
      </c>
      <c r="B1234" s="350" t="s">
        <v>110</v>
      </c>
      <c r="C1234" s="42">
        <v>4638626</v>
      </c>
      <c r="D1234" s="315">
        <f t="shared" si="187"/>
        <v>5673</v>
      </c>
      <c r="E1234" s="41"/>
      <c r="F1234" s="42">
        <v>11441054</v>
      </c>
      <c r="G1234" s="311">
        <f t="shared" si="185"/>
        <v>13467</v>
      </c>
      <c r="H1234" s="96"/>
      <c r="I1234" s="41"/>
      <c r="J1234" s="42">
        <v>6155843</v>
      </c>
      <c r="K1234" s="313">
        <f t="shared" si="184"/>
        <v>6598</v>
      </c>
      <c r="L1234" s="96"/>
      <c r="M1234" s="41"/>
      <c r="N1234" s="42">
        <v>1056233</v>
      </c>
      <c r="O1234" s="236">
        <f t="shared" si="186"/>
        <v>832</v>
      </c>
      <c r="P1234" s="358"/>
      <c r="Q1234" s="42">
        <v>710621</v>
      </c>
      <c r="R1234" s="314">
        <f t="shared" si="183"/>
        <v>344</v>
      </c>
      <c r="S1234" s="358"/>
      <c r="T1234" s="42">
        <v>121928</v>
      </c>
      <c r="U1234" s="348">
        <f t="shared" si="181"/>
        <v>0</v>
      </c>
      <c r="V1234" s="41"/>
      <c r="W1234" s="42">
        <v>49317</v>
      </c>
      <c r="X1234" s="349">
        <f t="shared" si="182"/>
        <v>0</v>
      </c>
      <c r="Y1234" s="41"/>
      <c r="Z1234" s="243"/>
    </row>
    <row r="1235" spans="1:26">
      <c r="A1235" s="150">
        <v>45764</v>
      </c>
      <c r="B1235" s="350" t="s">
        <v>111</v>
      </c>
      <c r="C1235" s="42">
        <v>4644299</v>
      </c>
      <c r="D1235" s="315">
        <f t="shared" si="187"/>
        <v>7977</v>
      </c>
      <c r="E1235" s="41"/>
      <c r="F1235" s="42">
        <v>11454521</v>
      </c>
      <c r="G1235" s="311">
        <f t="shared" si="185"/>
        <v>14774</v>
      </c>
      <c r="H1235" s="96"/>
      <c r="I1235" s="41"/>
      <c r="J1235" s="42">
        <v>6162441</v>
      </c>
      <c r="K1235" s="313">
        <f t="shared" si="184"/>
        <v>14135</v>
      </c>
      <c r="L1235" s="96"/>
      <c r="M1235" s="41"/>
      <c r="N1235" s="42">
        <v>1057065</v>
      </c>
      <c r="O1235" s="236">
        <f t="shared" si="186"/>
        <v>1054</v>
      </c>
      <c r="P1235" s="358"/>
      <c r="Q1235" s="42">
        <v>710621</v>
      </c>
      <c r="R1235" s="314">
        <f t="shared" si="183"/>
        <v>0</v>
      </c>
      <c r="S1235" s="358"/>
      <c r="T1235" s="42">
        <v>121928</v>
      </c>
      <c r="U1235" s="348">
        <f t="shared" si="181"/>
        <v>0</v>
      </c>
      <c r="V1235" s="41"/>
      <c r="W1235" s="42">
        <v>49317</v>
      </c>
      <c r="X1235" s="349">
        <f t="shared" si="182"/>
        <v>0</v>
      </c>
      <c r="Y1235" s="41"/>
      <c r="Z1235" s="243"/>
    </row>
    <row r="1236" spans="1:26">
      <c r="A1236" s="150">
        <v>45765</v>
      </c>
      <c r="B1236" s="350" t="s">
        <v>106</v>
      </c>
      <c r="C1236" s="42">
        <v>4652276</v>
      </c>
      <c r="D1236" s="315">
        <f t="shared" si="187"/>
        <v>0</v>
      </c>
      <c r="E1236" s="41"/>
      <c r="F1236" s="42">
        <v>11469295</v>
      </c>
      <c r="G1236" s="311">
        <f t="shared" si="185"/>
        <v>0</v>
      </c>
      <c r="H1236" s="96"/>
      <c r="I1236" s="41"/>
      <c r="J1236" s="42">
        <v>6176576</v>
      </c>
      <c r="K1236" s="313">
        <f t="shared" si="184"/>
        <v>0</v>
      </c>
      <c r="L1236" s="96"/>
      <c r="M1236" s="41"/>
      <c r="N1236" s="42">
        <v>1058119</v>
      </c>
      <c r="O1236" s="236">
        <f t="shared" si="186"/>
        <v>0</v>
      </c>
      <c r="P1236" s="358"/>
      <c r="Q1236" s="42">
        <v>710830</v>
      </c>
      <c r="R1236" s="314">
        <f t="shared" si="183"/>
        <v>209</v>
      </c>
      <c r="S1236" s="358"/>
      <c r="T1236" s="42">
        <v>121928</v>
      </c>
      <c r="U1236" s="348">
        <f t="shared" si="181"/>
        <v>0</v>
      </c>
      <c r="V1236" s="41"/>
      <c r="W1236" s="42">
        <v>49317</v>
      </c>
      <c r="X1236" s="349">
        <f t="shared" si="182"/>
        <v>0</v>
      </c>
      <c r="Y1236" s="41"/>
      <c r="Z1236" s="243"/>
    </row>
    <row r="1237" spans="1:26">
      <c r="A1237" s="150">
        <v>45766</v>
      </c>
      <c r="B1237" s="350" t="s">
        <v>107</v>
      </c>
      <c r="C1237" s="42">
        <v>4652276</v>
      </c>
      <c r="D1237" s="315">
        <f t="shared" si="187"/>
        <v>0</v>
      </c>
      <c r="E1237" s="41"/>
      <c r="F1237" s="42">
        <v>11469295</v>
      </c>
      <c r="G1237" s="311">
        <f t="shared" si="185"/>
        <v>0</v>
      </c>
      <c r="H1237" s="96"/>
      <c r="I1237" s="41"/>
      <c r="J1237" s="42">
        <v>6176576</v>
      </c>
      <c r="K1237" s="313">
        <f t="shared" si="184"/>
        <v>0</v>
      </c>
      <c r="L1237" s="96"/>
      <c r="M1237" s="41"/>
      <c r="N1237" s="42">
        <v>1058119</v>
      </c>
      <c r="O1237" s="236">
        <f t="shared" si="186"/>
        <v>770</v>
      </c>
      <c r="P1237" s="358"/>
      <c r="Q1237" s="42">
        <v>710830</v>
      </c>
      <c r="R1237" s="314">
        <f t="shared" si="183"/>
        <v>0</v>
      </c>
      <c r="S1237" s="358"/>
      <c r="T1237" s="42">
        <v>121928</v>
      </c>
      <c r="U1237" s="348">
        <f t="shared" si="181"/>
        <v>0</v>
      </c>
      <c r="V1237" s="41"/>
      <c r="W1237" s="42">
        <v>49317</v>
      </c>
      <c r="X1237" s="349">
        <f t="shared" si="182"/>
        <v>0</v>
      </c>
      <c r="Y1237" s="41"/>
      <c r="Z1237" s="243"/>
    </row>
    <row r="1238" spans="1:26">
      <c r="A1238" s="150">
        <v>45767</v>
      </c>
      <c r="B1238" s="350" t="s">
        <v>36</v>
      </c>
      <c r="C1238" s="42">
        <v>4652276</v>
      </c>
      <c r="D1238" s="315">
        <f t="shared" si="187"/>
        <v>0</v>
      </c>
      <c r="E1238" s="41"/>
      <c r="F1238" s="42">
        <v>11469295</v>
      </c>
      <c r="G1238" s="311">
        <f t="shared" si="185"/>
        <v>0</v>
      </c>
      <c r="H1238" s="96"/>
      <c r="I1238" s="41"/>
      <c r="J1238" s="42">
        <v>6176576</v>
      </c>
      <c r="K1238" s="313">
        <f t="shared" si="184"/>
        <v>0</v>
      </c>
      <c r="L1238" s="96"/>
      <c r="M1238" s="41"/>
      <c r="N1238" s="42">
        <v>1058889</v>
      </c>
      <c r="O1238" s="236">
        <f t="shared" si="186"/>
        <v>0</v>
      </c>
      <c r="P1238" s="358"/>
      <c r="Q1238" s="42">
        <v>711244</v>
      </c>
      <c r="R1238" s="314">
        <f t="shared" si="183"/>
        <v>414</v>
      </c>
      <c r="S1238" s="358"/>
      <c r="T1238" s="42">
        <v>121928</v>
      </c>
      <c r="U1238" s="348">
        <f t="shared" si="181"/>
        <v>0</v>
      </c>
      <c r="V1238" s="41"/>
      <c r="W1238" s="42">
        <v>49317</v>
      </c>
      <c r="X1238" s="349">
        <f t="shared" si="182"/>
        <v>0</v>
      </c>
      <c r="Y1238" s="41"/>
      <c r="Z1238" s="243"/>
    </row>
    <row r="1239" spans="1:26">
      <c r="A1239" s="150">
        <v>45768</v>
      </c>
      <c r="B1239" s="350" t="s">
        <v>108</v>
      </c>
      <c r="C1239" s="42">
        <v>4652276</v>
      </c>
      <c r="D1239" s="315">
        <f t="shared" si="187"/>
        <v>0</v>
      </c>
      <c r="E1239" s="41"/>
      <c r="F1239" s="42">
        <v>11469295</v>
      </c>
      <c r="G1239" s="311">
        <f t="shared" si="185"/>
        <v>0</v>
      </c>
      <c r="H1239" s="96"/>
      <c r="I1239" s="41"/>
      <c r="J1239" s="42">
        <v>6176576</v>
      </c>
      <c r="K1239" s="313">
        <f t="shared" si="184"/>
        <v>0</v>
      </c>
      <c r="L1239" s="96"/>
      <c r="M1239" s="41"/>
      <c r="N1239" s="42">
        <v>1058889</v>
      </c>
      <c r="O1239" s="236">
        <f t="shared" si="186"/>
        <v>0</v>
      </c>
      <c r="P1239" s="358"/>
      <c r="Q1239" s="42">
        <v>711244</v>
      </c>
      <c r="R1239" s="314">
        <f t="shared" si="183"/>
        <v>0</v>
      </c>
      <c r="S1239" s="358"/>
      <c r="T1239" s="42">
        <v>121928</v>
      </c>
      <c r="U1239" s="348">
        <f t="shared" si="181"/>
        <v>0</v>
      </c>
      <c r="V1239" s="41"/>
      <c r="W1239" s="42">
        <v>49317</v>
      </c>
      <c r="X1239" s="349">
        <f t="shared" si="182"/>
        <v>0</v>
      </c>
      <c r="Y1239" s="41"/>
      <c r="Z1239" s="243"/>
    </row>
    <row r="1240" spans="1:26">
      <c r="A1240" s="150">
        <v>45769</v>
      </c>
      <c r="B1240" s="350" t="s">
        <v>109</v>
      </c>
      <c r="C1240" s="42">
        <v>4652276</v>
      </c>
      <c r="D1240" s="315">
        <f t="shared" si="187"/>
        <v>5250</v>
      </c>
      <c r="E1240" s="41"/>
      <c r="F1240" s="42">
        <v>11469295</v>
      </c>
      <c r="G1240" s="311">
        <f t="shared" si="185"/>
        <v>32055</v>
      </c>
      <c r="H1240" s="96"/>
      <c r="I1240" s="41"/>
      <c r="J1240" s="42">
        <v>6176576</v>
      </c>
      <c r="K1240" s="313">
        <f t="shared" si="184"/>
        <v>8550</v>
      </c>
      <c r="L1240" s="96"/>
      <c r="M1240" s="41"/>
      <c r="N1240" s="42">
        <v>1058889</v>
      </c>
      <c r="O1240" s="236">
        <f t="shared" si="186"/>
        <v>780</v>
      </c>
      <c r="P1240" s="358"/>
      <c r="Q1240" s="42">
        <v>711244</v>
      </c>
      <c r="R1240" s="314">
        <f t="shared" si="183"/>
        <v>0</v>
      </c>
      <c r="S1240" s="358"/>
      <c r="T1240" s="42">
        <v>121928</v>
      </c>
      <c r="U1240" s="348">
        <f t="shared" ref="U1240:U1303" si="188">T1241-T1240</f>
        <v>0</v>
      </c>
      <c r="V1240" s="41"/>
      <c r="W1240" s="42">
        <v>49317</v>
      </c>
      <c r="X1240" s="349">
        <f t="shared" si="182"/>
        <v>0</v>
      </c>
      <c r="Y1240" s="41"/>
      <c r="Z1240" s="243"/>
    </row>
    <row r="1241" spans="1:26">
      <c r="A1241" s="150">
        <v>45770</v>
      </c>
      <c r="B1241" s="350" t="s">
        <v>110</v>
      </c>
      <c r="C1241" s="42">
        <v>4657526</v>
      </c>
      <c r="D1241" s="315">
        <f t="shared" si="187"/>
        <v>18242</v>
      </c>
      <c r="E1241" s="41"/>
      <c r="F1241" s="42">
        <v>11501350</v>
      </c>
      <c r="G1241" s="311">
        <f t="shared" si="185"/>
        <v>49999</v>
      </c>
      <c r="H1241" s="96"/>
      <c r="I1241" s="41"/>
      <c r="J1241" s="42">
        <v>6185126</v>
      </c>
      <c r="K1241" s="313">
        <f t="shared" si="184"/>
        <v>27198</v>
      </c>
      <c r="L1241" s="96"/>
      <c r="M1241" s="41"/>
      <c r="N1241" s="42">
        <v>1059669</v>
      </c>
      <c r="O1241" s="236">
        <f t="shared" si="186"/>
        <v>879</v>
      </c>
      <c r="P1241" s="358"/>
      <c r="Q1241" s="42">
        <v>711472</v>
      </c>
      <c r="R1241" s="314">
        <f t="shared" si="183"/>
        <v>228</v>
      </c>
      <c r="S1241" s="358"/>
      <c r="T1241" s="42">
        <v>121928</v>
      </c>
      <c r="U1241" s="348">
        <f t="shared" si="188"/>
        <v>0</v>
      </c>
      <c r="V1241" s="41"/>
      <c r="W1241" s="42">
        <v>49317</v>
      </c>
      <c r="X1241" s="349">
        <f t="shared" si="182"/>
        <v>0</v>
      </c>
      <c r="Y1241" s="41"/>
      <c r="Z1241" s="243"/>
    </row>
    <row r="1242" spans="1:26">
      <c r="A1242" s="150">
        <v>45771</v>
      </c>
      <c r="B1242" s="350" t="s">
        <v>111</v>
      </c>
      <c r="C1242" s="42">
        <v>4675768</v>
      </c>
      <c r="D1242" s="315">
        <f t="shared" si="187"/>
        <v>0</v>
      </c>
      <c r="E1242" s="41"/>
      <c r="F1242" s="42">
        <v>11551349</v>
      </c>
      <c r="G1242" s="311">
        <f t="shared" si="185"/>
        <v>0</v>
      </c>
      <c r="H1242" s="96"/>
      <c r="I1242" s="41"/>
      <c r="J1242" s="42">
        <v>6212324</v>
      </c>
      <c r="K1242" s="313">
        <f t="shared" si="184"/>
        <v>0</v>
      </c>
      <c r="L1242" s="96"/>
      <c r="M1242" s="41"/>
      <c r="N1242" s="42">
        <v>1060548</v>
      </c>
      <c r="O1242" s="236">
        <f t="shared" si="186"/>
        <v>1056</v>
      </c>
      <c r="P1242" s="358"/>
      <c r="Q1242" s="42">
        <v>711713</v>
      </c>
      <c r="R1242" s="314">
        <f t="shared" si="183"/>
        <v>241</v>
      </c>
      <c r="S1242" s="358"/>
      <c r="T1242" s="42">
        <v>121928</v>
      </c>
      <c r="U1242" s="348">
        <f t="shared" si="188"/>
        <v>0</v>
      </c>
      <c r="V1242" s="41"/>
      <c r="W1242" s="42">
        <v>49317</v>
      </c>
      <c r="X1242" s="349">
        <f t="shared" si="182"/>
        <v>0</v>
      </c>
      <c r="Y1242" s="41"/>
      <c r="Z1242" s="243"/>
    </row>
    <row r="1243" spans="1:26">
      <c r="A1243" s="150">
        <v>45772</v>
      </c>
      <c r="B1243" s="350" t="s">
        <v>106</v>
      </c>
      <c r="C1243" s="42">
        <v>4675768</v>
      </c>
      <c r="D1243" s="315">
        <f t="shared" si="187"/>
        <v>0</v>
      </c>
      <c r="E1243" s="41"/>
      <c r="F1243" s="42">
        <v>11551349</v>
      </c>
      <c r="G1243" s="311">
        <f t="shared" si="185"/>
        <v>0</v>
      </c>
      <c r="H1243" s="96"/>
      <c r="I1243" s="41"/>
      <c r="J1243" s="42">
        <v>6212324</v>
      </c>
      <c r="K1243" s="313">
        <f t="shared" si="184"/>
        <v>0</v>
      </c>
      <c r="L1243" s="96"/>
      <c r="M1243" s="41"/>
      <c r="N1243" s="42">
        <v>1061604</v>
      </c>
      <c r="O1243" s="236">
        <f t="shared" si="186"/>
        <v>786</v>
      </c>
      <c r="P1243" s="358"/>
      <c r="Q1243" s="42">
        <v>711845</v>
      </c>
      <c r="R1243" s="314">
        <f t="shared" si="183"/>
        <v>132</v>
      </c>
      <c r="S1243" s="358"/>
      <c r="T1243" s="42">
        <v>121928</v>
      </c>
      <c r="U1243" s="348">
        <f t="shared" si="188"/>
        <v>0</v>
      </c>
      <c r="V1243" s="41"/>
      <c r="W1243" s="42">
        <v>49317</v>
      </c>
      <c r="X1243" s="349">
        <f t="shared" si="182"/>
        <v>0</v>
      </c>
      <c r="Y1243" s="41"/>
      <c r="Z1243" s="243"/>
    </row>
    <row r="1244" spans="1:26">
      <c r="A1244" s="150">
        <v>45773</v>
      </c>
      <c r="B1244" s="350" t="s">
        <v>107</v>
      </c>
      <c r="C1244" s="42">
        <v>4675768</v>
      </c>
      <c r="D1244" s="315">
        <f t="shared" si="187"/>
        <v>0</v>
      </c>
      <c r="E1244" s="41"/>
      <c r="F1244" s="42">
        <v>11551349</v>
      </c>
      <c r="G1244" s="311">
        <f t="shared" si="185"/>
        <v>0</v>
      </c>
      <c r="H1244" s="96"/>
      <c r="I1244" s="41"/>
      <c r="J1244" s="42">
        <v>6212324</v>
      </c>
      <c r="K1244" s="313">
        <f t="shared" si="184"/>
        <v>0</v>
      </c>
      <c r="L1244" s="96"/>
      <c r="M1244" s="41"/>
      <c r="N1244" s="42">
        <v>1062390</v>
      </c>
      <c r="O1244" s="236">
        <f t="shared" si="186"/>
        <v>908</v>
      </c>
      <c r="P1244" s="358"/>
      <c r="Q1244" s="42">
        <v>712029</v>
      </c>
      <c r="R1244" s="314">
        <f t="shared" si="183"/>
        <v>184</v>
      </c>
      <c r="S1244" s="358"/>
      <c r="T1244" s="42">
        <v>121928</v>
      </c>
      <c r="U1244" s="348">
        <f t="shared" si="188"/>
        <v>0</v>
      </c>
      <c r="V1244" s="41"/>
      <c r="W1244" s="42">
        <v>49317</v>
      </c>
      <c r="X1244" s="349">
        <f t="shared" si="182"/>
        <v>0</v>
      </c>
      <c r="Y1244" s="41"/>
      <c r="Z1244" s="243"/>
    </row>
    <row r="1245" spans="1:26">
      <c r="A1245" s="150">
        <v>45774</v>
      </c>
      <c r="B1245" s="350" t="s">
        <v>36</v>
      </c>
      <c r="C1245" s="42">
        <v>4675768</v>
      </c>
      <c r="D1245" s="315">
        <f t="shared" si="187"/>
        <v>0</v>
      </c>
      <c r="E1245" s="41"/>
      <c r="F1245" s="42">
        <v>11551349</v>
      </c>
      <c r="G1245" s="311">
        <f t="shared" si="185"/>
        <v>0</v>
      </c>
      <c r="H1245" s="96"/>
      <c r="I1245" s="41"/>
      <c r="J1245" s="42">
        <v>6212324</v>
      </c>
      <c r="K1245" s="313">
        <f t="shared" si="184"/>
        <v>0</v>
      </c>
      <c r="L1245" s="96"/>
      <c r="M1245" s="41"/>
      <c r="N1245" s="42">
        <v>1063298</v>
      </c>
      <c r="O1245" s="236">
        <f t="shared" si="186"/>
        <v>0</v>
      </c>
      <c r="P1245" s="358"/>
      <c r="Q1245" s="42">
        <v>712310</v>
      </c>
      <c r="R1245" s="314">
        <f t="shared" si="183"/>
        <v>281</v>
      </c>
      <c r="S1245" s="358"/>
      <c r="T1245" s="42">
        <v>121928</v>
      </c>
      <c r="U1245" s="348">
        <f t="shared" si="188"/>
        <v>0</v>
      </c>
      <c r="V1245" s="41"/>
      <c r="W1245" s="42">
        <v>49317</v>
      </c>
      <c r="X1245" s="349">
        <f t="shared" si="182"/>
        <v>0</v>
      </c>
      <c r="Y1245" s="41"/>
      <c r="Z1245" s="243"/>
    </row>
    <row r="1246" spans="1:26">
      <c r="A1246" s="150">
        <v>45775</v>
      </c>
      <c r="B1246" s="350" t="s">
        <v>108</v>
      </c>
      <c r="C1246" s="42">
        <v>4675768</v>
      </c>
      <c r="D1246" s="315">
        <f t="shared" si="187"/>
        <v>4931</v>
      </c>
      <c r="E1246" s="41"/>
      <c r="F1246" s="42">
        <v>11551349</v>
      </c>
      <c r="G1246" s="311">
        <f t="shared" si="185"/>
        <v>12321</v>
      </c>
      <c r="H1246" s="96"/>
      <c r="I1246" s="41"/>
      <c r="J1246" s="42">
        <v>6212324</v>
      </c>
      <c r="K1246" s="313">
        <f t="shared" si="184"/>
        <v>8850</v>
      </c>
      <c r="L1246" s="96"/>
      <c r="M1246" s="41"/>
      <c r="N1246" s="42">
        <v>1063298</v>
      </c>
      <c r="O1246" s="236">
        <f t="shared" si="186"/>
        <v>906</v>
      </c>
      <c r="P1246" s="358"/>
      <c r="Q1246" s="42">
        <v>712310</v>
      </c>
      <c r="R1246" s="314">
        <f t="shared" si="183"/>
        <v>0</v>
      </c>
      <c r="S1246" s="358"/>
      <c r="T1246" s="42">
        <v>121928</v>
      </c>
      <c r="U1246" s="348">
        <f t="shared" si="188"/>
        <v>0</v>
      </c>
      <c r="V1246" s="41"/>
      <c r="W1246" s="42">
        <v>49317</v>
      </c>
      <c r="X1246" s="349">
        <f t="shared" si="182"/>
        <v>0</v>
      </c>
      <c r="Y1246" s="41"/>
      <c r="Z1246" s="243"/>
    </row>
    <row r="1247" spans="1:26">
      <c r="A1247" s="150">
        <v>45776</v>
      </c>
      <c r="B1247" s="350" t="s">
        <v>109</v>
      </c>
      <c r="C1247" s="42">
        <v>4680699</v>
      </c>
      <c r="D1247" s="315">
        <f t="shared" si="187"/>
        <v>5535</v>
      </c>
      <c r="E1247" s="41"/>
      <c r="F1247" s="42">
        <v>11563670</v>
      </c>
      <c r="G1247" s="311">
        <f t="shared" si="185"/>
        <v>12913</v>
      </c>
      <c r="H1247" s="96"/>
      <c r="I1247" s="41"/>
      <c r="J1247" s="42">
        <v>6221174</v>
      </c>
      <c r="K1247" s="313">
        <f t="shared" si="184"/>
        <v>5435</v>
      </c>
      <c r="L1247" s="96"/>
      <c r="M1247" s="41"/>
      <c r="N1247" s="42">
        <v>1064204</v>
      </c>
      <c r="O1247" s="236">
        <f t="shared" si="186"/>
        <v>815</v>
      </c>
      <c r="P1247" s="358"/>
      <c r="Q1247" s="42">
        <v>712454</v>
      </c>
      <c r="R1247" s="314">
        <f t="shared" si="183"/>
        <v>144</v>
      </c>
      <c r="S1247" s="358"/>
      <c r="T1247" s="42">
        <v>121928</v>
      </c>
      <c r="U1247" s="348">
        <f t="shared" si="188"/>
        <v>0</v>
      </c>
      <c r="V1247" s="41"/>
      <c r="W1247" s="42">
        <v>49317</v>
      </c>
      <c r="X1247" s="349">
        <f t="shared" ref="X1247:X1310" si="189">W1248-W1247</f>
        <v>0</v>
      </c>
      <c r="Y1247" s="41"/>
      <c r="Z1247" s="243"/>
    </row>
    <row r="1248" spans="1:26">
      <c r="A1248" s="150">
        <v>45777</v>
      </c>
      <c r="B1248" s="350" t="s">
        <v>110</v>
      </c>
      <c r="C1248" s="42">
        <v>4686234</v>
      </c>
      <c r="D1248" s="315">
        <f t="shared" si="187"/>
        <v>18339</v>
      </c>
      <c r="E1248" s="41"/>
      <c r="F1248" s="42">
        <v>11576583</v>
      </c>
      <c r="G1248" s="311">
        <f t="shared" si="185"/>
        <v>53822</v>
      </c>
      <c r="H1248" s="96"/>
      <c r="I1248" s="41"/>
      <c r="J1248" s="42">
        <v>6226609</v>
      </c>
      <c r="K1248" s="313">
        <f t="shared" si="184"/>
        <v>31180</v>
      </c>
      <c r="L1248" s="96"/>
      <c r="M1248" s="41"/>
      <c r="N1248" s="42">
        <v>1065019</v>
      </c>
      <c r="O1248" s="236">
        <f t="shared" si="186"/>
        <v>1117</v>
      </c>
      <c r="P1248" s="358"/>
      <c r="Q1248" s="42">
        <v>712667</v>
      </c>
      <c r="R1248" s="314">
        <f t="shared" si="183"/>
        <v>213</v>
      </c>
      <c r="S1248" s="358"/>
      <c r="T1248" s="42">
        <v>121928</v>
      </c>
      <c r="U1248" s="348">
        <f t="shared" si="188"/>
        <v>8306</v>
      </c>
      <c r="V1248" s="41"/>
      <c r="W1248" s="42">
        <v>49317</v>
      </c>
      <c r="X1248" s="349">
        <f t="shared" si="189"/>
        <v>2</v>
      </c>
      <c r="Y1248" s="41"/>
      <c r="Z1248" s="243"/>
    </row>
    <row r="1249" spans="1:26">
      <c r="A1249" s="150">
        <v>45778</v>
      </c>
      <c r="B1249" s="350" t="s">
        <v>111</v>
      </c>
      <c r="C1249" s="42">
        <v>4704573</v>
      </c>
      <c r="D1249" s="315">
        <f t="shared" si="187"/>
        <v>0</v>
      </c>
      <c r="E1249" s="41"/>
      <c r="F1249" s="42">
        <v>11630405</v>
      </c>
      <c r="G1249" s="311">
        <f t="shared" si="185"/>
        <v>0</v>
      </c>
      <c r="H1249" s="96"/>
      <c r="I1249" s="41"/>
      <c r="J1249" s="42">
        <v>6257789</v>
      </c>
      <c r="K1249" s="313">
        <f t="shared" si="184"/>
        <v>0</v>
      </c>
      <c r="L1249" s="96"/>
      <c r="M1249" s="41"/>
      <c r="N1249" s="42">
        <v>1066136</v>
      </c>
      <c r="O1249" s="236">
        <f t="shared" si="186"/>
        <v>0</v>
      </c>
      <c r="P1249" s="358"/>
      <c r="Q1249" s="42">
        <v>713050</v>
      </c>
      <c r="R1249" s="314">
        <f t="shared" ref="R1249:R1313" si="190">Q1249-Q1248</f>
        <v>383</v>
      </c>
      <c r="S1249" s="358"/>
      <c r="T1249" s="42">
        <v>130234</v>
      </c>
      <c r="U1249" s="348">
        <f t="shared" si="188"/>
        <v>0</v>
      </c>
      <c r="V1249" s="41"/>
      <c r="W1249" s="42">
        <v>49319</v>
      </c>
      <c r="X1249" s="349">
        <f t="shared" si="189"/>
        <v>0</v>
      </c>
      <c r="Y1249" s="41"/>
      <c r="Z1249" s="243"/>
    </row>
    <row r="1250" spans="1:26">
      <c r="A1250" s="150">
        <v>45779</v>
      </c>
      <c r="B1250" s="350" t="s">
        <v>106</v>
      </c>
      <c r="C1250" s="42">
        <v>4704573</v>
      </c>
      <c r="D1250" s="315">
        <f t="shared" si="187"/>
        <v>0</v>
      </c>
      <c r="E1250" s="41"/>
      <c r="F1250" s="42">
        <v>11630405</v>
      </c>
      <c r="G1250" s="311">
        <f t="shared" si="185"/>
        <v>0</v>
      </c>
      <c r="H1250" s="96"/>
      <c r="I1250" s="41"/>
      <c r="J1250" s="42">
        <v>6257789</v>
      </c>
      <c r="K1250" s="313">
        <f t="shared" si="184"/>
        <v>0</v>
      </c>
      <c r="L1250" s="96"/>
      <c r="M1250" s="41"/>
      <c r="N1250" s="42">
        <v>1066136</v>
      </c>
      <c r="O1250" s="236">
        <f t="shared" si="186"/>
        <v>1291</v>
      </c>
      <c r="P1250" s="358"/>
      <c r="Q1250" s="42">
        <v>713050</v>
      </c>
      <c r="R1250" s="314">
        <f t="shared" si="190"/>
        <v>0</v>
      </c>
      <c r="S1250" s="358"/>
      <c r="T1250" s="42">
        <v>130234</v>
      </c>
      <c r="U1250" s="348">
        <f t="shared" si="188"/>
        <v>0</v>
      </c>
      <c r="V1250" s="41"/>
      <c r="W1250" s="42">
        <v>49319</v>
      </c>
      <c r="X1250" s="349">
        <f t="shared" si="189"/>
        <v>0</v>
      </c>
      <c r="Y1250" s="41"/>
      <c r="Z1250" s="243"/>
    </row>
    <row r="1251" spans="1:26">
      <c r="A1251" s="150">
        <v>45780</v>
      </c>
      <c r="B1251" s="350" t="s">
        <v>107</v>
      </c>
      <c r="C1251" s="42">
        <v>4704573</v>
      </c>
      <c r="D1251" s="315">
        <f t="shared" si="187"/>
        <v>0</v>
      </c>
      <c r="E1251" s="41"/>
      <c r="F1251" s="42">
        <v>11630405</v>
      </c>
      <c r="G1251" s="311">
        <f t="shared" si="185"/>
        <v>0</v>
      </c>
      <c r="H1251" s="96"/>
      <c r="I1251" s="41"/>
      <c r="J1251" s="42">
        <v>6257789</v>
      </c>
      <c r="K1251" s="313">
        <f t="shared" si="184"/>
        <v>0</v>
      </c>
      <c r="L1251" s="96"/>
      <c r="M1251" s="41"/>
      <c r="N1251" s="42">
        <v>1067427</v>
      </c>
      <c r="O1251" s="236">
        <f t="shared" si="186"/>
        <v>1463</v>
      </c>
      <c r="P1251" s="358"/>
      <c r="Q1251" s="42">
        <v>713675</v>
      </c>
      <c r="R1251" s="314">
        <f t="shared" si="190"/>
        <v>625</v>
      </c>
      <c r="S1251" s="358"/>
      <c r="T1251" s="42">
        <v>130234</v>
      </c>
      <c r="U1251" s="348">
        <f t="shared" si="188"/>
        <v>0</v>
      </c>
      <c r="V1251" s="41"/>
      <c r="W1251" s="42">
        <v>49319</v>
      </c>
      <c r="X1251" s="349">
        <f t="shared" si="189"/>
        <v>0</v>
      </c>
      <c r="Y1251" s="41"/>
      <c r="Z1251" s="243"/>
    </row>
    <row r="1252" spans="1:26">
      <c r="A1252" s="150">
        <v>45781</v>
      </c>
      <c r="B1252" s="350" t="s">
        <v>36</v>
      </c>
      <c r="C1252" s="42">
        <v>4704573</v>
      </c>
      <c r="D1252" s="315">
        <f t="shared" si="187"/>
        <v>0</v>
      </c>
      <c r="E1252" s="41"/>
      <c r="F1252" s="42">
        <v>11630405</v>
      </c>
      <c r="G1252" s="311">
        <f t="shared" si="185"/>
        <v>0</v>
      </c>
      <c r="H1252" s="96"/>
      <c r="I1252" s="41"/>
      <c r="J1252" s="42">
        <v>6257789</v>
      </c>
      <c r="K1252" s="313">
        <f t="shared" si="184"/>
        <v>0</v>
      </c>
      <c r="L1252" s="96"/>
      <c r="M1252" s="41"/>
      <c r="N1252" s="42">
        <v>1068890</v>
      </c>
      <c r="O1252" s="236">
        <f t="shared" si="186"/>
        <v>0</v>
      </c>
      <c r="P1252" s="358"/>
      <c r="Q1252" s="42">
        <v>713675</v>
      </c>
      <c r="R1252" s="314">
        <f t="shared" si="190"/>
        <v>0</v>
      </c>
      <c r="S1252" s="358"/>
      <c r="T1252" s="42">
        <v>130234</v>
      </c>
      <c r="U1252" s="348">
        <f t="shared" si="188"/>
        <v>0</v>
      </c>
      <c r="V1252" s="41"/>
      <c r="W1252" s="42">
        <v>49319</v>
      </c>
      <c r="X1252" s="349">
        <f t="shared" si="189"/>
        <v>0</v>
      </c>
      <c r="Y1252" s="41"/>
      <c r="Z1252" s="243"/>
    </row>
    <row r="1253" spans="1:26">
      <c r="A1253" s="150">
        <v>45782</v>
      </c>
      <c r="B1253" s="350" t="s">
        <v>108</v>
      </c>
      <c r="C1253" s="42">
        <v>4704573</v>
      </c>
      <c r="D1253" s="315">
        <f t="shared" si="187"/>
        <v>0</v>
      </c>
      <c r="E1253" s="41"/>
      <c r="F1253" s="42">
        <v>11630405</v>
      </c>
      <c r="G1253" s="311">
        <f t="shared" si="185"/>
        <v>0</v>
      </c>
      <c r="H1253" s="96"/>
      <c r="I1253" s="41"/>
      <c r="J1253" s="42">
        <v>6257789</v>
      </c>
      <c r="K1253" s="313">
        <f t="shared" si="184"/>
        <v>0</v>
      </c>
      <c r="L1253" s="96"/>
      <c r="M1253" s="41"/>
      <c r="N1253" s="42">
        <v>1068890</v>
      </c>
      <c r="O1253" s="236">
        <f t="shared" si="186"/>
        <v>819</v>
      </c>
      <c r="P1253" s="358"/>
      <c r="Q1253" s="42">
        <v>713675</v>
      </c>
      <c r="R1253" s="314">
        <f t="shared" si="190"/>
        <v>0</v>
      </c>
      <c r="S1253" s="358"/>
      <c r="T1253" s="42">
        <v>130234</v>
      </c>
      <c r="U1253" s="348">
        <f t="shared" si="188"/>
        <v>0</v>
      </c>
      <c r="V1253" s="41"/>
      <c r="W1253" s="42">
        <v>49319</v>
      </c>
      <c r="X1253" s="349">
        <f t="shared" si="189"/>
        <v>0</v>
      </c>
      <c r="Y1253" s="41"/>
      <c r="Z1253" s="243"/>
    </row>
    <row r="1254" spans="1:26">
      <c r="A1254" s="150">
        <v>45783</v>
      </c>
      <c r="B1254" s="350" t="s">
        <v>109</v>
      </c>
      <c r="C1254" s="42">
        <v>4704573</v>
      </c>
      <c r="D1254" s="315">
        <f t="shared" si="187"/>
        <v>5961</v>
      </c>
      <c r="E1254" s="41"/>
      <c r="F1254" s="42">
        <v>11630405</v>
      </c>
      <c r="G1254" s="311">
        <f t="shared" si="185"/>
        <v>13634</v>
      </c>
      <c r="H1254" s="96"/>
      <c r="I1254" s="41"/>
      <c r="J1254" s="42">
        <v>6257789</v>
      </c>
      <c r="K1254" s="313">
        <f t="shared" si="184"/>
        <v>6810</v>
      </c>
      <c r="L1254" s="96"/>
      <c r="M1254" s="41"/>
      <c r="N1254" s="42">
        <v>1069709</v>
      </c>
      <c r="O1254" s="236">
        <f t="shared" si="186"/>
        <v>811</v>
      </c>
      <c r="P1254" s="358"/>
      <c r="Q1254" s="42">
        <v>713872</v>
      </c>
      <c r="R1254" s="314">
        <f t="shared" si="190"/>
        <v>197</v>
      </c>
      <c r="S1254" s="358"/>
      <c r="T1254" s="42">
        <v>130234</v>
      </c>
      <c r="U1254" s="348">
        <f t="shared" si="188"/>
        <v>2912</v>
      </c>
      <c r="V1254" s="41"/>
      <c r="W1254" s="42">
        <v>49319</v>
      </c>
      <c r="X1254" s="349">
        <f t="shared" si="189"/>
        <v>1</v>
      </c>
      <c r="Y1254" s="41"/>
      <c r="Z1254" s="243"/>
    </row>
    <row r="1255" spans="1:26">
      <c r="A1255" s="150">
        <v>45784</v>
      </c>
      <c r="B1255" s="350" t="s">
        <v>110</v>
      </c>
      <c r="C1255" s="42">
        <v>4710534</v>
      </c>
      <c r="D1255" s="315">
        <f t="shared" si="187"/>
        <v>22598</v>
      </c>
      <c r="E1255" s="41"/>
      <c r="F1255" s="42">
        <v>11644039</v>
      </c>
      <c r="G1255" s="311">
        <f t="shared" si="185"/>
        <v>58147</v>
      </c>
      <c r="H1255" s="96"/>
      <c r="I1255" s="41"/>
      <c r="J1255" s="42">
        <v>6264599</v>
      </c>
      <c r="K1255" s="313">
        <f t="shared" si="184"/>
        <v>36240</v>
      </c>
      <c r="L1255" s="96"/>
      <c r="M1255" s="41"/>
      <c r="N1255" s="42">
        <v>1070520</v>
      </c>
      <c r="O1255" s="236">
        <f t="shared" si="186"/>
        <v>929</v>
      </c>
      <c r="P1255" s="358"/>
      <c r="Q1255" s="42">
        <v>714123</v>
      </c>
      <c r="R1255" s="314">
        <f t="shared" si="190"/>
        <v>251</v>
      </c>
      <c r="S1255" s="358"/>
      <c r="T1255" s="42">
        <v>133146</v>
      </c>
      <c r="U1255" s="348">
        <f t="shared" si="188"/>
        <v>0</v>
      </c>
      <c r="V1255" s="41"/>
      <c r="W1255" s="42">
        <v>49320</v>
      </c>
      <c r="X1255" s="349">
        <f t="shared" si="189"/>
        <v>0</v>
      </c>
      <c r="Y1255" s="41"/>
      <c r="Z1255" s="243"/>
    </row>
    <row r="1256" spans="1:26">
      <c r="A1256" s="150">
        <v>45785</v>
      </c>
      <c r="B1256" s="350" t="s">
        <v>111</v>
      </c>
      <c r="C1256" s="42">
        <v>4733132</v>
      </c>
      <c r="D1256" s="315">
        <f t="shared" si="187"/>
        <v>0</v>
      </c>
      <c r="E1256" s="41"/>
      <c r="F1256" s="42">
        <v>11702186</v>
      </c>
      <c r="G1256" s="311">
        <f t="shared" si="185"/>
        <v>0</v>
      </c>
      <c r="H1256" s="96"/>
      <c r="I1256" s="41"/>
      <c r="J1256" s="42">
        <v>6300839</v>
      </c>
      <c r="K1256" s="313">
        <f t="shared" si="184"/>
        <v>0</v>
      </c>
      <c r="L1256" s="96"/>
      <c r="M1256" s="41"/>
      <c r="N1256" s="42">
        <v>1071449</v>
      </c>
      <c r="O1256" s="236">
        <f t="shared" si="186"/>
        <v>731</v>
      </c>
      <c r="P1256" s="358"/>
      <c r="Q1256" s="42">
        <v>714345</v>
      </c>
      <c r="R1256" s="314">
        <f t="shared" si="190"/>
        <v>222</v>
      </c>
      <c r="S1256" s="358"/>
      <c r="T1256" s="42">
        <v>133146</v>
      </c>
      <c r="U1256" s="348">
        <f t="shared" si="188"/>
        <v>34223</v>
      </c>
      <c r="V1256" s="41"/>
      <c r="W1256" s="42">
        <v>49320</v>
      </c>
      <c r="X1256" s="349">
        <f t="shared" si="189"/>
        <v>26</v>
      </c>
      <c r="Y1256" s="41"/>
      <c r="Z1256" s="243"/>
    </row>
    <row r="1257" spans="1:26">
      <c r="A1257" s="150">
        <v>45786</v>
      </c>
      <c r="B1257" s="350" t="s">
        <v>106</v>
      </c>
      <c r="C1257" s="42">
        <v>4733132</v>
      </c>
      <c r="D1257" s="315">
        <f t="shared" si="187"/>
        <v>0</v>
      </c>
      <c r="E1257" s="41"/>
      <c r="F1257" s="42">
        <v>11702186</v>
      </c>
      <c r="G1257" s="311">
        <f t="shared" si="185"/>
        <v>0</v>
      </c>
      <c r="H1257" s="96"/>
      <c r="I1257" s="41"/>
      <c r="J1257" s="42">
        <v>6300839</v>
      </c>
      <c r="K1257" s="313">
        <f t="shared" si="184"/>
        <v>0</v>
      </c>
      <c r="L1257" s="96"/>
      <c r="M1257" s="41"/>
      <c r="N1257" s="42">
        <v>1072180</v>
      </c>
      <c r="O1257" s="236">
        <f t="shared" si="186"/>
        <v>1100</v>
      </c>
      <c r="P1257" s="358"/>
      <c r="Q1257" s="42">
        <v>714566</v>
      </c>
      <c r="R1257" s="314">
        <f t="shared" si="190"/>
        <v>221</v>
      </c>
      <c r="S1257" s="358"/>
      <c r="T1257" s="42">
        <v>167369</v>
      </c>
      <c r="U1257" s="348">
        <f t="shared" si="188"/>
        <v>0</v>
      </c>
      <c r="V1257" s="41"/>
      <c r="W1257" s="42">
        <v>49346</v>
      </c>
      <c r="X1257" s="349">
        <f t="shared" si="189"/>
        <v>0</v>
      </c>
      <c r="Y1257" s="41"/>
      <c r="Z1257" s="243"/>
    </row>
    <row r="1258" spans="1:26">
      <c r="A1258" s="150">
        <v>45787</v>
      </c>
      <c r="B1258" s="350" t="s">
        <v>107</v>
      </c>
      <c r="C1258" s="42">
        <v>4733132</v>
      </c>
      <c r="D1258" s="315">
        <f t="shared" si="187"/>
        <v>0</v>
      </c>
      <c r="E1258" s="41"/>
      <c r="F1258" s="42">
        <v>11702186</v>
      </c>
      <c r="G1258" s="311">
        <f t="shared" si="185"/>
        <v>0</v>
      </c>
      <c r="H1258" s="96"/>
      <c r="I1258" s="41"/>
      <c r="J1258" s="42">
        <v>6300839</v>
      </c>
      <c r="K1258" s="313">
        <f t="shared" si="184"/>
        <v>0</v>
      </c>
      <c r="L1258" s="96"/>
      <c r="M1258" s="41"/>
      <c r="N1258" s="42">
        <v>1073280</v>
      </c>
      <c r="O1258" s="236">
        <f t="shared" si="186"/>
        <v>1823</v>
      </c>
      <c r="P1258" s="358"/>
      <c r="Q1258" s="42">
        <v>714863</v>
      </c>
      <c r="R1258" s="314">
        <f t="shared" si="190"/>
        <v>297</v>
      </c>
      <c r="S1258" s="358"/>
      <c r="T1258" s="42">
        <v>167369</v>
      </c>
      <c r="U1258" s="348">
        <f t="shared" si="188"/>
        <v>0</v>
      </c>
      <c r="V1258" s="41"/>
      <c r="W1258" s="42">
        <v>49346</v>
      </c>
      <c r="X1258" s="349">
        <f t="shared" si="189"/>
        <v>0</v>
      </c>
      <c r="Y1258" s="41"/>
      <c r="Z1258" s="243"/>
    </row>
    <row r="1259" spans="1:26">
      <c r="A1259" s="150">
        <v>45788</v>
      </c>
      <c r="B1259" s="350" t="s">
        <v>36</v>
      </c>
      <c r="C1259" s="42">
        <v>4733132</v>
      </c>
      <c r="D1259" s="315">
        <f t="shared" si="187"/>
        <v>0</v>
      </c>
      <c r="E1259" s="41"/>
      <c r="F1259" s="42">
        <v>11702186</v>
      </c>
      <c r="G1259" s="311">
        <f t="shared" si="185"/>
        <v>0</v>
      </c>
      <c r="H1259" s="96"/>
      <c r="I1259" s="41"/>
      <c r="J1259" s="42">
        <v>6300839</v>
      </c>
      <c r="K1259" s="313">
        <f t="shared" si="184"/>
        <v>0</v>
      </c>
      <c r="L1259" s="96"/>
      <c r="M1259" s="41"/>
      <c r="N1259" s="42">
        <v>1075103</v>
      </c>
      <c r="O1259" s="236">
        <f t="shared" si="186"/>
        <v>0</v>
      </c>
      <c r="P1259" s="358"/>
      <c r="Q1259" s="42">
        <v>716287</v>
      </c>
      <c r="R1259" s="314">
        <f t="shared" si="190"/>
        <v>1424</v>
      </c>
      <c r="S1259" s="358"/>
      <c r="T1259" s="42">
        <v>167369</v>
      </c>
      <c r="U1259" s="348">
        <f t="shared" si="188"/>
        <v>0</v>
      </c>
      <c r="V1259" s="41"/>
      <c r="W1259" s="42">
        <v>49346</v>
      </c>
      <c r="X1259" s="349">
        <f t="shared" si="189"/>
        <v>0</v>
      </c>
      <c r="Y1259" s="41"/>
      <c r="Z1259" s="243"/>
    </row>
    <row r="1260" spans="1:26">
      <c r="A1260" s="150">
        <v>45789</v>
      </c>
      <c r="B1260" s="350" t="s">
        <v>108</v>
      </c>
      <c r="C1260" s="42">
        <v>4733132</v>
      </c>
      <c r="D1260" s="315">
        <f t="shared" si="187"/>
        <v>0</v>
      </c>
      <c r="E1260" s="41"/>
      <c r="F1260" s="42">
        <v>11702186</v>
      </c>
      <c r="G1260" s="311">
        <f t="shared" si="185"/>
        <v>0</v>
      </c>
      <c r="H1260" s="96"/>
      <c r="I1260" s="41"/>
      <c r="J1260" s="42">
        <v>6300839</v>
      </c>
      <c r="K1260" s="313">
        <f t="shared" si="184"/>
        <v>0</v>
      </c>
      <c r="L1260" s="96"/>
      <c r="M1260" s="41"/>
      <c r="N1260" s="42">
        <v>1075103</v>
      </c>
      <c r="O1260" s="236">
        <f t="shared" si="186"/>
        <v>804</v>
      </c>
      <c r="P1260" s="358"/>
      <c r="Q1260" s="42">
        <v>716287</v>
      </c>
      <c r="R1260" s="314">
        <f t="shared" si="190"/>
        <v>0</v>
      </c>
      <c r="S1260" s="358"/>
      <c r="T1260" s="42">
        <v>167369</v>
      </c>
      <c r="U1260" s="348">
        <f t="shared" si="188"/>
        <v>0</v>
      </c>
      <c r="V1260" s="41"/>
      <c r="W1260" s="42">
        <v>49346</v>
      </c>
      <c r="X1260" s="349">
        <f t="shared" si="189"/>
        <v>0</v>
      </c>
      <c r="Y1260" s="41"/>
      <c r="Z1260" s="243"/>
    </row>
    <row r="1261" spans="1:26">
      <c r="A1261" s="150">
        <v>45790</v>
      </c>
      <c r="B1261" s="350" t="s">
        <v>109</v>
      </c>
      <c r="C1261" s="42">
        <v>4733132</v>
      </c>
      <c r="D1261" s="315">
        <f t="shared" si="187"/>
        <v>4947</v>
      </c>
      <c r="E1261" s="41"/>
      <c r="F1261" s="42">
        <v>11702186</v>
      </c>
      <c r="G1261" s="311">
        <f t="shared" si="185"/>
        <v>11375</v>
      </c>
      <c r="H1261" s="96"/>
      <c r="I1261" s="41"/>
      <c r="J1261" s="42">
        <v>6300839</v>
      </c>
      <c r="K1261" s="313">
        <f t="shared" si="184"/>
        <v>4689</v>
      </c>
      <c r="L1261" s="96"/>
      <c r="M1261" s="41"/>
      <c r="N1261" s="42">
        <v>1075907</v>
      </c>
      <c r="O1261" s="236">
        <f t="shared" si="186"/>
        <v>886</v>
      </c>
      <c r="P1261" s="358"/>
      <c r="Q1261" s="42">
        <v>716287</v>
      </c>
      <c r="R1261" s="314">
        <f t="shared" si="190"/>
        <v>0</v>
      </c>
      <c r="S1261" s="358"/>
      <c r="T1261" s="42">
        <v>167369</v>
      </c>
      <c r="U1261" s="348">
        <f t="shared" si="188"/>
        <v>0</v>
      </c>
      <c r="V1261" s="41"/>
      <c r="W1261" s="42">
        <v>49346</v>
      </c>
      <c r="X1261" s="349">
        <f t="shared" si="189"/>
        <v>0</v>
      </c>
      <c r="Y1261" s="41"/>
      <c r="Z1261" s="243"/>
    </row>
    <row r="1262" spans="1:26">
      <c r="A1262" s="150">
        <v>45791</v>
      </c>
      <c r="B1262" s="350" t="s">
        <v>110</v>
      </c>
      <c r="C1262" s="42">
        <v>4738079</v>
      </c>
      <c r="D1262" s="315">
        <f t="shared" si="187"/>
        <v>5387</v>
      </c>
      <c r="E1262" s="41"/>
      <c r="F1262" s="42">
        <v>11713561</v>
      </c>
      <c r="G1262" s="311">
        <f t="shared" si="185"/>
        <v>12739</v>
      </c>
      <c r="H1262" s="96"/>
      <c r="I1262" s="41"/>
      <c r="J1262" s="42">
        <v>6305528</v>
      </c>
      <c r="K1262" s="313">
        <f t="shared" si="184"/>
        <v>7043</v>
      </c>
      <c r="L1262" s="96"/>
      <c r="M1262" s="41"/>
      <c r="N1262" s="42">
        <v>1076793</v>
      </c>
      <c r="O1262" s="236">
        <f t="shared" si="186"/>
        <v>742</v>
      </c>
      <c r="P1262" s="358"/>
      <c r="Q1262" s="42">
        <v>716927</v>
      </c>
      <c r="R1262" s="314">
        <f t="shared" si="190"/>
        <v>640</v>
      </c>
      <c r="S1262" s="358"/>
      <c r="T1262" s="42">
        <v>167369</v>
      </c>
      <c r="U1262" s="348">
        <f t="shared" si="188"/>
        <v>0</v>
      </c>
      <c r="V1262" s="41"/>
      <c r="W1262" s="42">
        <v>49346</v>
      </c>
      <c r="X1262" s="349">
        <f t="shared" si="189"/>
        <v>0</v>
      </c>
      <c r="Y1262" s="41"/>
      <c r="Z1262" s="243"/>
    </row>
    <row r="1263" spans="1:26">
      <c r="A1263" s="150">
        <v>45792</v>
      </c>
      <c r="B1263" s="350" t="s">
        <v>111</v>
      </c>
      <c r="C1263" s="42">
        <v>4743466</v>
      </c>
      <c r="D1263" s="315">
        <f t="shared" si="187"/>
        <v>5277</v>
      </c>
      <c r="E1263" s="41"/>
      <c r="F1263" s="42">
        <v>11726300</v>
      </c>
      <c r="G1263" s="311">
        <f t="shared" si="185"/>
        <v>12471</v>
      </c>
      <c r="H1263" s="96"/>
      <c r="I1263" s="41"/>
      <c r="J1263" s="42">
        <v>6312571</v>
      </c>
      <c r="K1263" s="313">
        <f t="shared" si="184"/>
        <v>10186</v>
      </c>
      <c r="L1263" s="96"/>
      <c r="M1263" s="41"/>
      <c r="N1263" s="42">
        <v>1077535</v>
      </c>
      <c r="O1263" s="236">
        <f t="shared" si="186"/>
        <v>786</v>
      </c>
      <c r="P1263" s="358"/>
      <c r="Q1263" s="42">
        <v>717562</v>
      </c>
      <c r="R1263" s="314">
        <f t="shared" si="190"/>
        <v>635</v>
      </c>
      <c r="S1263" s="358"/>
      <c r="T1263" s="42">
        <v>167369</v>
      </c>
      <c r="U1263" s="348">
        <f t="shared" si="188"/>
        <v>0</v>
      </c>
      <c r="V1263" s="41"/>
      <c r="W1263" s="42">
        <v>49346</v>
      </c>
      <c r="X1263" s="349">
        <f t="shared" si="189"/>
        <v>0</v>
      </c>
      <c r="Y1263" s="41"/>
      <c r="Z1263" s="243"/>
    </row>
    <row r="1264" spans="1:26">
      <c r="A1264" s="150">
        <v>45793</v>
      </c>
      <c r="B1264" s="350" t="s">
        <v>106</v>
      </c>
      <c r="C1264" s="42">
        <v>4748743</v>
      </c>
      <c r="D1264" s="315">
        <f t="shared" si="187"/>
        <v>11875</v>
      </c>
      <c r="E1264" s="41"/>
      <c r="F1264" s="42">
        <v>11738771</v>
      </c>
      <c r="G1264" s="311">
        <f t="shared" si="185"/>
        <v>35060</v>
      </c>
      <c r="H1264" s="96"/>
      <c r="I1264" s="41"/>
      <c r="J1264" s="42">
        <v>6322757</v>
      </c>
      <c r="K1264" s="313">
        <f t="shared" si="184"/>
        <v>20459</v>
      </c>
      <c r="L1264" s="96"/>
      <c r="M1264" s="41"/>
      <c r="N1264" s="42">
        <v>1078321</v>
      </c>
      <c r="O1264" s="236">
        <f t="shared" si="186"/>
        <v>926</v>
      </c>
      <c r="P1264" s="358"/>
      <c r="Q1264" s="42">
        <v>718235</v>
      </c>
      <c r="R1264" s="314">
        <f t="shared" si="190"/>
        <v>673</v>
      </c>
      <c r="S1264" s="358"/>
      <c r="T1264" s="42">
        <v>167369</v>
      </c>
      <c r="U1264" s="348">
        <f t="shared" si="188"/>
        <v>0</v>
      </c>
      <c r="V1264" s="41"/>
      <c r="W1264" s="42">
        <v>49346</v>
      </c>
      <c r="X1264" s="349">
        <f t="shared" si="189"/>
        <v>0</v>
      </c>
      <c r="Y1264" s="41"/>
      <c r="Z1264" s="243"/>
    </row>
    <row r="1265" spans="1:26">
      <c r="A1265" s="150">
        <v>45794</v>
      </c>
      <c r="B1265" s="350" t="s">
        <v>107</v>
      </c>
      <c r="C1265" s="42">
        <v>4760618</v>
      </c>
      <c r="D1265" s="315">
        <f t="shared" si="187"/>
        <v>0</v>
      </c>
      <c r="E1265" s="41"/>
      <c r="F1265" s="42">
        <v>11773831</v>
      </c>
      <c r="G1265" s="311">
        <f t="shared" si="185"/>
        <v>0</v>
      </c>
      <c r="H1265" s="96"/>
      <c r="I1265" s="41"/>
      <c r="J1265" s="42">
        <v>6343216</v>
      </c>
      <c r="K1265" s="313">
        <f t="shared" si="184"/>
        <v>0</v>
      </c>
      <c r="L1265" s="96"/>
      <c r="M1265" s="41"/>
      <c r="N1265" s="42">
        <v>1079247</v>
      </c>
      <c r="O1265" s="236">
        <f t="shared" si="186"/>
        <v>2221</v>
      </c>
      <c r="P1265" s="358"/>
      <c r="Q1265" s="42">
        <v>718966</v>
      </c>
      <c r="R1265" s="314">
        <f t="shared" si="190"/>
        <v>731</v>
      </c>
      <c r="S1265" s="358"/>
      <c r="T1265" s="42">
        <v>167369</v>
      </c>
      <c r="U1265" s="348">
        <f t="shared" si="188"/>
        <v>0</v>
      </c>
      <c r="V1265" s="41"/>
      <c r="W1265" s="42">
        <v>49346</v>
      </c>
      <c r="X1265" s="349">
        <f t="shared" si="189"/>
        <v>0</v>
      </c>
      <c r="Y1265" s="41"/>
      <c r="Z1265" s="243"/>
    </row>
    <row r="1266" spans="1:26">
      <c r="A1266" s="150">
        <v>45795</v>
      </c>
      <c r="B1266" s="350" t="s">
        <v>36</v>
      </c>
      <c r="C1266" s="42">
        <v>4760618</v>
      </c>
      <c r="D1266" s="315">
        <f t="shared" si="187"/>
        <v>0</v>
      </c>
      <c r="E1266" s="41"/>
      <c r="F1266" s="42">
        <v>11773831</v>
      </c>
      <c r="G1266" s="311">
        <f t="shared" si="185"/>
        <v>0</v>
      </c>
      <c r="H1266" s="96"/>
      <c r="I1266" s="41"/>
      <c r="J1266" s="42">
        <v>6343216</v>
      </c>
      <c r="K1266" s="313">
        <f t="shared" si="184"/>
        <v>0</v>
      </c>
      <c r="L1266" s="96"/>
      <c r="M1266" s="41"/>
      <c r="N1266" s="42">
        <v>1081468</v>
      </c>
      <c r="O1266" s="236">
        <f t="shared" si="186"/>
        <v>0</v>
      </c>
      <c r="P1266" s="358"/>
      <c r="Q1266" s="42">
        <v>720445</v>
      </c>
      <c r="R1266" s="314">
        <f t="shared" si="190"/>
        <v>1479</v>
      </c>
      <c r="S1266" s="358"/>
      <c r="T1266" s="42">
        <v>167369</v>
      </c>
      <c r="U1266" s="348">
        <f t="shared" si="188"/>
        <v>0</v>
      </c>
      <c r="V1266" s="41"/>
      <c r="W1266" s="42">
        <v>49346</v>
      </c>
      <c r="X1266" s="349">
        <f t="shared" si="189"/>
        <v>0</v>
      </c>
      <c r="Y1266" s="41"/>
      <c r="Z1266" s="243"/>
    </row>
    <row r="1267" spans="1:26">
      <c r="A1267" s="150">
        <v>45796</v>
      </c>
      <c r="B1267" s="350" t="s">
        <v>108</v>
      </c>
      <c r="C1267" s="42">
        <v>4760618</v>
      </c>
      <c r="D1267" s="315">
        <f t="shared" si="187"/>
        <v>0</v>
      </c>
      <c r="E1267" s="41"/>
      <c r="F1267" s="42">
        <v>11773831</v>
      </c>
      <c r="G1267" s="311">
        <f t="shared" si="185"/>
        <v>0</v>
      </c>
      <c r="H1267" s="96"/>
      <c r="I1267" s="41"/>
      <c r="J1267" s="42">
        <v>6343216</v>
      </c>
      <c r="K1267" s="313">
        <f t="shared" si="184"/>
        <v>0</v>
      </c>
      <c r="L1267" s="96"/>
      <c r="M1267" s="41"/>
      <c r="N1267" s="42">
        <v>1081468</v>
      </c>
      <c r="O1267" s="236">
        <f t="shared" si="186"/>
        <v>754</v>
      </c>
      <c r="P1267" s="358"/>
      <c r="Q1267" s="42">
        <v>720445</v>
      </c>
      <c r="R1267" s="314">
        <f t="shared" si="190"/>
        <v>0</v>
      </c>
      <c r="S1267" s="358"/>
      <c r="T1267" s="42">
        <v>167369</v>
      </c>
      <c r="U1267" s="348">
        <f t="shared" si="188"/>
        <v>0</v>
      </c>
      <c r="V1267" s="41"/>
      <c r="W1267" s="42">
        <v>49346</v>
      </c>
      <c r="X1267" s="349">
        <f t="shared" si="189"/>
        <v>0</v>
      </c>
      <c r="Y1267" s="41"/>
      <c r="Z1267" s="243"/>
    </row>
    <row r="1268" spans="1:26">
      <c r="A1268" s="150">
        <v>45797</v>
      </c>
      <c r="B1268" s="350" t="s">
        <v>109</v>
      </c>
      <c r="C1268" s="42">
        <v>4760618</v>
      </c>
      <c r="D1268" s="315">
        <f t="shared" si="187"/>
        <v>5786</v>
      </c>
      <c r="E1268" s="41"/>
      <c r="F1268" s="42">
        <v>11773831</v>
      </c>
      <c r="G1268" s="311">
        <f t="shared" si="185"/>
        <v>13304</v>
      </c>
      <c r="H1268" s="96"/>
      <c r="I1268" s="41"/>
      <c r="J1268" s="42">
        <v>6343216</v>
      </c>
      <c r="K1268" s="313">
        <f t="shared" si="184"/>
        <v>5569</v>
      </c>
      <c r="L1268" s="96"/>
      <c r="M1268" s="41"/>
      <c r="N1268" s="42">
        <v>1082222</v>
      </c>
      <c r="O1268" s="236">
        <f t="shared" si="186"/>
        <v>1009</v>
      </c>
      <c r="P1268" s="358"/>
      <c r="Q1268" s="42">
        <v>721194</v>
      </c>
      <c r="R1268" s="314">
        <f t="shared" si="190"/>
        <v>749</v>
      </c>
      <c r="S1268" s="358"/>
      <c r="T1268" s="42">
        <v>167369</v>
      </c>
      <c r="U1268" s="348">
        <f t="shared" si="188"/>
        <v>0</v>
      </c>
      <c r="V1268" s="41"/>
      <c r="W1268" s="42">
        <v>49346</v>
      </c>
      <c r="X1268" s="349">
        <f t="shared" si="189"/>
        <v>0</v>
      </c>
      <c r="Y1268" s="41"/>
      <c r="Z1268" s="243"/>
    </row>
    <row r="1269" spans="1:26">
      <c r="A1269" s="150">
        <v>45798</v>
      </c>
      <c r="B1269" s="350" t="s">
        <v>110</v>
      </c>
      <c r="C1269" s="42">
        <v>4766404</v>
      </c>
      <c r="D1269" s="315">
        <f t="shared" si="187"/>
        <v>6686</v>
      </c>
      <c r="E1269" s="41"/>
      <c r="F1269" s="42">
        <v>11787135</v>
      </c>
      <c r="G1269" s="311">
        <f t="shared" si="185"/>
        <v>15043</v>
      </c>
      <c r="H1269" s="96"/>
      <c r="I1269" s="41"/>
      <c r="J1269" s="42">
        <v>6348785</v>
      </c>
      <c r="K1269" s="313">
        <f t="shared" si="184"/>
        <v>10037</v>
      </c>
      <c r="L1269" s="96"/>
      <c r="M1269" s="41"/>
      <c r="N1269" s="42">
        <v>1083231</v>
      </c>
      <c r="O1269" s="236">
        <f t="shared" si="186"/>
        <v>864</v>
      </c>
      <c r="P1269" s="358"/>
      <c r="Q1269" s="42">
        <v>721935</v>
      </c>
      <c r="R1269" s="314">
        <f t="shared" si="190"/>
        <v>741</v>
      </c>
      <c r="S1269" s="358"/>
      <c r="T1269" s="42">
        <v>167369</v>
      </c>
      <c r="U1269" s="348">
        <f t="shared" si="188"/>
        <v>0</v>
      </c>
      <c r="V1269" s="41"/>
      <c r="W1269" s="42">
        <v>49346</v>
      </c>
      <c r="X1269" s="349">
        <f t="shared" si="189"/>
        <v>0</v>
      </c>
      <c r="Y1269" s="41"/>
      <c r="Z1269" s="243"/>
    </row>
    <row r="1270" spans="1:26">
      <c r="A1270" s="150">
        <v>45799</v>
      </c>
      <c r="B1270" s="350" t="s">
        <v>111</v>
      </c>
      <c r="C1270" s="42">
        <v>4773090</v>
      </c>
      <c r="D1270" s="315">
        <f t="shared" si="187"/>
        <v>4249</v>
      </c>
      <c r="E1270" s="41"/>
      <c r="F1270" s="42">
        <v>11802178</v>
      </c>
      <c r="G1270" s="311">
        <f t="shared" si="185"/>
        <v>10054</v>
      </c>
      <c r="H1270" s="96"/>
      <c r="I1270" s="41"/>
      <c r="J1270" s="42">
        <v>6358822</v>
      </c>
      <c r="K1270" s="313">
        <f t="shared" si="184"/>
        <v>5038</v>
      </c>
      <c r="L1270" s="96"/>
      <c r="M1270" s="41"/>
      <c r="N1270" s="42">
        <v>1084095</v>
      </c>
      <c r="O1270" s="236">
        <f t="shared" si="186"/>
        <v>1096</v>
      </c>
      <c r="P1270" s="358"/>
      <c r="Q1270" s="42">
        <v>725202</v>
      </c>
      <c r="R1270" s="314">
        <f t="shared" si="190"/>
        <v>3267</v>
      </c>
      <c r="S1270" s="358"/>
      <c r="T1270" s="42">
        <v>167369</v>
      </c>
      <c r="U1270" s="348">
        <f t="shared" si="188"/>
        <v>0</v>
      </c>
      <c r="V1270" s="41"/>
      <c r="W1270" s="42">
        <v>49346</v>
      </c>
      <c r="X1270" s="349">
        <f t="shared" si="189"/>
        <v>0</v>
      </c>
      <c r="Y1270" s="41"/>
      <c r="Z1270" s="243"/>
    </row>
    <row r="1271" spans="1:26">
      <c r="A1271" s="150">
        <v>45800</v>
      </c>
      <c r="B1271" s="350" t="s">
        <v>106</v>
      </c>
      <c r="C1271" s="42">
        <v>4777339</v>
      </c>
      <c r="D1271" s="315">
        <f t="shared" si="187"/>
        <v>10974</v>
      </c>
      <c r="E1271" s="41"/>
      <c r="F1271" s="42">
        <v>11812232</v>
      </c>
      <c r="G1271" s="311">
        <f t="shared" si="185"/>
        <v>32719</v>
      </c>
      <c r="H1271" s="96"/>
      <c r="I1271" s="41"/>
      <c r="J1271" s="42">
        <v>6363860</v>
      </c>
      <c r="K1271" s="313">
        <f t="shared" si="184"/>
        <v>19257</v>
      </c>
      <c r="L1271" s="96"/>
      <c r="M1271" s="41"/>
      <c r="N1271" s="42">
        <v>1085191</v>
      </c>
      <c r="O1271" s="236">
        <f t="shared" si="186"/>
        <v>928</v>
      </c>
      <c r="P1271" s="358"/>
      <c r="Q1271" s="42">
        <v>725257</v>
      </c>
      <c r="R1271" s="314">
        <f t="shared" si="190"/>
        <v>55</v>
      </c>
      <c r="S1271" s="358"/>
      <c r="T1271" s="42">
        <v>167369</v>
      </c>
      <c r="U1271" s="348">
        <f t="shared" si="188"/>
        <v>0</v>
      </c>
      <c r="V1271" s="41"/>
      <c r="W1271" s="42">
        <v>49346</v>
      </c>
      <c r="X1271" s="349">
        <f t="shared" si="189"/>
        <v>0</v>
      </c>
      <c r="Y1271" s="41"/>
      <c r="Z1271" s="243"/>
    </row>
    <row r="1272" spans="1:26">
      <c r="A1272" s="150">
        <v>45801</v>
      </c>
      <c r="B1272" s="350" t="s">
        <v>107</v>
      </c>
      <c r="C1272" s="42">
        <v>4788313</v>
      </c>
      <c r="D1272" s="315">
        <f t="shared" si="187"/>
        <v>0</v>
      </c>
      <c r="E1272" s="41"/>
      <c r="F1272" s="42">
        <v>11844951</v>
      </c>
      <c r="G1272" s="311">
        <f t="shared" si="185"/>
        <v>0</v>
      </c>
      <c r="H1272" s="96"/>
      <c r="I1272" s="41"/>
      <c r="J1272" s="42">
        <v>6383117</v>
      </c>
      <c r="K1272" s="313">
        <f t="shared" ref="K1272:K1330" si="191">IF(J1273&gt;0,J1273-J1272," ")</f>
        <v>0</v>
      </c>
      <c r="L1272" s="96"/>
      <c r="M1272" s="41"/>
      <c r="N1272" s="42">
        <v>1086119</v>
      </c>
      <c r="O1272" s="236">
        <f t="shared" si="186"/>
        <v>2258</v>
      </c>
      <c r="P1272" s="358"/>
      <c r="Q1272" s="42">
        <v>725522</v>
      </c>
      <c r="R1272" s="314">
        <f t="shared" si="190"/>
        <v>265</v>
      </c>
      <c r="S1272" s="358"/>
      <c r="T1272" s="42">
        <v>167369</v>
      </c>
      <c r="U1272" s="348">
        <f t="shared" si="188"/>
        <v>0</v>
      </c>
      <c r="V1272" s="41"/>
      <c r="W1272" s="42">
        <v>49346</v>
      </c>
      <c r="X1272" s="349">
        <f t="shared" si="189"/>
        <v>0</v>
      </c>
      <c r="Y1272" s="41"/>
      <c r="Z1272" s="243"/>
    </row>
    <row r="1273" spans="1:26">
      <c r="A1273" s="150">
        <v>45802</v>
      </c>
      <c r="B1273" s="350" t="s">
        <v>36</v>
      </c>
      <c r="C1273" s="42">
        <v>4788313</v>
      </c>
      <c r="D1273" s="315">
        <f t="shared" si="187"/>
        <v>0</v>
      </c>
      <c r="E1273" s="41"/>
      <c r="F1273" s="42">
        <v>11844951</v>
      </c>
      <c r="G1273" s="311">
        <f t="shared" si="185"/>
        <v>0</v>
      </c>
      <c r="H1273" s="96"/>
      <c r="I1273" s="41"/>
      <c r="J1273" s="42">
        <v>6383117</v>
      </c>
      <c r="K1273" s="313">
        <f t="shared" si="191"/>
        <v>0</v>
      </c>
      <c r="L1273" s="96"/>
      <c r="M1273" s="41"/>
      <c r="N1273" s="42">
        <v>1088377</v>
      </c>
      <c r="O1273" s="236">
        <f t="shared" si="186"/>
        <v>0</v>
      </c>
      <c r="P1273" s="358"/>
      <c r="Q1273" s="42">
        <v>725779</v>
      </c>
      <c r="R1273" s="314">
        <f t="shared" si="190"/>
        <v>257</v>
      </c>
      <c r="S1273" s="358"/>
      <c r="T1273" s="42">
        <v>167369</v>
      </c>
      <c r="U1273" s="348">
        <f t="shared" si="188"/>
        <v>0</v>
      </c>
      <c r="V1273" s="41"/>
      <c r="W1273" s="42">
        <v>49346</v>
      </c>
      <c r="X1273" s="349">
        <f t="shared" si="189"/>
        <v>0</v>
      </c>
      <c r="Y1273" s="41"/>
      <c r="Z1273" s="243"/>
    </row>
    <row r="1274" spans="1:26">
      <c r="A1274" s="150">
        <v>45803</v>
      </c>
      <c r="B1274" s="350" t="s">
        <v>108</v>
      </c>
      <c r="C1274" s="42">
        <v>4788313</v>
      </c>
      <c r="D1274" s="315">
        <f t="shared" si="187"/>
        <v>0</v>
      </c>
      <c r="E1274" s="41"/>
      <c r="F1274" s="42">
        <v>11844951</v>
      </c>
      <c r="G1274" s="311">
        <f t="shared" ref="G1274:G1330" si="192">IF(F1275&gt;0,F1275-F1274," ")</f>
        <v>0</v>
      </c>
      <c r="H1274" s="96"/>
      <c r="I1274" s="41"/>
      <c r="J1274" s="42">
        <v>6383117</v>
      </c>
      <c r="K1274" s="313">
        <f t="shared" si="191"/>
        <v>0</v>
      </c>
      <c r="L1274" s="96"/>
      <c r="M1274" s="41"/>
      <c r="N1274" s="42">
        <v>1088377</v>
      </c>
      <c r="O1274" s="236">
        <f t="shared" si="186"/>
        <v>951</v>
      </c>
      <c r="P1274" s="358"/>
      <c r="Q1274" s="42">
        <v>725779</v>
      </c>
      <c r="R1274" s="314">
        <f t="shared" si="190"/>
        <v>0</v>
      </c>
      <c r="S1274" s="358"/>
      <c r="T1274" s="42">
        <v>167369</v>
      </c>
      <c r="U1274" s="348">
        <f t="shared" si="188"/>
        <v>0</v>
      </c>
      <c r="V1274" s="41"/>
      <c r="W1274" s="42">
        <v>49346</v>
      </c>
      <c r="X1274" s="349">
        <f t="shared" si="189"/>
        <v>0</v>
      </c>
      <c r="Y1274" s="41"/>
      <c r="Z1274" s="243"/>
    </row>
    <row r="1275" spans="1:26">
      <c r="A1275" s="150">
        <v>45804</v>
      </c>
      <c r="B1275" s="350" t="s">
        <v>109</v>
      </c>
      <c r="C1275" s="42">
        <v>4788313</v>
      </c>
      <c r="D1275" s="315">
        <f t="shared" si="187"/>
        <v>7762</v>
      </c>
      <c r="E1275" s="41"/>
      <c r="F1275" s="42">
        <v>11844951</v>
      </c>
      <c r="G1275" s="311">
        <f t="shared" si="192"/>
        <v>15344</v>
      </c>
      <c r="H1275" s="96"/>
      <c r="I1275" s="41"/>
      <c r="J1275" s="42">
        <v>6383117</v>
      </c>
      <c r="K1275" s="313">
        <f t="shared" si="191"/>
        <v>9336</v>
      </c>
      <c r="L1275" s="96"/>
      <c r="M1275" s="41"/>
      <c r="N1275" s="42">
        <v>1089328</v>
      </c>
      <c r="O1275" s="236">
        <f t="shared" si="186"/>
        <v>877</v>
      </c>
      <c r="P1275" s="358"/>
      <c r="Q1275" s="42">
        <v>725999</v>
      </c>
      <c r="R1275" s="314">
        <f t="shared" si="190"/>
        <v>220</v>
      </c>
      <c r="S1275" s="358"/>
      <c r="T1275" s="42">
        <v>167369</v>
      </c>
      <c r="U1275" s="348">
        <f t="shared" si="188"/>
        <v>0</v>
      </c>
      <c r="V1275" s="41"/>
      <c r="W1275" s="42">
        <v>49346</v>
      </c>
      <c r="X1275" s="349">
        <f t="shared" si="189"/>
        <v>0</v>
      </c>
      <c r="Y1275" s="41"/>
      <c r="Z1275" s="243"/>
    </row>
    <row r="1276" spans="1:26">
      <c r="A1276" s="150">
        <v>45805</v>
      </c>
      <c r="B1276" s="350" t="s">
        <v>110</v>
      </c>
      <c r="C1276" s="42">
        <v>4796075</v>
      </c>
      <c r="D1276" s="315">
        <f t="shared" si="187"/>
        <v>5379</v>
      </c>
      <c r="E1276" s="41"/>
      <c r="F1276" s="42">
        <v>11860295</v>
      </c>
      <c r="G1276" s="311">
        <f t="shared" si="192"/>
        <v>12055</v>
      </c>
      <c r="H1276" s="96"/>
      <c r="I1276" s="41"/>
      <c r="J1276" s="42">
        <v>6392453</v>
      </c>
      <c r="K1276" s="313">
        <f t="shared" si="191"/>
        <v>6080</v>
      </c>
      <c r="L1276" s="96"/>
      <c r="M1276" s="41"/>
      <c r="N1276" s="42">
        <v>1090205</v>
      </c>
      <c r="O1276" s="236">
        <f t="shared" si="186"/>
        <v>842</v>
      </c>
      <c r="P1276" s="358"/>
      <c r="Q1276" s="42">
        <v>726170</v>
      </c>
      <c r="R1276" s="314">
        <f t="shared" si="190"/>
        <v>171</v>
      </c>
      <c r="S1276" s="358"/>
      <c r="T1276" s="42">
        <v>167369</v>
      </c>
      <c r="U1276" s="348">
        <f t="shared" si="188"/>
        <v>0</v>
      </c>
      <c r="V1276" s="41"/>
      <c r="W1276" s="42">
        <v>49346</v>
      </c>
      <c r="X1276" s="349">
        <f t="shared" si="189"/>
        <v>0</v>
      </c>
      <c r="Y1276" s="41"/>
      <c r="Z1276" s="243"/>
    </row>
    <row r="1277" spans="1:26">
      <c r="A1277" s="150">
        <v>45806</v>
      </c>
      <c r="B1277" s="350" t="s">
        <v>111</v>
      </c>
      <c r="C1277" s="42">
        <v>4801454</v>
      </c>
      <c r="D1277" s="315">
        <f t="shared" si="187"/>
        <v>8068</v>
      </c>
      <c r="E1277" s="41"/>
      <c r="F1277" s="42">
        <v>11872350</v>
      </c>
      <c r="G1277" s="311">
        <f t="shared" si="192"/>
        <v>15792</v>
      </c>
      <c r="H1277" s="96"/>
      <c r="I1277" s="41"/>
      <c r="J1277" s="42">
        <v>6398533</v>
      </c>
      <c r="K1277" s="313">
        <f t="shared" si="191"/>
        <v>10832</v>
      </c>
      <c r="L1277" s="96"/>
      <c r="M1277" s="41"/>
      <c r="N1277" s="42">
        <v>1091047</v>
      </c>
      <c r="O1277" s="236">
        <f t="shared" si="186"/>
        <v>1148</v>
      </c>
      <c r="P1277" s="358"/>
      <c r="Q1277" s="42">
        <v>726331</v>
      </c>
      <c r="R1277" s="314">
        <f t="shared" si="190"/>
        <v>161</v>
      </c>
      <c r="S1277" s="358"/>
      <c r="T1277" s="42">
        <v>167369</v>
      </c>
      <c r="U1277" s="348">
        <f t="shared" si="188"/>
        <v>0</v>
      </c>
      <c r="V1277" s="41"/>
      <c r="W1277" s="42">
        <v>49346</v>
      </c>
      <c r="X1277" s="349">
        <f t="shared" si="189"/>
        <v>0</v>
      </c>
      <c r="Y1277" s="41"/>
      <c r="Z1277" s="243"/>
    </row>
    <row r="1278" spans="1:26">
      <c r="A1278" s="150">
        <v>45807</v>
      </c>
      <c r="B1278" s="350" t="s">
        <v>106</v>
      </c>
      <c r="C1278" s="42">
        <v>4809522</v>
      </c>
      <c r="D1278" s="315">
        <f t="shared" si="187"/>
        <v>124363</v>
      </c>
      <c r="E1278" s="41"/>
      <c r="F1278" s="42">
        <v>11888142</v>
      </c>
      <c r="G1278" s="311">
        <f t="shared" si="192"/>
        <v>335690</v>
      </c>
      <c r="H1278" s="96"/>
      <c r="I1278" s="41"/>
      <c r="J1278" s="42">
        <v>6409365</v>
      </c>
      <c r="K1278" s="313">
        <f t="shared" si="191"/>
        <v>184701</v>
      </c>
      <c r="L1278" s="96"/>
      <c r="M1278" s="41"/>
      <c r="N1278" s="42">
        <v>1092195</v>
      </c>
      <c r="O1278" s="236">
        <f t="shared" si="186"/>
        <v>779</v>
      </c>
      <c r="P1278" s="358"/>
      <c r="Q1278" s="42">
        <v>726509</v>
      </c>
      <c r="R1278" s="314">
        <f t="shared" si="190"/>
        <v>178</v>
      </c>
      <c r="S1278" s="358"/>
      <c r="T1278" s="42">
        <v>167369</v>
      </c>
      <c r="U1278" s="348">
        <f t="shared" si="188"/>
        <v>46018</v>
      </c>
      <c r="V1278" s="41"/>
      <c r="W1278" s="42">
        <v>49346</v>
      </c>
      <c r="X1278" s="349">
        <f t="shared" si="189"/>
        <v>98</v>
      </c>
      <c r="Y1278" s="41"/>
      <c r="Z1278" s="243"/>
    </row>
    <row r="1279" spans="1:26">
      <c r="A1279" s="150">
        <v>45808</v>
      </c>
      <c r="B1279" s="350" t="s">
        <v>107</v>
      </c>
      <c r="C1279" s="42">
        <v>4933885</v>
      </c>
      <c r="D1279" s="315">
        <f t="shared" si="187"/>
        <v>0</v>
      </c>
      <c r="E1279" s="41"/>
      <c r="F1279" s="42">
        <v>12223832</v>
      </c>
      <c r="G1279" s="311">
        <f t="shared" si="192"/>
        <v>0</v>
      </c>
      <c r="H1279" s="96"/>
      <c r="I1279" s="41"/>
      <c r="J1279" s="42">
        <v>6594066</v>
      </c>
      <c r="K1279" s="313">
        <f t="shared" si="191"/>
        <v>0</v>
      </c>
      <c r="L1279" s="96"/>
      <c r="M1279" s="41"/>
      <c r="N1279" s="42">
        <v>1092974</v>
      </c>
      <c r="O1279" s="236">
        <f t="shared" si="186"/>
        <v>1855</v>
      </c>
      <c r="P1279" s="358"/>
      <c r="Q1279" s="42">
        <v>726696</v>
      </c>
      <c r="R1279" s="314">
        <f t="shared" si="190"/>
        <v>187</v>
      </c>
      <c r="S1279" s="358"/>
      <c r="T1279" s="42">
        <v>213387</v>
      </c>
      <c r="U1279" s="348">
        <f t="shared" si="188"/>
        <v>0</v>
      </c>
      <c r="V1279" s="41"/>
      <c r="W1279" s="42">
        <v>49444</v>
      </c>
      <c r="X1279" s="349">
        <f t="shared" si="189"/>
        <v>0</v>
      </c>
      <c r="Y1279" s="41"/>
      <c r="Z1279" s="243"/>
    </row>
    <row r="1280" spans="1:26">
      <c r="A1280" s="150">
        <v>45809</v>
      </c>
      <c r="B1280" s="350" t="s">
        <v>36</v>
      </c>
      <c r="C1280" s="42">
        <v>4933885</v>
      </c>
      <c r="D1280" s="315">
        <f t="shared" si="187"/>
        <v>0</v>
      </c>
      <c r="E1280" s="41"/>
      <c r="F1280" s="42">
        <v>12223832</v>
      </c>
      <c r="G1280" s="311">
        <f t="shared" si="192"/>
        <v>0</v>
      </c>
      <c r="H1280" s="96"/>
      <c r="I1280" s="41"/>
      <c r="J1280" s="42">
        <v>6594066</v>
      </c>
      <c r="K1280" s="313">
        <f t="shared" si="191"/>
        <v>0</v>
      </c>
      <c r="L1280" s="96"/>
      <c r="M1280" s="41"/>
      <c r="N1280" s="42">
        <v>1094829</v>
      </c>
      <c r="O1280" s="236">
        <f t="shared" si="186"/>
        <v>0</v>
      </c>
      <c r="P1280" s="358"/>
      <c r="Q1280" s="42">
        <v>726982</v>
      </c>
      <c r="R1280" s="314">
        <f t="shared" si="190"/>
        <v>286</v>
      </c>
      <c r="S1280" s="358"/>
      <c r="T1280" s="42">
        <v>213387</v>
      </c>
      <c r="U1280" s="348">
        <f t="shared" si="188"/>
        <v>0</v>
      </c>
      <c r="V1280" s="41"/>
      <c r="W1280" s="42">
        <v>49444</v>
      </c>
      <c r="X1280" s="349">
        <f t="shared" si="189"/>
        <v>0</v>
      </c>
      <c r="Y1280" s="41"/>
      <c r="Z1280" s="243"/>
    </row>
    <row r="1281" spans="1:26">
      <c r="A1281" s="150">
        <v>45810</v>
      </c>
      <c r="B1281" s="350" t="s">
        <v>108</v>
      </c>
      <c r="C1281" s="42">
        <v>4933885</v>
      </c>
      <c r="D1281" s="315">
        <f t="shared" si="187"/>
        <v>0</v>
      </c>
      <c r="E1281" s="41"/>
      <c r="F1281" s="42">
        <v>12223832</v>
      </c>
      <c r="G1281" s="311">
        <f t="shared" si="192"/>
        <v>0</v>
      </c>
      <c r="H1281" s="96"/>
      <c r="I1281" s="41"/>
      <c r="J1281" s="42">
        <v>6594066</v>
      </c>
      <c r="K1281" s="313">
        <f t="shared" si="191"/>
        <v>0</v>
      </c>
      <c r="L1281" s="96"/>
      <c r="M1281" s="41"/>
      <c r="N1281" s="42">
        <v>1094829</v>
      </c>
      <c r="O1281" s="236">
        <f t="shared" ref="O1281:O1330" si="193">N1282-N1281</f>
        <v>830</v>
      </c>
      <c r="P1281" s="358"/>
      <c r="Q1281" s="42">
        <v>726982</v>
      </c>
      <c r="R1281" s="314">
        <f t="shared" si="190"/>
        <v>0</v>
      </c>
      <c r="S1281" s="358"/>
      <c r="T1281" s="42">
        <v>213387</v>
      </c>
      <c r="U1281" s="348">
        <f t="shared" si="188"/>
        <v>0</v>
      </c>
      <c r="V1281" s="41"/>
      <c r="W1281" s="42">
        <v>49444</v>
      </c>
      <c r="X1281" s="349">
        <f t="shared" si="189"/>
        <v>0</v>
      </c>
      <c r="Y1281" s="41"/>
      <c r="Z1281" s="243"/>
    </row>
    <row r="1282" spans="1:26">
      <c r="A1282" s="150">
        <v>45811</v>
      </c>
      <c r="B1282" s="350" t="s">
        <v>109</v>
      </c>
      <c r="C1282" s="42">
        <v>4933885</v>
      </c>
      <c r="D1282" s="315">
        <f t="shared" si="187"/>
        <v>0</v>
      </c>
      <c r="E1282" s="41"/>
      <c r="F1282" s="42">
        <v>12223832</v>
      </c>
      <c r="G1282" s="311">
        <f t="shared" si="192"/>
        <v>0</v>
      </c>
      <c r="H1282" s="96"/>
      <c r="I1282" s="41"/>
      <c r="J1282" s="42">
        <v>6594066</v>
      </c>
      <c r="K1282" s="313">
        <f t="shared" si="191"/>
        <v>0</v>
      </c>
      <c r="L1282" s="96"/>
      <c r="M1282" s="41"/>
      <c r="N1282" s="42">
        <v>1095659</v>
      </c>
      <c r="O1282" s="236">
        <f t="shared" si="193"/>
        <v>686</v>
      </c>
      <c r="P1282" s="358"/>
      <c r="Q1282" s="42">
        <v>727187</v>
      </c>
      <c r="R1282" s="314">
        <f t="shared" si="190"/>
        <v>205</v>
      </c>
      <c r="S1282" s="358"/>
      <c r="T1282" s="42">
        <v>213387</v>
      </c>
      <c r="U1282" s="348">
        <f t="shared" si="188"/>
        <v>0</v>
      </c>
      <c r="V1282" s="41"/>
      <c r="W1282" s="42">
        <v>49444</v>
      </c>
      <c r="X1282" s="349">
        <f t="shared" si="189"/>
        <v>0</v>
      </c>
      <c r="Y1282" s="41"/>
      <c r="Z1282" s="243"/>
    </row>
    <row r="1283" spans="1:26">
      <c r="A1283" s="150">
        <v>45812</v>
      </c>
      <c r="B1283" s="350" t="s">
        <v>110</v>
      </c>
      <c r="C1283" s="42">
        <v>4933885</v>
      </c>
      <c r="D1283" s="315">
        <f t="shared" si="187"/>
        <v>0</v>
      </c>
      <c r="E1283" s="41"/>
      <c r="F1283" s="42">
        <v>12223832</v>
      </c>
      <c r="G1283" s="311">
        <f t="shared" si="192"/>
        <v>0</v>
      </c>
      <c r="H1283" s="96"/>
      <c r="I1283" s="41"/>
      <c r="J1283" s="42">
        <v>6594066</v>
      </c>
      <c r="K1283" s="313">
        <f t="shared" si="191"/>
        <v>0</v>
      </c>
      <c r="L1283" s="96"/>
      <c r="M1283" s="41"/>
      <c r="N1283" s="42">
        <v>1096345</v>
      </c>
      <c r="O1283" s="236">
        <f t="shared" si="193"/>
        <v>811</v>
      </c>
      <c r="P1283" s="358"/>
      <c r="Q1283" s="42">
        <v>727274</v>
      </c>
      <c r="R1283" s="314">
        <f t="shared" si="190"/>
        <v>87</v>
      </c>
      <c r="S1283" s="358"/>
      <c r="T1283" s="42">
        <v>213387</v>
      </c>
      <c r="U1283" s="348">
        <f t="shared" si="188"/>
        <v>0</v>
      </c>
      <c r="V1283" s="41"/>
      <c r="W1283" s="42">
        <v>49444</v>
      </c>
      <c r="X1283" s="349">
        <f t="shared" si="189"/>
        <v>0</v>
      </c>
      <c r="Y1283" s="41"/>
      <c r="Z1283" s="243"/>
    </row>
    <row r="1284" spans="1:26">
      <c r="A1284" s="150">
        <v>45813</v>
      </c>
      <c r="B1284" s="350" t="s">
        <v>111</v>
      </c>
      <c r="C1284" s="42">
        <v>4933885</v>
      </c>
      <c r="D1284" s="315">
        <f t="shared" si="187"/>
        <v>0</v>
      </c>
      <c r="E1284" s="41"/>
      <c r="F1284" s="42">
        <v>12223832</v>
      </c>
      <c r="G1284" s="311">
        <f t="shared" si="192"/>
        <v>0</v>
      </c>
      <c r="H1284" s="96"/>
      <c r="I1284" s="41"/>
      <c r="J1284" s="42">
        <v>6594066</v>
      </c>
      <c r="K1284" s="313">
        <f t="shared" si="191"/>
        <v>0</v>
      </c>
      <c r="L1284" s="96"/>
      <c r="M1284" s="41"/>
      <c r="N1284" s="42">
        <v>1097156</v>
      </c>
      <c r="O1284" s="236">
        <f t="shared" si="193"/>
        <v>736</v>
      </c>
      <c r="P1284" s="358"/>
      <c r="Q1284" s="42">
        <v>727462</v>
      </c>
      <c r="R1284" s="314">
        <f t="shared" si="190"/>
        <v>188</v>
      </c>
      <c r="S1284" s="358"/>
      <c r="T1284" s="42">
        <v>213387</v>
      </c>
      <c r="U1284" s="348">
        <f t="shared" si="188"/>
        <v>0</v>
      </c>
      <c r="V1284" s="41"/>
      <c r="W1284" s="42">
        <v>49444</v>
      </c>
      <c r="X1284" s="349">
        <f t="shared" si="189"/>
        <v>0</v>
      </c>
      <c r="Y1284" s="41"/>
      <c r="Z1284" s="243"/>
    </row>
    <row r="1285" spans="1:26">
      <c r="A1285" s="150">
        <v>45814</v>
      </c>
      <c r="B1285" s="350" t="s">
        <v>106</v>
      </c>
      <c r="C1285" s="42">
        <v>4933885</v>
      </c>
      <c r="D1285" s="315">
        <f t="shared" ref="D1285:D1330" si="194">IF(C1286&gt;0,C1286-C1285," ")</f>
        <v>0</v>
      </c>
      <c r="E1285" s="41"/>
      <c r="F1285" s="42">
        <v>12223832</v>
      </c>
      <c r="G1285" s="311">
        <f t="shared" si="192"/>
        <v>0</v>
      </c>
      <c r="H1285" s="96"/>
      <c r="I1285" s="41"/>
      <c r="J1285" s="42">
        <v>6594066</v>
      </c>
      <c r="K1285" s="313">
        <f t="shared" si="191"/>
        <v>0</v>
      </c>
      <c r="L1285" s="96"/>
      <c r="M1285" s="41"/>
      <c r="N1285" s="42">
        <v>1097892</v>
      </c>
      <c r="O1285" s="236">
        <f t="shared" si="193"/>
        <v>917</v>
      </c>
      <c r="P1285" s="358"/>
      <c r="Q1285" s="42">
        <v>727658</v>
      </c>
      <c r="R1285" s="314">
        <f t="shared" si="190"/>
        <v>196</v>
      </c>
      <c r="S1285" s="358"/>
      <c r="T1285" s="42">
        <v>213387</v>
      </c>
      <c r="U1285" s="348">
        <f t="shared" si="188"/>
        <v>0</v>
      </c>
      <c r="V1285" s="41"/>
      <c r="W1285" s="42">
        <v>49444</v>
      </c>
      <c r="X1285" s="349">
        <f t="shared" si="189"/>
        <v>0</v>
      </c>
      <c r="Y1285" s="41"/>
      <c r="Z1285" s="243"/>
    </row>
    <row r="1286" spans="1:26">
      <c r="A1286" s="150">
        <v>45815</v>
      </c>
      <c r="B1286" s="350" t="s">
        <v>107</v>
      </c>
      <c r="C1286" s="42">
        <v>4933885</v>
      </c>
      <c r="D1286" s="315">
        <f t="shared" si="194"/>
        <v>0</v>
      </c>
      <c r="E1286" s="41"/>
      <c r="F1286" s="42">
        <v>12223832</v>
      </c>
      <c r="G1286" s="311">
        <f t="shared" si="192"/>
        <v>0</v>
      </c>
      <c r="H1286" s="96"/>
      <c r="I1286" s="41"/>
      <c r="J1286" s="42">
        <v>6594066</v>
      </c>
      <c r="K1286" s="313">
        <f t="shared" si="191"/>
        <v>0</v>
      </c>
      <c r="L1286" s="96"/>
      <c r="M1286" s="41"/>
      <c r="N1286" s="42">
        <v>1098809</v>
      </c>
      <c r="O1286" s="236">
        <f t="shared" si="193"/>
        <v>1495</v>
      </c>
      <c r="P1286" s="358"/>
      <c r="Q1286" s="42">
        <v>727880</v>
      </c>
      <c r="R1286" s="314">
        <f t="shared" si="190"/>
        <v>222</v>
      </c>
      <c r="S1286" s="358"/>
      <c r="T1286" s="42">
        <v>213387</v>
      </c>
      <c r="U1286" s="348">
        <f t="shared" si="188"/>
        <v>0</v>
      </c>
      <c r="V1286" s="41"/>
      <c r="W1286" s="42">
        <v>49444</v>
      </c>
      <c r="X1286" s="349">
        <f t="shared" si="189"/>
        <v>0</v>
      </c>
      <c r="Y1286" s="41"/>
      <c r="Z1286" s="243"/>
    </row>
    <row r="1287" spans="1:26">
      <c r="A1287" s="150">
        <v>45816</v>
      </c>
      <c r="B1287" s="350" t="s">
        <v>36</v>
      </c>
      <c r="C1287" s="42">
        <v>4933885</v>
      </c>
      <c r="D1287" s="315">
        <f t="shared" si="194"/>
        <v>0</v>
      </c>
      <c r="E1287" s="41"/>
      <c r="F1287" s="42">
        <v>12223832</v>
      </c>
      <c r="G1287" s="311">
        <f t="shared" si="192"/>
        <v>0</v>
      </c>
      <c r="H1287" s="96"/>
      <c r="I1287" s="41"/>
      <c r="J1287" s="42">
        <v>6594066</v>
      </c>
      <c r="K1287" s="313">
        <f t="shared" si="191"/>
        <v>0</v>
      </c>
      <c r="L1287" s="96"/>
      <c r="M1287" s="41"/>
      <c r="N1287" s="42">
        <v>1100304</v>
      </c>
      <c r="O1287" s="236">
        <f t="shared" si="193"/>
        <v>0</v>
      </c>
      <c r="P1287" s="358"/>
      <c r="Q1287" s="42">
        <v>728830</v>
      </c>
      <c r="R1287" s="314">
        <f t="shared" si="190"/>
        <v>950</v>
      </c>
      <c r="S1287" s="358"/>
      <c r="T1287" s="42">
        <v>213387</v>
      </c>
      <c r="U1287" s="348">
        <f t="shared" si="188"/>
        <v>0</v>
      </c>
      <c r="V1287" s="41"/>
      <c r="W1287" s="42">
        <v>49444</v>
      </c>
      <c r="X1287" s="349">
        <f t="shared" si="189"/>
        <v>0</v>
      </c>
      <c r="Y1287" s="41"/>
      <c r="Z1287" s="243"/>
    </row>
    <row r="1288" spans="1:26">
      <c r="A1288" s="150">
        <v>45817</v>
      </c>
      <c r="B1288" s="350" t="s">
        <v>108</v>
      </c>
      <c r="C1288" s="42">
        <v>4933885</v>
      </c>
      <c r="D1288" s="315">
        <f t="shared" si="194"/>
        <v>0</v>
      </c>
      <c r="E1288" s="41"/>
      <c r="F1288" s="42">
        <v>12223832</v>
      </c>
      <c r="G1288" s="311">
        <f t="shared" si="192"/>
        <v>0</v>
      </c>
      <c r="H1288" s="96"/>
      <c r="I1288" s="41"/>
      <c r="J1288" s="42">
        <v>6594066</v>
      </c>
      <c r="K1288" s="313">
        <f t="shared" si="191"/>
        <v>0</v>
      </c>
      <c r="L1288" s="96"/>
      <c r="M1288" s="41"/>
      <c r="N1288" s="42">
        <v>1100304</v>
      </c>
      <c r="O1288" s="236">
        <f t="shared" si="193"/>
        <v>837</v>
      </c>
      <c r="P1288" s="358"/>
      <c r="Q1288" s="42">
        <v>728830</v>
      </c>
      <c r="R1288" s="314">
        <f t="shared" si="190"/>
        <v>0</v>
      </c>
      <c r="S1288" s="358"/>
      <c r="T1288" s="42">
        <v>213387</v>
      </c>
      <c r="U1288" s="348">
        <f t="shared" si="188"/>
        <v>0</v>
      </c>
      <c r="V1288" s="41"/>
      <c r="W1288" s="42">
        <v>49444</v>
      </c>
      <c r="X1288" s="349">
        <f t="shared" si="189"/>
        <v>0</v>
      </c>
      <c r="Y1288" s="41"/>
      <c r="Z1288" s="243"/>
    </row>
    <row r="1289" spans="1:26">
      <c r="A1289" s="150">
        <v>45818</v>
      </c>
      <c r="B1289" s="350" t="s">
        <v>109</v>
      </c>
      <c r="C1289" s="42">
        <v>4933885</v>
      </c>
      <c r="D1289" s="315">
        <f t="shared" si="194"/>
        <v>0</v>
      </c>
      <c r="E1289" s="41"/>
      <c r="F1289" s="42">
        <v>12223832</v>
      </c>
      <c r="G1289" s="311">
        <f t="shared" si="192"/>
        <v>0</v>
      </c>
      <c r="H1289" s="96"/>
      <c r="I1289" s="41"/>
      <c r="J1289" s="42">
        <v>6594066</v>
      </c>
      <c r="K1289" s="313">
        <f t="shared" si="191"/>
        <v>0</v>
      </c>
      <c r="L1289" s="96"/>
      <c r="M1289" s="41"/>
      <c r="N1289" s="42">
        <v>1101141</v>
      </c>
      <c r="O1289" s="236">
        <f t="shared" si="193"/>
        <v>1143</v>
      </c>
      <c r="P1289" s="358"/>
      <c r="Q1289" s="42">
        <v>729436</v>
      </c>
      <c r="R1289" s="314">
        <f t="shared" si="190"/>
        <v>606</v>
      </c>
      <c r="S1289" s="358"/>
      <c r="T1289" s="42">
        <v>213387</v>
      </c>
      <c r="U1289" s="348">
        <f t="shared" si="188"/>
        <v>0</v>
      </c>
      <c r="V1289" s="41"/>
      <c r="W1289" s="42">
        <v>49444</v>
      </c>
      <c r="X1289" s="349">
        <f t="shared" si="189"/>
        <v>0</v>
      </c>
      <c r="Y1289" s="41"/>
      <c r="Z1289" s="243"/>
    </row>
    <row r="1290" spans="1:26">
      <c r="A1290" s="150">
        <v>45819</v>
      </c>
      <c r="B1290" s="350" t="s">
        <v>110</v>
      </c>
      <c r="C1290" s="42">
        <v>4933885</v>
      </c>
      <c r="D1290" s="315">
        <f t="shared" si="194"/>
        <v>0</v>
      </c>
      <c r="E1290" s="41"/>
      <c r="F1290" s="42">
        <v>12223832</v>
      </c>
      <c r="G1290" s="311">
        <f t="shared" si="192"/>
        <v>0</v>
      </c>
      <c r="H1290" s="96"/>
      <c r="I1290" s="41"/>
      <c r="J1290" s="42">
        <v>6594066</v>
      </c>
      <c r="K1290" s="313">
        <f t="shared" si="191"/>
        <v>0</v>
      </c>
      <c r="L1290" s="96"/>
      <c r="M1290" s="41"/>
      <c r="N1290" s="42">
        <v>1102284</v>
      </c>
      <c r="O1290" s="236">
        <f t="shared" si="193"/>
        <v>1073</v>
      </c>
      <c r="P1290" s="358"/>
      <c r="Q1290" s="42">
        <v>729899</v>
      </c>
      <c r="R1290" s="314">
        <f t="shared" si="190"/>
        <v>463</v>
      </c>
      <c r="S1290" s="358"/>
      <c r="T1290" s="42">
        <v>213387</v>
      </c>
      <c r="U1290" s="348">
        <f t="shared" si="188"/>
        <v>0</v>
      </c>
      <c r="V1290" s="41"/>
      <c r="W1290" s="42">
        <v>49444</v>
      </c>
      <c r="X1290" s="349">
        <f t="shared" si="189"/>
        <v>0</v>
      </c>
      <c r="Y1290" s="41"/>
      <c r="Z1290" s="243"/>
    </row>
    <row r="1291" spans="1:26">
      <c r="A1291" s="150">
        <v>45820</v>
      </c>
      <c r="B1291" s="350" t="s">
        <v>111</v>
      </c>
      <c r="C1291" s="42">
        <v>4933885</v>
      </c>
      <c r="D1291" s="315">
        <f t="shared" si="194"/>
        <v>0</v>
      </c>
      <c r="E1291" s="41"/>
      <c r="F1291" s="42">
        <v>12223832</v>
      </c>
      <c r="G1291" s="311">
        <f t="shared" si="192"/>
        <v>0</v>
      </c>
      <c r="H1291" s="96"/>
      <c r="I1291" s="41"/>
      <c r="J1291" s="42">
        <v>6594066</v>
      </c>
      <c r="K1291" s="313">
        <f t="shared" si="191"/>
        <v>0</v>
      </c>
      <c r="L1291" s="96"/>
      <c r="M1291" s="41"/>
      <c r="N1291" s="42">
        <v>1103357</v>
      </c>
      <c r="O1291" s="236">
        <f t="shared" si="193"/>
        <v>985</v>
      </c>
      <c r="P1291" s="358"/>
      <c r="Q1291" s="42">
        <v>731084</v>
      </c>
      <c r="R1291" s="314">
        <f t="shared" si="190"/>
        <v>1185</v>
      </c>
      <c r="S1291" s="358"/>
      <c r="T1291" s="42">
        <v>213387</v>
      </c>
      <c r="U1291" s="348">
        <f t="shared" si="188"/>
        <v>0</v>
      </c>
      <c r="V1291" s="41"/>
      <c r="W1291" s="42">
        <v>49444</v>
      </c>
      <c r="X1291" s="349">
        <f t="shared" si="189"/>
        <v>0</v>
      </c>
      <c r="Y1291" s="41"/>
      <c r="Z1291" s="243"/>
    </row>
    <row r="1292" spans="1:26">
      <c r="A1292" s="150">
        <v>45821</v>
      </c>
      <c r="B1292" s="350" t="s">
        <v>106</v>
      </c>
      <c r="C1292" s="42">
        <v>4933885</v>
      </c>
      <c r="D1292" s="315">
        <f t="shared" si="194"/>
        <v>0</v>
      </c>
      <c r="E1292" s="41"/>
      <c r="F1292" s="42">
        <v>12223832</v>
      </c>
      <c r="G1292" s="311">
        <f t="shared" si="192"/>
        <v>0</v>
      </c>
      <c r="H1292" s="96"/>
      <c r="I1292" s="41"/>
      <c r="J1292" s="42">
        <v>6594066</v>
      </c>
      <c r="K1292" s="313">
        <f t="shared" si="191"/>
        <v>0</v>
      </c>
      <c r="L1292" s="96"/>
      <c r="M1292" s="41"/>
      <c r="N1292" s="42">
        <v>1104342</v>
      </c>
      <c r="O1292" s="236">
        <f t="shared" si="193"/>
        <v>1051</v>
      </c>
      <c r="P1292" s="358"/>
      <c r="Q1292" s="42">
        <v>731084</v>
      </c>
      <c r="R1292" s="314">
        <f t="shared" si="190"/>
        <v>0</v>
      </c>
      <c r="S1292" s="358"/>
      <c r="T1292" s="42">
        <v>213387</v>
      </c>
      <c r="U1292" s="348">
        <f t="shared" si="188"/>
        <v>0</v>
      </c>
      <c r="V1292" s="41"/>
      <c r="W1292" s="42">
        <v>49444</v>
      </c>
      <c r="X1292" s="349">
        <f t="shared" si="189"/>
        <v>0</v>
      </c>
      <c r="Y1292" s="41"/>
      <c r="Z1292" s="243"/>
    </row>
    <row r="1293" spans="1:26">
      <c r="A1293" s="150">
        <v>45822</v>
      </c>
      <c r="B1293" s="350" t="s">
        <v>107</v>
      </c>
      <c r="C1293" s="42">
        <v>4933885</v>
      </c>
      <c r="D1293" s="315">
        <f t="shared" si="194"/>
        <v>0</v>
      </c>
      <c r="E1293" s="41"/>
      <c r="F1293" s="42">
        <v>12223832</v>
      </c>
      <c r="G1293" s="311">
        <f t="shared" si="192"/>
        <v>0</v>
      </c>
      <c r="H1293" s="96"/>
      <c r="I1293" s="41"/>
      <c r="J1293" s="42">
        <v>6594066</v>
      </c>
      <c r="K1293" s="313">
        <f t="shared" si="191"/>
        <v>0</v>
      </c>
      <c r="L1293" s="96"/>
      <c r="M1293" s="41"/>
      <c r="N1293" s="42">
        <v>1105393</v>
      </c>
      <c r="O1293" s="236">
        <f t="shared" si="193"/>
        <v>1604</v>
      </c>
      <c r="P1293" s="358"/>
      <c r="Q1293" s="42">
        <v>731694</v>
      </c>
      <c r="R1293" s="314">
        <f t="shared" si="190"/>
        <v>610</v>
      </c>
      <c r="S1293" s="358"/>
      <c r="T1293" s="42">
        <v>213387</v>
      </c>
      <c r="U1293" s="348">
        <f t="shared" si="188"/>
        <v>0</v>
      </c>
      <c r="V1293" s="41"/>
      <c r="W1293" s="42">
        <v>49444</v>
      </c>
      <c r="X1293" s="349">
        <f t="shared" si="189"/>
        <v>0</v>
      </c>
      <c r="Y1293" s="41"/>
      <c r="Z1293" s="243"/>
    </row>
    <row r="1294" spans="1:26">
      <c r="A1294" s="150">
        <v>45823</v>
      </c>
      <c r="B1294" s="350" t="s">
        <v>36</v>
      </c>
      <c r="C1294" s="42">
        <v>4933885</v>
      </c>
      <c r="D1294" s="315">
        <f t="shared" si="194"/>
        <v>0</v>
      </c>
      <c r="E1294" s="41"/>
      <c r="F1294" s="42">
        <v>12223832</v>
      </c>
      <c r="G1294" s="311">
        <f t="shared" si="192"/>
        <v>0</v>
      </c>
      <c r="H1294" s="96"/>
      <c r="I1294" s="41"/>
      <c r="J1294" s="42">
        <v>6594066</v>
      </c>
      <c r="K1294" s="313">
        <f t="shared" si="191"/>
        <v>0</v>
      </c>
      <c r="L1294" s="96"/>
      <c r="M1294" s="41"/>
      <c r="N1294" s="42">
        <v>1106997</v>
      </c>
      <c r="O1294" s="236">
        <f t="shared" si="193"/>
        <v>0</v>
      </c>
      <c r="P1294" s="358"/>
      <c r="Q1294" s="42">
        <v>732890</v>
      </c>
      <c r="R1294" s="314">
        <f t="shared" si="190"/>
        <v>1196</v>
      </c>
      <c r="S1294" s="358"/>
      <c r="T1294" s="42">
        <v>213387</v>
      </c>
      <c r="U1294" s="348">
        <f t="shared" si="188"/>
        <v>0</v>
      </c>
      <c r="V1294" s="41"/>
      <c r="W1294" s="42">
        <v>49444</v>
      </c>
      <c r="X1294" s="349">
        <f t="shared" si="189"/>
        <v>0</v>
      </c>
      <c r="Y1294" s="41"/>
      <c r="Z1294" s="243"/>
    </row>
    <row r="1295" spans="1:26">
      <c r="A1295" s="150">
        <v>45824</v>
      </c>
      <c r="B1295" s="350" t="s">
        <v>108</v>
      </c>
      <c r="C1295" s="42">
        <v>4933885</v>
      </c>
      <c r="D1295" s="315">
        <f t="shared" si="194"/>
        <v>0</v>
      </c>
      <c r="E1295" s="41"/>
      <c r="F1295" s="42">
        <v>12223832</v>
      </c>
      <c r="G1295" s="311">
        <f t="shared" si="192"/>
        <v>0</v>
      </c>
      <c r="H1295" s="96"/>
      <c r="I1295" s="41"/>
      <c r="J1295" s="42">
        <v>6594066</v>
      </c>
      <c r="K1295" s="313">
        <f t="shared" si="191"/>
        <v>0</v>
      </c>
      <c r="L1295" s="96"/>
      <c r="M1295" s="41"/>
      <c r="N1295" s="42">
        <v>1106997</v>
      </c>
      <c r="O1295" s="236">
        <f t="shared" si="193"/>
        <v>830</v>
      </c>
      <c r="P1295" s="358"/>
      <c r="Q1295" s="42">
        <v>732890</v>
      </c>
      <c r="R1295" s="314">
        <f t="shared" si="190"/>
        <v>0</v>
      </c>
      <c r="S1295" s="358"/>
      <c r="T1295" s="42">
        <v>213387</v>
      </c>
      <c r="U1295" s="348">
        <f t="shared" si="188"/>
        <v>0</v>
      </c>
      <c r="V1295" s="41"/>
      <c r="W1295" s="42">
        <v>49444</v>
      </c>
      <c r="X1295" s="349">
        <f t="shared" si="189"/>
        <v>0</v>
      </c>
      <c r="Y1295" s="41"/>
      <c r="Z1295" s="243"/>
    </row>
    <row r="1296" spans="1:26">
      <c r="A1296" s="150">
        <v>45825</v>
      </c>
      <c r="B1296" s="350" t="s">
        <v>109</v>
      </c>
      <c r="C1296" s="42">
        <v>4933885</v>
      </c>
      <c r="D1296" s="315">
        <f t="shared" si="194"/>
        <v>0</v>
      </c>
      <c r="E1296" s="41"/>
      <c r="F1296" s="42">
        <v>12223832</v>
      </c>
      <c r="G1296" s="311">
        <f t="shared" si="192"/>
        <v>0</v>
      </c>
      <c r="H1296" s="96"/>
      <c r="I1296" s="41"/>
      <c r="J1296" s="42">
        <v>6594066</v>
      </c>
      <c r="K1296" s="313">
        <f t="shared" si="191"/>
        <v>0</v>
      </c>
      <c r="L1296" s="96"/>
      <c r="M1296" s="41"/>
      <c r="N1296" s="42">
        <v>1107827</v>
      </c>
      <c r="O1296" s="236">
        <f t="shared" si="193"/>
        <v>970</v>
      </c>
      <c r="P1296" s="358"/>
      <c r="Q1296" s="42">
        <v>733112</v>
      </c>
      <c r="R1296" s="314">
        <f t="shared" si="190"/>
        <v>222</v>
      </c>
      <c r="S1296" s="358"/>
      <c r="T1296" s="42">
        <v>213387</v>
      </c>
      <c r="U1296" s="348">
        <f t="shared" si="188"/>
        <v>0</v>
      </c>
      <c r="V1296" s="41"/>
      <c r="W1296" s="42">
        <v>49444</v>
      </c>
      <c r="X1296" s="349">
        <f t="shared" si="189"/>
        <v>0</v>
      </c>
      <c r="Y1296" s="41"/>
      <c r="Z1296" s="243"/>
    </row>
    <row r="1297" spans="1:26">
      <c r="A1297" s="150">
        <v>45826</v>
      </c>
      <c r="B1297" s="350" t="s">
        <v>110</v>
      </c>
      <c r="C1297" s="42">
        <v>4933885</v>
      </c>
      <c r="D1297" s="315">
        <f t="shared" si="194"/>
        <v>0</v>
      </c>
      <c r="E1297" s="41"/>
      <c r="F1297" s="42">
        <v>12223832</v>
      </c>
      <c r="G1297" s="311">
        <f t="shared" si="192"/>
        <v>0</v>
      </c>
      <c r="H1297" s="96"/>
      <c r="I1297" s="41"/>
      <c r="J1297" s="42">
        <v>6594066</v>
      </c>
      <c r="K1297" s="313">
        <f t="shared" si="191"/>
        <v>0</v>
      </c>
      <c r="L1297" s="96"/>
      <c r="M1297" s="41"/>
      <c r="N1297" s="42">
        <v>1108797</v>
      </c>
      <c r="O1297" s="236">
        <f t="shared" si="193"/>
        <v>1546</v>
      </c>
      <c r="P1297" s="358"/>
      <c r="Q1297" s="42">
        <v>733255</v>
      </c>
      <c r="R1297" s="314">
        <f t="shared" si="190"/>
        <v>143</v>
      </c>
      <c r="S1297" s="358"/>
      <c r="T1297" s="42">
        <v>213387</v>
      </c>
      <c r="U1297" s="348">
        <f t="shared" si="188"/>
        <v>0</v>
      </c>
      <c r="V1297" s="41"/>
      <c r="W1297" s="42">
        <v>49444</v>
      </c>
      <c r="X1297" s="349">
        <f t="shared" si="189"/>
        <v>0</v>
      </c>
      <c r="Y1297" s="41"/>
      <c r="Z1297" s="243"/>
    </row>
    <row r="1298" spans="1:26">
      <c r="A1298" s="150">
        <v>45827</v>
      </c>
      <c r="B1298" s="350" t="s">
        <v>111</v>
      </c>
      <c r="C1298" s="42">
        <v>4933885</v>
      </c>
      <c r="D1298" s="315">
        <f t="shared" si="194"/>
        <v>0</v>
      </c>
      <c r="E1298" s="41"/>
      <c r="F1298" s="42">
        <v>12223832</v>
      </c>
      <c r="G1298" s="311">
        <f t="shared" si="192"/>
        <v>0</v>
      </c>
      <c r="H1298" s="96"/>
      <c r="I1298" s="41"/>
      <c r="J1298" s="42">
        <v>6594066</v>
      </c>
      <c r="K1298" s="313">
        <f t="shared" si="191"/>
        <v>0</v>
      </c>
      <c r="L1298" s="96"/>
      <c r="M1298" s="41"/>
      <c r="N1298" s="42">
        <v>1110343</v>
      </c>
      <c r="O1298" s="236">
        <f t="shared" si="193"/>
        <v>0</v>
      </c>
      <c r="P1298" s="358"/>
      <c r="Q1298" s="42">
        <v>733362</v>
      </c>
      <c r="R1298" s="314">
        <f t="shared" si="190"/>
        <v>107</v>
      </c>
      <c r="S1298" s="358"/>
      <c r="T1298" s="42">
        <v>213387</v>
      </c>
      <c r="U1298" s="348">
        <f t="shared" si="188"/>
        <v>0</v>
      </c>
      <c r="V1298" s="41"/>
      <c r="W1298" s="42">
        <v>49444</v>
      </c>
      <c r="X1298" s="349">
        <f t="shared" si="189"/>
        <v>0</v>
      </c>
      <c r="Y1298" s="41"/>
      <c r="Z1298" s="243"/>
    </row>
    <row r="1299" spans="1:26">
      <c r="A1299" s="150">
        <v>45828</v>
      </c>
      <c r="B1299" s="350" t="s">
        <v>106</v>
      </c>
      <c r="C1299" s="42">
        <v>4933885</v>
      </c>
      <c r="D1299" s="315">
        <f t="shared" si="194"/>
        <v>0</v>
      </c>
      <c r="E1299" s="41"/>
      <c r="F1299" s="42">
        <v>12223832</v>
      </c>
      <c r="G1299" s="311">
        <f t="shared" si="192"/>
        <v>0</v>
      </c>
      <c r="H1299" s="96"/>
      <c r="I1299" s="41"/>
      <c r="J1299" s="42">
        <v>6594066</v>
      </c>
      <c r="K1299" s="313">
        <f t="shared" si="191"/>
        <v>0</v>
      </c>
      <c r="L1299" s="96"/>
      <c r="M1299" s="41"/>
      <c r="N1299" s="42">
        <v>1110343</v>
      </c>
      <c r="O1299" s="236">
        <f t="shared" si="193"/>
        <v>1039</v>
      </c>
      <c r="P1299" s="358"/>
      <c r="Q1299" s="42">
        <v>733362</v>
      </c>
      <c r="R1299" s="314">
        <f t="shared" si="190"/>
        <v>0</v>
      </c>
      <c r="S1299" s="358"/>
      <c r="T1299" s="42">
        <v>213387</v>
      </c>
      <c r="U1299" s="348">
        <f t="shared" si="188"/>
        <v>0</v>
      </c>
      <c r="V1299" s="41"/>
      <c r="W1299" s="42">
        <v>49444</v>
      </c>
      <c r="X1299" s="349">
        <f t="shared" si="189"/>
        <v>0</v>
      </c>
      <c r="Y1299" s="41"/>
      <c r="Z1299" s="243"/>
    </row>
    <row r="1300" spans="1:26">
      <c r="A1300" s="150">
        <v>45829</v>
      </c>
      <c r="B1300" s="350" t="s">
        <v>107</v>
      </c>
      <c r="C1300" s="42">
        <v>4933885</v>
      </c>
      <c r="D1300" s="315">
        <f t="shared" si="194"/>
        <v>0</v>
      </c>
      <c r="E1300" s="41"/>
      <c r="F1300" s="42">
        <v>12223832</v>
      </c>
      <c r="G1300" s="311">
        <f t="shared" si="192"/>
        <v>0</v>
      </c>
      <c r="H1300" s="96"/>
      <c r="I1300" s="41"/>
      <c r="J1300" s="42">
        <v>6594066</v>
      </c>
      <c r="K1300" s="313">
        <f t="shared" si="191"/>
        <v>0</v>
      </c>
      <c r="L1300" s="96"/>
      <c r="M1300" s="41"/>
      <c r="N1300" s="42">
        <v>1111382</v>
      </c>
      <c r="O1300" s="236">
        <f t="shared" si="193"/>
        <v>1204</v>
      </c>
      <c r="P1300" s="358"/>
      <c r="Q1300" s="42">
        <v>733476</v>
      </c>
      <c r="R1300" s="314">
        <f t="shared" si="190"/>
        <v>114</v>
      </c>
      <c r="S1300" s="358"/>
      <c r="T1300" s="42">
        <v>213387</v>
      </c>
      <c r="U1300" s="348">
        <f t="shared" si="188"/>
        <v>0</v>
      </c>
      <c r="V1300" s="41"/>
      <c r="W1300" s="42">
        <v>49444</v>
      </c>
      <c r="X1300" s="349">
        <f t="shared" si="189"/>
        <v>0</v>
      </c>
      <c r="Y1300" s="41"/>
      <c r="Z1300" s="243"/>
    </row>
    <row r="1301" spans="1:26">
      <c r="A1301" s="150">
        <v>45830</v>
      </c>
      <c r="B1301" s="350" t="s">
        <v>36</v>
      </c>
      <c r="C1301" s="42">
        <v>4933885</v>
      </c>
      <c r="D1301" s="315">
        <f t="shared" si="194"/>
        <v>0</v>
      </c>
      <c r="E1301" s="41"/>
      <c r="F1301" s="42">
        <v>12223832</v>
      </c>
      <c r="G1301" s="311">
        <f t="shared" si="192"/>
        <v>0</v>
      </c>
      <c r="H1301" s="96"/>
      <c r="I1301" s="41"/>
      <c r="J1301" s="42">
        <v>6594066</v>
      </c>
      <c r="K1301" s="313">
        <f t="shared" si="191"/>
        <v>0</v>
      </c>
      <c r="L1301" s="96"/>
      <c r="M1301" s="41"/>
      <c r="N1301" s="42">
        <v>1112586</v>
      </c>
      <c r="O1301" s="236">
        <f t="shared" si="193"/>
        <v>0</v>
      </c>
      <c r="P1301" s="358"/>
      <c r="Q1301" s="42">
        <v>733565</v>
      </c>
      <c r="R1301" s="314">
        <f t="shared" si="190"/>
        <v>89</v>
      </c>
      <c r="S1301" s="358"/>
      <c r="T1301" s="42">
        <v>213387</v>
      </c>
      <c r="U1301" s="348">
        <f t="shared" si="188"/>
        <v>0</v>
      </c>
      <c r="V1301" s="41"/>
      <c r="W1301" s="42">
        <v>49444</v>
      </c>
      <c r="X1301" s="349">
        <f t="shared" si="189"/>
        <v>0</v>
      </c>
      <c r="Y1301" s="41"/>
      <c r="Z1301" s="243"/>
    </row>
    <row r="1302" spans="1:26">
      <c r="A1302" s="150">
        <v>45831</v>
      </c>
      <c r="B1302" s="350" t="s">
        <v>108</v>
      </c>
      <c r="C1302" s="42">
        <v>4933885</v>
      </c>
      <c r="D1302" s="315">
        <f t="shared" si="194"/>
        <v>0</v>
      </c>
      <c r="E1302" s="41"/>
      <c r="F1302" s="42">
        <v>12223832</v>
      </c>
      <c r="G1302" s="311">
        <f t="shared" si="192"/>
        <v>0</v>
      </c>
      <c r="H1302" s="96"/>
      <c r="I1302" s="41"/>
      <c r="J1302" s="42">
        <v>6594066</v>
      </c>
      <c r="K1302" s="313">
        <f t="shared" si="191"/>
        <v>0</v>
      </c>
      <c r="L1302" s="96"/>
      <c r="M1302" s="41"/>
      <c r="N1302" s="42">
        <v>1112586</v>
      </c>
      <c r="O1302" s="236">
        <f t="shared" si="193"/>
        <v>1000</v>
      </c>
      <c r="P1302" s="358"/>
      <c r="Q1302" s="42">
        <v>733565</v>
      </c>
      <c r="R1302" s="314">
        <f t="shared" si="190"/>
        <v>0</v>
      </c>
      <c r="S1302" s="358"/>
      <c r="T1302" s="42">
        <v>213387</v>
      </c>
      <c r="U1302" s="348">
        <f t="shared" si="188"/>
        <v>0</v>
      </c>
      <c r="V1302" s="41"/>
      <c r="W1302" s="42">
        <v>49444</v>
      </c>
      <c r="X1302" s="349">
        <f t="shared" si="189"/>
        <v>0</v>
      </c>
      <c r="Y1302" s="41"/>
      <c r="Z1302" s="243"/>
    </row>
    <row r="1303" spans="1:26">
      <c r="A1303" s="150">
        <v>45832</v>
      </c>
      <c r="B1303" s="350" t="s">
        <v>109</v>
      </c>
      <c r="C1303" s="42">
        <v>4933885</v>
      </c>
      <c r="D1303" s="315">
        <f t="shared" si="194"/>
        <v>0</v>
      </c>
      <c r="E1303" s="41"/>
      <c r="F1303" s="42">
        <v>12223832</v>
      </c>
      <c r="G1303" s="311">
        <f t="shared" si="192"/>
        <v>0</v>
      </c>
      <c r="H1303" s="96"/>
      <c r="I1303" s="41"/>
      <c r="J1303" s="42">
        <v>6594066</v>
      </c>
      <c r="K1303" s="313">
        <f t="shared" si="191"/>
        <v>0</v>
      </c>
      <c r="L1303" s="96"/>
      <c r="M1303" s="41"/>
      <c r="N1303" s="42">
        <v>1113586</v>
      </c>
      <c r="O1303" s="236">
        <f t="shared" si="193"/>
        <v>1039</v>
      </c>
      <c r="P1303" s="358"/>
      <c r="Q1303" s="42">
        <v>733666</v>
      </c>
      <c r="R1303" s="314">
        <f t="shared" si="190"/>
        <v>101</v>
      </c>
      <c r="S1303" s="358"/>
      <c r="T1303" s="42">
        <v>213387</v>
      </c>
      <c r="U1303" s="348">
        <f t="shared" si="188"/>
        <v>0</v>
      </c>
      <c r="V1303" s="41"/>
      <c r="W1303" s="42">
        <v>49444</v>
      </c>
      <c r="X1303" s="349">
        <f t="shared" si="189"/>
        <v>0</v>
      </c>
      <c r="Y1303" s="41"/>
      <c r="Z1303" s="243"/>
    </row>
    <row r="1304" spans="1:26">
      <c r="A1304" s="150">
        <v>45833</v>
      </c>
      <c r="B1304" s="350" t="s">
        <v>110</v>
      </c>
      <c r="C1304" s="42">
        <v>4933885</v>
      </c>
      <c r="D1304" s="315">
        <f t="shared" si="194"/>
        <v>0</v>
      </c>
      <c r="E1304" s="41"/>
      <c r="F1304" s="42">
        <v>12223832</v>
      </c>
      <c r="G1304" s="311">
        <f t="shared" si="192"/>
        <v>0</v>
      </c>
      <c r="H1304" s="96"/>
      <c r="I1304" s="41"/>
      <c r="J1304" s="42">
        <v>6594066</v>
      </c>
      <c r="K1304" s="313">
        <f t="shared" si="191"/>
        <v>0</v>
      </c>
      <c r="L1304" s="96"/>
      <c r="M1304" s="41"/>
      <c r="N1304" s="42">
        <v>1114625</v>
      </c>
      <c r="O1304" s="236">
        <f t="shared" si="193"/>
        <v>1127</v>
      </c>
      <c r="P1304" s="358"/>
      <c r="Q1304" s="42">
        <v>733761</v>
      </c>
      <c r="R1304" s="314">
        <f t="shared" si="190"/>
        <v>95</v>
      </c>
      <c r="S1304" s="358"/>
      <c r="T1304" s="42">
        <v>213387</v>
      </c>
      <c r="U1304" s="348">
        <f t="shared" ref="U1304:U1329" si="195">T1305-T1304</f>
        <v>0</v>
      </c>
      <c r="V1304" s="41"/>
      <c r="W1304" s="42">
        <v>49444</v>
      </c>
      <c r="X1304" s="349">
        <f t="shared" si="189"/>
        <v>0</v>
      </c>
      <c r="Y1304" s="41"/>
      <c r="Z1304" s="243"/>
    </row>
    <row r="1305" spans="1:26">
      <c r="A1305" s="150">
        <v>45834</v>
      </c>
      <c r="B1305" s="350" t="s">
        <v>111</v>
      </c>
      <c r="C1305" s="42">
        <v>4933885</v>
      </c>
      <c r="D1305" s="315">
        <f t="shared" si="194"/>
        <v>0</v>
      </c>
      <c r="E1305" s="41"/>
      <c r="F1305" s="42">
        <v>12223832</v>
      </c>
      <c r="G1305" s="311">
        <f t="shared" si="192"/>
        <v>0</v>
      </c>
      <c r="H1305" s="96"/>
      <c r="I1305" s="41"/>
      <c r="J1305" s="42">
        <v>6594066</v>
      </c>
      <c r="K1305" s="313">
        <f t="shared" si="191"/>
        <v>0</v>
      </c>
      <c r="L1305" s="96"/>
      <c r="M1305" s="41"/>
      <c r="N1305" s="42">
        <v>1115752</v>
      </c>
      <c r="O1305" s="236">
        <f t="shared" si="193"/>
        <v>986</v>
      </c>
      <c r="P1305" s="358"/>
      <c r="Q1305" s="42">
        <v>733833</v>
      </c>
      <c r="R1305" s="314">
        <f t="shared" si="190"/>
        <v>72</v>
      </c>
      <c r="S1305" s="358"/>
      <c r="T1305" s="42">
        <v>213387</v>
      </c>
      <c r="U1305" s="348">
        <f t="shared" si="195"/>
        <v>0</v>
      </c>
      <c r="V1305" s="41"/>
      <c r="W1305" s="42">
        <v>49444</v>
      </c>
      <c r="X1305" s="349">
        <f t="shared" si="189"/>
        <v>0</v>
      </c>
      <c r="Y1305" s="41"/>
      <c r="Z1305" s="243"/>
    </row>
    <row r="1306" spans="1:26">
      <c r="A1306" s="150">
        <v>45835</v>
      </c>
      <c r="B1306" s="350" t="s">
        <v>106</v>
      </c>
      <c r="C1306" s="42">
        <v>4933885</v>
      </c>
      <c r="D1306" s="315">
        <f t="shared" si="194"/>
        <v>0</v>
      </c>
      <c r="E1306" s="41"/>
      <c r="F1306" s="42">
        <v>12223832</v>
      </c>
      <c r="G1306" s="311">
        <f t="shared" si="192"/>
        <v>0</v>
      </c>
      <c r="H1306" s="96"/>
      <c r="I1306" s="41"/>
      <c r="J1306" s="42">
        <v>6594066</v>
      </c>
      <c r="K1306" s="313">
        <f t="shared" si="191"/>
        <v>0</v>
      </c>
      <c r="L1306" s="96"/>
      <c r="M1306" s="41"/>
      <c r="N1306" s="42">
        <v>1116738</v>
      </c>
      <c r="O1306" s="236">
        <f t="shared" si="193"/>
        <v>1144</v>
      </c>
      <c r="P1306" s="358"/>
      <c r="Q1306" s="42">
        <v>734043</v>
      </c>
      <c r="R1306" s="314">
        <f t="shared" si="190"/>
        <v>210</v>
      </c>
      <c r="S1306" s="358"/>
      <c r="T1306" s="42">
        <v>213387</v>
      </c>
      <c r="U1306" s="348">
        <f t="shared" si="195"/>
        <v>0</v>
      </c>
      <c r="V1306" s="41"/>
      <c r="W1306" s="42">
        <v>49444</v>
      </c>
      <c r="X1306" s="349">
        <f t="shared" si="189"/>
        <v>0</v>
      </c>
      <c r="Y1306" s="41"/>
      <c r="Z1306" s="243"/>
    </row>
    <row r="1307" spans="1:26">
      <c r="A1307" s="150">
        <v>45836</v>
      </c>
      <c r="B1307" s="350" t="s">
        <v>107</v>
      </c>
      <c r="C1307" s="42">
        <v>4933885</v>
      </c>
      <c r="D1307" s="315">
        <f t="shared" si="194"/>
        <v>0</v>
      </c>
      <c r="E1307" s="41"/>
      <c r="F1307" s="42">
        <v>12223832</v>
      </c>
      <c r="G1307" s="311">
        <f t="shared" si="192"/>
        <v>0</v>
      </c>
      <c r="H1307" s="96"/>
      <c r="I1307" s="41"/>
      <c r="J1307" s="42">
        <v>6594066</v>
      </c>
      <c r="K1307" s="313">
        <f t="shared" si="191"/>
        <v>0</v>
      </c>
      <c r="L1307" s="96"/>
      <c r="M1307" s="41"/>
      <c r="N1307" s="42">
        <v>1117882</v>
      </c>
      <c r="O1307" s="236">
        <f t="shared" si="193"/>
        <v>1484</v>
      </c>
      <c r="P1307" s="358"/>
      <c r="Q1307" s="42">
        <v>734043</v>
      </c>
      <c r="R1307" s="314">
        <f t="shared" si="190"/>
        <v>0</v>
      </c>
      <c r="S1307" s="358"/>
      <c r="T1307" s="42">
        <v>213387</v>
      </c>
      <c r="U1307" s="348">
        <f t="shared" si="195"/>
        <v>0</v>
      </c>
      <c r="V1307" s="41"/>
      <c r="W1307" s="42">
        <v>49444</v>
      </c>
      <c r="X1307" s="349">
        <f t="shared" si="189"/>
        <v>0</v>
      </c>
      <c r="Y1307" s="41"/>
      <c r="Z1307" s="243"/>
    </row>
    <row r="1308" spans="1:26">
      <c r="A1308" s="150">
        <v>45837</v>
      </c>
      <c r="B1308" s="350" t="s">
        <v>36</v>
      </c>
      <c r="C1308" s="42">
        <v>4933885</v>
      </c>
      <c r="D1308" s="315">
        <f t="shared" si="194"/>
        <v>0</v>
      </c>
      <c r="E1308" s="41"/>
      <c r="F1308" s="42">
        <v>12223832</v>
      </c>
      <c r="G1308" s="311">
        <f t="shared" si="192"/>
        <v>0</v>
      </c>
      <c r="H1308" s="96"/>
      <c r="I1308" s="41"/>
      <c r="J1308" s="42">
        <v>6594066</v>
      </c>
      <c r="K1308" s="313">
        <f t="shared" si="191"/>
        <v>0</v>
      </c>
      <c r="L1308" s="96"/>
      <c r="M1308" s="41"/>
      <c r="N1308" s="42">
        <v>1119366</v>
      </c>
      <c r="O1308" s="236">
        <f t="shared" si="193"/>
        <v>0</v>
      </c>
      <c r="P1308" s="358"/>
      <c r="Q1308" s="42">
        <v>734142</v>
      </c>
      <c r="R1308" s="314">
        <f t="shared" si="190"/>
        <v>99</v>
      </c>
      <c r="S1308" s="358"/>
      <c r="T1308" s="42">
        <v>213387</v>
      </c>
      <c r="U1308" s="348">
        <f t="shared" si="195"/>
        <v>0</v>
      </c>
      <c r="V1308" s="41"/>
      <c r="W1308" s="42">
        <v>49444</v>
      </c>
      <c r="X1308" s="349">
        <f t="shared" si="189"/>
        <v>0</v>
      </c>
      <c r="Y1308" s="41"/>
      <c r="Z1308" s="243"/>
    </row>
    <row r="1309" spans="1:26">
      <c r="A1309" s="150">
        <v>45838</v>
      </c>
      <c r="B1309" s="350" t="s">
        <v>108</v>
      </c>
      <c r="C1309" s="42">
        <v>4933885</v>
      </c>
      <c r="D1309" s="315">
        <f t="shared" si="194"/>
        <v>0</v>
      </c>
      <c r="E1309" s="41"/>
      <c r="F1309" s="42">
        <v>12223832</v>
      </c>
      <c r="G1309" s="311">
        <f t="shared" si="192"/>
        <v>0</v>
      </c>
      <c r="H1309" s="96"/>
      <c r="I1309" s="41"/>
      <c r="J1309" s="42">
        <v>6594066</v>
      </c>
      <c r="K1309" s="313">
        <f t="shared" si="191"/>
        <v>0</v>
      </c>
      <c r="L1309" s="96"/>
      <c r="M1309" s="41"/>
      <c r="N1309" s="42">
        <v>1119366</v>
      </c>
      <c r="O1309" s="236">
        <f t="shared" si="193"/>
        <v>1037</v>
      </c>
      <c r="P1309" s="358"/>
      <c r="Q1309" s="42">
        <v>734142</v>
      </c>
      <c r="R1309" s="314">
        <f t="shared" si="190"/>
        <v>0</v>
      </c>
      <c r="S1309" s="358"/>
      <c r="T1309" s="42">
        <v>213387</v>
      </c>
      <c r="U1309" s="348">
        <f t="shared" si="195"/>
        <v>0</v>
      </c>
      <c r="V1309" s="41"/>
      <c r="W1309" s="42">
        <v>49444</v>
      </c>
      <c r="X1309" s="349">
        <f t="shared" si="189"/>
        <v>0</v>
      </c>
      <c r="Y1309" s="41"/>
      <c r="Z1309" s="243"/>
    </row>
    <row r="1310" spans="1:26">
      <c r="A1310" s="150">
        <v>45839</v>
      </c>
      <c r="B1310" s="350" t="s">
        <v>109</v>
      </c>
      <c r="C1310" s="42">
        <v>4933885</v>
      </c>
      <c r="D1310" s="315">
        <f t="shared" si="194"/>
        <v>0</v>
      </c>
      <c r="E1310" s="41"/>
      <c r="F1310" s="42">
        <v>12223832</v>
      </c>
      <c r="G1310" s="311">
        <f t="shared" si="192"/>
        <v>0</v>
      </c>
      <c r="H1310" s="96"/>
      <c r="I1310" s="41"/>
      <c r="J1310" s="42">
        <v>6594066</v>
      </c>
      <c r="K1310" s="313">
        <f t="shared" si="191"/>
        <v>0</v>
      </c>
      <c r="L1310" s="96"/>
      <c r="M1310" s="41"/>
      <c r="N1310" s="42">
        <v>1120403</v>
      </c>
      <c r="O1310" s="236">
        <f t="shared" si="193"/>
        <v>1182</v>
      </c>
      <c r="P1310" s="358"/>
      <c r="Q1310" s="42">
        <v>734543</v>
      </c>
      <c r="R1310" s="314">
        <f t="shared" si="190"/>
        <v>401</v>
      </c>
      <c r="S1310" s="358"/>
      <c r="T1310" s="42">
        <v>213387</v>
      </c>
      <c r="U1310" s="348">
        <f t="shared" si="195"/>
        <v>0</v>
      </c>
      <c r="V1310" s="41"/>
      <c r="W1310" s="42">
        <v>49444</v>
      </c>
      <c r="X1310" s="349">
        <f t="shared" si="189"/>
        <v>0</v>
      </c>
      <c r="Y1310" s="41"/>
      <c r="Z1310" s="243"/>
    </row>
    <row r="1311" spans="1:26">
      <c r="A1311" s="150">
        <v>45840</v>
      </c>
      <c r="B1311" s="350" t="s">
        <v>110</v>
      </c>
      <c r="C1311" s="42">
        <v>4933885</v>
      </c>
      <c r="D1311" s="315">
        <f t="shared" si="194"/>
        <v>5135</v>
      </c>
      <c r="E1311" s="41"/>
      <c r="F1311" s="42">
        <v>12223832</v>
      </c>
      <c r="G1311" s="311">
        <f t="shared" si="192"/>
        <v>11653</v>
      </c>
      <c r="H1311" s="96"/>
      <c r="I1311" s="41"/>
      <c r="J1311" s="42">
        <v>6594066</v>
      </c>
      <c r="K1311" s="313">
        <f t="shared" si="191"/>
        <v>13464</v>
      </c>
      <c r="L1311" s="96"/>
      <c r="M1311" s="41"/>
      <c r="N1311" s="42">
        <v>1121585</v>
      </c>
      <c r="O1311" s="236">
        <f t="shared" si="193"/>
        <v>525</v>
      </c>
      <c r="P1311" s="358"/>
      <c r="Q1311" s="42">
        <v>734734</v>
      </c>
      <c r="R1311" s="314">
        <f t="shared" si="190"/>
        <v>191</v>
      </c>
      <c r="S1311" s="358"/>
      <c r="T1311" s="42">
        <v>213387</v>
      </c>
      <c r="U1311" s="348">
        <f t="shared" si="195"/>
        <v>0</v>
      </c>
      <c r="V1311" s="41"/>
      <c r="W1311" s="42">
        <v>49444</v>
      </c>
      <c r="X1311" s="349">
        <f t="shared" ref="X1311:X1329" si="196">W1312-W1311</f>
        <v>0</v>
      </c>
      <c r="Y1311" s="41"/>
      <c r="Z1311" s="243"/>
    </row>
    <row r="1312" spans="1:26">
      <c r="A1312" s="150">
        <v>45841</v>
      </c>
      <c r="B1312" s="350" t="s">
        <v>111</v>
      </c>
      <c r="C1312" s="42">
        <v>4939020</v>
      </c>
      <c r="D1312" s="315">
        <f t="shared" si="194"/>
        <v>5149</v>
      </c>
      <c r="E1312" s="41"/>
      <c r="F1312" s="42">
        <v>12235485</v>
      </c>
      <c r="G1312" s="311">
        <f t="shared" si="192"/>
        <v>11903</v>
      </c>
      <c r="H1312" s="96"/>
      <c r="I1312" s="41"/>
      <c r="J1312" s="42">
        <v>6607530</v>
      </c>
      <c r="K1312" s="313">
        <f t="shared" si="191"/>
        <v>2771</v>
      </c>
      <c r="L1312" s="96"/>
      <c r="M1312" s="41"/>
      <c r="N1312" s="42">
        <v>1122110</v>
      </c>
      <c r="O1312" s="236">
        <f t="shared" si="193"/>
        <v>1820</v>
      </c>
      <c r="P1312" s="358"/>
      <c r="Q1312" s="42">
        <v>734774</v>
      </c>
      <c r="R1312" s="314">
        <f t="shared" si="190"/>
        <v>40</v>
      </c>
      <c r="S1312" s="358"/>
      <c r="T1312" s="42">
        <v>213387</v>
      </c>
      <c r="U1312" s="348">
        <f t="shared" si="195"/>
        <v>0</v>
      </c>
      <c r="V1312" s="41"/>
      <c r="W1312" s="42">
        <v>49444</v>
      </c>
      <c r="X1312" s="349">
        <f t="shared" si="196"/>
        <v>0</v>
      </c>
      <c r="Y1312" s="41"/>
      <c r="Z1312" s="243"/>
    </row>
    <row r="1313" spans="1:26">
      <c r="A1313" s="150">
        <v>45842</v>
      </c>
      <c r="B1313" s="350" t="s">
        <v>106</v>
      </c>
      <c r="C1313" s="42">
        <v>4944169</v>
      </c>
      <c r="D1313" s="315">
        <f t="shared" si="194"/>
        <v>4630</v>
      </c>
      <c r="E1313" s="41"/>
      <c r="F1313" s="42">
        <v>12247388</v>
      </c>
      <c r="G1313" s="311">
        <f t="shared" si="192"/>
        <v>18187</v>
      </c>
      <c r="H1313" s="96"/>
      <c r="I1313" s="41"/>
      <c r="J1313" s="42">
        <v>6610301</v>
      </c>
      <c r="K1313" s="313">
        <f t="shared" si="191"/>
        <v>9919</v>
      </c>
      <c r="L1313" s="96"/>
      <c r="M1313" s="41"/>
      <c r="N1313" s="42">
        <v>1123930</v>
      </c>
      <c r="O1313" s="236">
        <f t="shared" si="193"/>
        <v>1792</v>
      </c>
      <c r="P1313" s="358"/>
      <c r="Q1313" s="42">
        <v>734947</v>
      </c>
      <c r="R1313" s="314">
        <f t="shared" si="190"/>
        <v>173</v>
      </c>
      <c r="S1313" s="358"/>
      <c r="T1313" s="42">
        <v>213387</v>
      </c>
      <c r="U1313" s="348">
        <f t="shared" si="195"/>
        <v>0</v>
      </c>
      <c r="V1313" s="41"/>
      <c r="W1313" s="42">
        <v>49444</v>
      </c>
      <c r="X1313" s="349">
        <f t="shared" si="196"/>
        <v>0</v>
      </c>
      <c r="Y1313" s="41"/>
      <c r="Z1313" s="243"/>
    </row>
    <row r="1314" spans="1:26">
      <c r="A1314" s="150">
        <v>45843</v>
      </c>
      <c r="B1314" s="350" t="s">
        <v>107</v>
      </c>
      <c r="C1314" s="42">
        <v>4948799</v>
      </c>
      <c r="D1314" s="315">
        <f t="shared" si="194"/>
        <v>0</v>
      </c>
      <c r="E1314" s="41"/>
      <c r="F1314" s="42">
        <v>12265575</v>
      </c>
      <c r="G1314" s="311">
        <f t="shared" si="192"/>
        <v>0</v>
      </c>
      <c r="H1314" s="96"/>
      <c r="I1314" s="41"/>
      <c r="J1314" s="42">
        <v>6620220</v>
      </c>
      <c r="K1314" s="313">
        <f t="shared" si="191"/>
        <v>0</v>
      </c>
      <c r="L1314" s="96"/>
      <c r="M1314" s="41"/>
      <c r="N1314" s="42">
        <v>1125722</v>
      </c>
      <c r="O1314" s="236">
        <f t="shared" si="193"/>
        <v>855</v>
      </c>
      <c r="P1314" s="358"/>
      <c r="Q1314" s="42">
        <v>735484</v>
      </c>
      <c r="R1314" s="314">
        <f t="shared" ref="R1314:R1330" si="197">Q1314-Q1313</f>
        <v>537</v>
      </c>
      <c r="S1314" s="358"/>
      <c r="T1314" s="42">
        <v>213387</v>
      </c>
      <c r="U1314" s="348">
        <f t="shared" si="195"/>
        <v>0</v>
      </c>
      <c r="V1314" s="41"/>
      <c r="W1314" s="42">
        <v>49444</v>
      </c>
      <c r="X1314" s="349">
        <f t="shared" si="196"/>
        <v>0</v>
      </c>
      <c r="Y1314" s="41"/>
      <c r="Z1314" s="243"/>
    </row>
    <row r="1315" spans="1:26">
      <c r="A1315" s="150">
        <v>45844</v>
      </c>
      <c r="B1315" s="350" t="s">
        <v>36</v>
      </c>
      <c r="C1315" s="42">
        <v>4948799</v>
      </c>
      <c r="D1315" s="315">
        <f t="shared" si="194"/>
        <v>0</v>
      </c>
      <c r="E1315" s="41"/>
      <c r="F1315" s="42">
        <v>12265575</v>
      </c>
      <c r="G1315" s="311">
        <f t="shared" si="192"/>
        <v>0</v>
      </c>
      <c r="H1315" s="96"/>
      <c r="I1315" s="41"/>
      <c r="J1315" s="42">
        <v>6620220</v>
      </c>
      <c r="K1315" s="313">
        <f t="shared" si="191"/>
        <v>0</v>
      </c>
      <c r="L1315" s="96"/>
      <c r="M1315" s="41"/>
      <c r="N1315" s="42">
        <v>1126577</v>
      </c>
      <c r="O1315" s="236">
        <f t="shared" si="193"/>
        <v>0</v>
      </c>
      <c r="P1315" s="358"/>
      <c r="Q1315" s="42">
        <v>735484</v>
      </c>
      <c r="R1315" s="314">
        <f t="shared" si="197"/>
        <v>0</v>
      </c>
      <c r="S1315" s="358"/>
      <c r="T1315" s="42">
        <v>213387</v>
      </c>
      <c r="U1315" s="348">
        <f t="shared" si="195"/>
        <v>0</v>
      </c>
      <c r="V1315" s="41"/>
      <c r="W1315" s="42">
        <v>49444</v>
      </c>
      <c r="X1315" s="349">
        <f t="shared" si="196"/>
        <v>0</v>
      </c>
      <c r="Y1315" s="41"/>
      <c r="Z1315" s="243"/>
    </row>
    <row r="1316" spans="1:26">
      <c r="A1316" s="150">
        <v>45845</v>
      </c>
      <c r="B1316" s="350" t="s">
        <v>108</v>
      </c>
      <c r="C1316" s="42">
        <v>4948799</v>
      </c>
      <c r="D1316" s="315">
        <f t="shared" si="194"/>
        <v>5535</v>
      </c>
      <c r="E1316" s="41"/>
      <c r="F1316" s="42">
        <v>12265575</v>
      </c>
      <c r="G1316" s="311">
        <f t="shared" si="192"/>
        <v>12016</v>
      </c>
      <c r="H1316" s="96"/>
      <c r="I1316" s="41"/>
      <c r="J1316" s="42">
        <v>6620220</v>
      </c>
      <c r="K1316" s="313">
        <f t="shared" si="191"/>
        <v>9884</v>
      </c>
      <c r="L1316" s="96"/>
      <c r="M1316" s="41"/>
      <c r="N1316" s="42">
        <v>1126577</v>
      </c>
      <c r="O1316" s="236">
        <f t="shared" si="193"/>
        <v>1048</v>
      </c>
      <c r="P1316" s="358"/>
      <c r="Q1316" s="42">
        <v>735484</v>
      </c>
      <c r="R1316" s="314">
        <f t="shared" si="197"/>
        <v>0</v>
      </c>
      <c r="S1316" s="358"/>
      <c r="T1316" s="42">
        <v>213387</v>
      </c>
      <c r="U1316" s="348">
        <f t="shared" si="195"/>
        <v>0</v>
      </c>
      <c r="V1316" s="41"/>
      <c r="W1316" s="42">
        <v>49444</v>
      </c>
      <c r="X1316" s="349">
        <f t="shared" si="196"/>
        <v>0</v>
      </c>
      <c r="Y1316" s="41"/>
      <c r="Z1316" s="243"/>
    </row>
    <row r="1317" spans="1:26">
      <c r="A1317" s="150">
        <v>45846</v>
      </c>
      <c r="B1317" s="350" t="s">
        <v>109</v>
      </c>
      <c r="C1317" s="42">
        <v>4954334</v>
      </c>
      <c r="D1317" s="315">
        <f t="shared" si="194"/>
        <v>5647</v>
      </c>
      <c r="E1317" s="41"/>
      <c r="F1317" s="42">
        <v>12277591</v>
      </c>
      <c r="G1317" s="311">
        <f t="shared" si="192"/>
        <v>17557</v>
      </c>
      <c r="H1317" s="96"/>
      <c r="I1317" s="41"/>
      <c r="J1317" s="42">
        <v>6630104</v>
      </c>
      <c r="K1317" s="313">
        <f t="shared" si="191"/>
        <v>6331</v>
      </c>
      <c r="L1317" s="96"/>
      <c r="M1317" s="41"/>
      <c r="N1317" s="42">
        <v>1127625</v>
      </c>
      <c r="O1317" s="236">
        <f t="shared" si="193"/>
        <v>1162</v>
      </c>
      <c r="P1317" s="358"/>
      <c r="Q1317" s="42">
        <v>735883</v>
      </c>
      <c r="R1317" s="314">
        <f t="shared" si="197"/>
        <v>399</v>
      </c>
      <c r="S1317" s="358"/>
      <c r="T1317" s="42">
        <v>213387</v>
      </c>
      <c r="U1317" s="348">
        <f t="shared" si="195"/>
        <v>0</v>
      </c>
      <c r="V1317" s="41"/>
      <c r="W1317" s="42">
        <v>49444</v>
      </c>
      <c r="X1317" s="349">
        <f t="shared" si="196"/>
        <v>0</v>
      </c>
      <c r="Y1317" s="41"/>
      <c r="Z1317" s="243"/>
    </row>
    <row r="1318" spans="1:26">
      <c r="A1318" s="150">
        <v>45847</v>
      </c>
      <c r="B1318" s="350" t="s">
        <v>110</v>
      </c>
      <c r="C1318" s="42">
        <v>4959981</v>
      </c>
      <c r="D1318" s="315">
        <f t="shared" si="194"/>
        <v>0</v>
      </c>
      <c r="E1318" s="41"/>
      <c r="F1318" s="42">
        <v>12295148</v>
      </c>
      <c r="G1318" s="311">
        <f t="shared" si="192"/>
        <v>0</v>
      </c>
      <c r="H1318" s="96"/>
      <c r="I1318" s="41"/>
      <c r="J1318" s="42">
        <v>6636435</v>
      </c>
      <c r="K1318" s="313">
        <f t="shared" si="191"/>
        <v>0</v>
      </c>
      <c r="L1318" s="96"/>
      <c r="M1318" s="41"/>
      <c r="N1318" s="42">
        <v>1128787</v>
      </c>
      <c r="O1318" s="236">
        <f t="shared" si="193"/>
        <v>0</v>
      </c>
      <c r="P1318" s="358"/>
      <c r="Q1318" s="42">
        <v>735883</v>
      </c>
      <c r="R1318" s="314">
        <f t="shared" si="197"/>
        <v>0</v>
      </c>
      <c r="S1318" s="358"/>
      <c r="T1318" s="42">
        <v>213387</v>
      </c>
      <c r="U1318" s="348">
        <f t="shared" si="195"/>
        <v>0</v>
      </c>
      <c r="V1318" s="41"/>
      <c r="W1318" s="42">
        <v>49444</v>
      </c>
      <c r="X1318" s="349">
        <f t="shared" si="196"/>
        <v>0</v>
      </c>
      <c r="Y1318" s="41"/>
      <c r="Z1318" s="243"/>
    </row>
    <row r="1319" spans="1:26">
      <c r="A1319" s="150">
        <v>45848</v>
      </c>
      <c r="B1319" s="350" t="s">
        <v>111</v>
      </c>
      <c r="C1319" s="42">
        <v>4959981</v>
      </c>
      <c r="D1319" s="315">
        <f t="shared" si="194"/>
        <v>5841</v>
      </c>
      <c r="E1319" s="41"/>
      <c r="F1319" s="42">
        <v>12295148</v>
      </c>
      <c r="G1319" s="311">
        <f t="shared" si="192"/>
        <v>12663</v>
      </c>
      <c r="H1319" s="96"/>
      <c r="I1319" s="41"/>
      <c r="J1319" s="42">
        <v>6636435</v>
      </c>
      <c r="K1319" s="313">
        <f t="shared" si="191"/>
        <v>10644</v>
      </c>
      <c r="L1319" s="96"/>
      <c r="M1319" s="41"/>
      <c r="N1319" s="42">
        <v>1128787</v>
      </c>
      <c r="O1319" s="236">
        <f t="shared" si="193"/>
        <v>898</v>
      </c>
      <c r="P1319" s="358"/>
      <c r="Q1319" s="42">
        <v>736074</v>
      </c>
      <c r="R1319" s="314">
        <f t="shared" si="197"/>
        <v>191</v>
      </c>
      <c r="S1319" s="358"/>
      <c r="T1319" s="42">
        <v>213387</v>
      </c>
      <c r="U1319" s="348">
        <f t="shared" si="195"/>
        <v>1008</v>
      </c>
      <c r="V1319" s="41"/>
      <c r="W1319" s="42">
        <v>49444</v>
      </c>
      <c r="X1319" s="349">
        <f t="shared" si="196"/>
        <v>16</v>
      </c>
      <c r="Y1319" s="41"/>
      <c r="Z1319" s="243"/>
    </row>
    <row r="1320" spans="1:26">
      <c r="A1320" s="150">
        <v>45849</v>
      </c>
      <c r="B1320" s="350" t="s">
        <v>106</v>
      </c>
      <c r="C1320" s="42">
        <v>4965822</v>
      </c>
      <c r="D1320" s="315">
        <f t="shared" si="194"/>
        <v>4891</v>
      </c>
      <c r="E1320" s="41"/>
      <c r="F1320" s="42">
        <v>12307811</v>
      </c>
      <c r="G1320" s="311">
        <f t="shared" si="192"/>
        <v>18159</v>
      </c>
      <c r="H1320" s="96"/>
      <c r="I1320" s="41"/>
      <c r="J1320" s="42">
        <v>6647079</v>
      </c>
      <c r="K1320" s="313">
        <f t="shared" si="191"/>
        <v>8003</v>
      </c>
      <c r="L1320" s="96"/>
      <c r="M1320" s="41"/>
      <c r="N1320" s="42">
        <v>1129685</v>
      </c>
      <c r="O1320" s="236">
        <f t="shared" si="193"/>
        <v>858</v>
      </c>
      <c r="P1320" s="358"/>
      <c r="Q1320" s="42">
        <v>736260</v>
      </c>
      <c r="R1320" s="314">
        <f t="shared" si="197"/>
        <v>186</v>
      </c>
      <c r="S1320" s="358"/>
      <c r="T1320" s="42">
        <v>214395</v>
      </c>
      <c r="U1320" s="348">
        <f t="shared" si="195"/>
        <v>0</v>
      </c>
      <c r="V1320" s="41"/>
      <c r="W1320" s="42">
        <v>49460</v>
      </c>
      <c r="X1320" s="349">
        <f t="shared" si="196"/>
        <v>0</v>
      </c>
      <c r="Y1320" s="41"/>
      <c r="Z1320" s="243"/>
    </row>
    <row r="1321" spans="1:26">
      <c r="A1321" s="150">
        <v>45850</v>
      </c>
      <c r="B1321" s="350" t="s">
        <v>107</v>
      </c>
      <c r="C1321" s="42">
        <v>4970713</v>
      </c>
      <c r="D1321" s="315">
        <f t="shared" si="194"/>
        <v>0</v>
      </c>
      <c r="E1321" s="41"/>
      <c r="F1321" s="42">
        <v>12325970</v>
      </c>
      <c r="G1321" s="311">
        <f t="shared" si="192"/>
        <v>0</v>
      </c>
      <c r="H1321" s="96"/>
      <c r="I1321" s="41"/>
      <c r="J1321" s="42">
        <v>6655082</v>
      </c>
      <c r="K1321" s="313">
        <f t="shared" si="191"/>
        <v>0</v>
      </c>
      <c r="L1321" s="96"/>
      <c r="M1321" s="41"/>
      <c r="N1321" s="42">
        <v>1130543</v>
      </c>
      <c r="O1321" s="236">
        <f t="shared" si="193"/>
        <v>892</v>
      </c>
      <c r="P1321" s="358"/>
      <c r="Q1321" s="42">
        <v>736485</v>
      </c>
      <c r="R1321" s="314">
        <f t="shared" si="197"/>
        <v>225</v>
      </c>
      <c r="S1321" s="358"/>
      <c r="T1321" s="42">
        <v>214395</v>
      </c>
      <c r="U1321" s="348">
        <f t="shared" si="195"/>
        <v>0</v>
      </c>
      <c r="V1321" s="41"/>
      <c r="W1321" s="42">
        <v>49460</v>
      </c>
      <c r="X1321" s="349">
        <f t="shared" si="196"/>
        <v>0</v>
      </c>
      <c r="Y1321" s="41"/>
      <c r="Z1321" s="243"/>
    </row>
    <row r="1322" spans="1:26">
      <c r="A1322" s="150">
        <v>45851</v>
      </c>
      <c r="B1322" s="350" t="s">
        <v>36</v>
      </c>
      <c r="C1322" s="42">
        <v>4970713</v>
      </c>
      <c r="D1322" s="315">
        <f t="shared" si="194"/>
        <v>0</v>
      </c>
      <c r="E1322" s="41"/>
      <c r="F1322" s="42">
        <v>12325970</v>
      </c>
      <c r="G1322" s="311">
        <f t="shared" si="192"/>
        <v>0</v>
      </c>
      <c r="H1322" s="96"/>
      <c r="I1322" s="41"/>
      <c r="J1322" s="42">
        <v>6655082</v>
      </c>
      <c r="K1322" s="313">
        <f t="shared" si="191"/>
        <v>0</v>
      </c>
      <c r="L1322" s="96"/>
      <c r="M1322" s="41"/>
      <c r="N1322" s="42">
        <v>1131435</v>
      </c>
      <c r="O1322" s="236">
        <f t="shared" si="193"/>
        <v>0</v>
      </c>
      <c r="P1322" s="358"/>
      <c r="Q1322" s="42">
        <v>736793</v>
      </c>
      <c r="R1322" s="314">
        <f t="shared" si="197"/>
        <v>308</v>
      </c>
      <c r="S1322" s="358"/>
      <c r="T1322" s="42">
        <v>214395</v>
      </c>
      <c r="U1322" s="348">
        <f t="shared" si="195"/>
        <v>0</v>
      </c>
      <c r="V1322" s="41"/>
      <c r="W1322" s="42">
        <v>49460</v>
      </c>
      <c r="X1322" s="349">
        <f t="shared" si="196"/>
        <v>0</v>
      </c>
      <c r="Y1322" s="41"/>
      <c r="Z1322" s="243"/>
    </row>
    <row r="1323" spans="1:26">
      <c r="A1323" s="150">
        <v>45852</v>
      </c>
      <c r="B1323" s="350" t="s">
        <v>108</v>
      </c>
      <c r="C1323" s="42">
        <v>4970713</v>
      </c>
      <c r="D1323" s="315">
        <f t="shared" si="194"/>
        <v>5533</v>
      </c>
      <c r="E1323" s="41"/>
      <c r="F1323" s="42">
        <v>12325970</v>
      </c>
      <c r="G1323" s="311">
        <f t="shared" si="192"/>
        <v>12063</v>
      </c>
      <c r="H1323" s="96"/>
      <c r="I1323" s="41"/>
      <c r="J1323" s="42">
        <v>6655082</v>
      </c>
      <c r="K1323" s="313">
        <f t="shared" si="191"/>
        <v>6907</v>
      </c>
      <c r="L1323" s="96"/>
      <c r="M1323" s="41"/>
      <c r="N1323" s="42">
        <v>1131435</v>
      </c>
      <c r="O1323" s="236">
        <f t="shared" si="193"/>
        <v>655</v>
      </c>
      <c r="P1323" s="358"/>
      <c r="Q1323" s="42">
        <v>736793</v>
      </c>
      <c r="R1323" s="314">
        <f t="shared" si="197"/>
        <v>0</v>
      </c>
      <c r="S1323" s="358"/>
      <c r="T1323" s="42">
        <v>214395</v>
      </c>
      <c r="U1323" s="348">
        <f t="shared" si="195"/>
        <v>0</v>
      </c>
      <c r="V1323" s="41"/>
      <c r="W1323" s="42">
        <v>49460</v>
      </c>
      <c r="X1323" s="349">
        <f t="shared" si="196"/>
        <v>5</v>
      </c>
      <c r="Y1323" s="41"/>
      <c r="Z1323" s="243"/>
    </row>
    <row r="1324" spans="1:26">
      <c r="A1324" s="150">
        <v>45853</v>
      </c>
      <c r="B1324" s="350" t="s">
        <v>109</v>
      </c>
      <c r="C1324" s="42">
        <v>4976246</v>
      </c>
      <c r="D1324" s="315">
        <f t="shared" si="194"/>
        <v>5417</v>
      </c>
      <c r="E1324" s="41"/>
      <c r="F1324" s="42">
        <v>12338033</v>
      </c>
      <c r="G1324" s="311">
        <f t="shared" si="192"/>
        <v>11800</v>
      </c>
      <c r="H1324" s="96"/>
      <c r="I1324" s="41"/>
      <c r="J1324" s="42">
        <v>6661989</v>
      </c>
      <c r="K1324" s="313">
        <f t="shared" si="191"/>
        <v>9752</v>
      </c>
      <c r="L1324" s="96"/>
      <c r="M1324" s="41"/>
      <c r="N1324" s="42">
        <v>1132090</v>
      </c>
      <c r="O1324" s="236">
        <f t="shared" si="193"/>
        <v>900</v>
      </c>
      <c r="P1324" s="358"/>
      <c r="Q1324" s="42">
        <v>737003</v>
      </c>
      <c r="R1324" s="314">
        <f t="shared" si="197"/>
        <v>210</v>
      </c>
      <c r="S1324" s="358"/>
      <c r="T1324" s="42">
        <v>214395</v>
      </c>
      <c r="U1324" s="348">
        <f t="shared" si="195"/>
        <v>0</v>
      </c>
      <c r="V1324" s="41"/>
      <c r="W1324" s="42">
        <v>49465</v>
      </c>
      <c r="X1324" s="349">
        <f t="shared" si="196"/>
        <v>0</v>
      </c>
      <c r="Y1324" s="41"/>
      <c r="Z1324" s="243"/>
    </row>
    <row r="1325" spans="1:26">
      <c r="A1325" s="150">
        <v>45854</v>
      </c>
      <c r="B1325" s="350" t="s">
        <v>110</v>
      </c>
      <c r="C1325" s="42">
        <v>4981663</v>
      </c>
      <c r="D1325" s="315">
        <f t="shared" si="194"/>
        <v>15077</v>
      </c>
      <c r="E1325" s="41"/>
      <c r="F1325" s="42">
        <v>12349833</v>
      </c>
      <c r="G1325" s="311">
        <f t="shared" si="192"/>
        <v>52634</v>
      </c>
      <c r="H1325" s="96"/>
      <c r="I1325" s="41"/>
      <c r="J1325" s="42">
        <v>6671741</v>
      </c>
      <c r="K1325" s="313">
        <f t="shared" si="191"/>
        <v>22409</v>
      </c>
      <c r="L1325" s="96"/>
      <c r="M1325" s="41"/>
      <c r="N1325" s="42">
        <v>1132990</v>
      </c>
      <c r="O1325" s="236">
        <f t="shared" si="193"/>
        <v>834</v>
      </c>
      <c r="P1325" s="358"/>
      <c r="Q1325" s="42">
        <v>737184</v>
      </c>
      <c r="R1325" s="314">
        <f t="shared" si="197"/>
        <v>181</v>
      </c>
      <c r="S1325" s="358"/>
      <c r="T1325" s="42">
        <v>214395</v>
      </c>
      <c r="U1325" s="348">
        <f t="shared" si="195"/>
        <v>0</v>
      </c>
      <c r="V1325" s="41"/>
      <c r="W1325" s="42">
        <v>49465</v>
      </c>
      <c r="X1325" s="349">
        <f t="shared" si="196"/>
        <v>0</v>
      </c>
      <c r="Y1325" s="41"/>
      <c r="Z1325" s="243"/>
    </row>
    <row r="1326" spans="1:26">
      <c r="A1326" s="150">
        <v>45855</v>
      </c>
      <c r="B1326" s="350" t="s">
        <v>111</v>
      </c>
      <c r="C1326" s="42">
        <v>4996740</v>
      </c>
      <c r="D1326" s="315">
        <f t="shared" si="194"/>
        <v>0</v>
      </c>
      <c r="E1326" s="41"/>
      <c r="F1326" s="42">
        <v>12402467</v>
      </c>
      <c r="G1326" s="311">
        <f t="shared" si="192"/>
        <v>0</v>
      </c>
      <c r="H1326" s="96"/>
      <c r="I1326" s="41"/>
      <c r="J1326" s="42">
        <v>6694150</v>
      </c>
      <c r="K1326" s="313">
        <f t="shared" si="191"/>
        <v>0</v>
      </c>
      <c r="L1326" s="96"/>
      <c r="M1326" s="41"/>
      <c r="N1326" s="42">
        <v>1133824</v>
      </c>
      <c r="O1326" s="236">
        <f t="shared" si="193"/>
        <v>961</v>
      </c>
      <c r="P1326" s="358"/>
      <c r="Q1326" s="42">
        <v>737383</v>
      </c>
      <c r="R1326" s="314">
        <f t="shared" si="197"/>
        <v>199</v>
      </c>
      <c r="S1326" s="358"/>
      <c r="T1326" s="42">
        <v>214395</v>
      </c>
      <c r="U1326" s="348">
        <f t="shared" si="195"/>
        <v>0</v>
      </c>
      <c r="V1326" s="41"/>
      <c r="W1326" s="42">
        <v>49465</v>
      </c>
      <c r="X1326" s="349">
        <f t="shared" si="196"/>
        <v>0</v>
      </c>
      <c r="Y1326" s="41"/>
      <c r="Z1326" s="243"/>
    </row>
    <row r="1327" spans="1:26">
      <c r="A1327" s="150">
        <v>45856</v>
      </c>
      <c r="B1327" s="350" t="s">
        <v>106</v>
      </c>
      <c r="C1327" s="42">
        <v>4996740</v>
      </c>
      <c r="D1327" s="315">
        <f t="shared" si="194"/>
        <v>0</v>
      </c>
      <c r="E1327" s="41"/>
      <c r="F1327" s="42">
        <v>12402467</v>
      </c>
      <c r="G1327" s="311">
        <f t="shared" si="192"/>
        <v>0</v>
      </c>
      <c r="H1327" s="96"/>
      <c r="I1327" s="41"/>
      <c r="J1327" s="42">
        <v>6694150</v>
      </c>
      <c r="K1327" s="313">
        <f t="shared" si="191"/>
        <v>0</v>
      </c>
      <c r="L1327" s="96"/>
      <c r="M1327" s="41"/>
      <c r="N1327" s="42">
        <v>1134785</v>
      </c>
      <c r="O1327" s="236">
        <f t="shared" si="193"/>
        <v>833</v>
      </c>
      <c r="P1327" s="358"/>
      <c r="Q1327" s="42">
        <v>737597</v>
      </c>
      <c r="R1327" s="314">
        <f t="shared" si="197"/>
        <v>214</v>
      </c>
      <c r="S1327" s="358"/>
      <c r="T1327" s="42">
        <v>214395</v>
      </c>
      <c r="U1327" s="348">
        <f t="shared" si="195"/>
        <v>0</v>
      </c>
      <c r="V1327" s="41"/>
      <c r="W1327" s="42">
        <v>49465</v>
      </c>
      <c r="X1327" s="349">
        <f t="shared" si="196"/>
        <v>0</v>
      </c>
      <c r="Y1327" s="41"/>
      <c r="Z1327" s="243"/>
    </row>
    <row r="1328" spans="1:26">
      <c r="A1328" s="150">
        <v>45857</v>
      </c>
      <c r="B1328" s="350" t="s">
        <v>107</v>
      </c>
      <c r="C1328" s="42">
        <v>4996740</v>
      </c>
      <c r="D1328" s="315">
        <f t="shared" si="194"/>
        <v>0</v>
      </c>
      <c r="E1328" s="41"/>
      <c r="F1328" s="42">
        <v>12402467</v>
      </c>
      <c r="G1328" s="311">
        <f t="shared" si="192"/>
        <v>0</v>
      </c>
      <c r="H1328" s="96"/>
      <c r="I1328" s="41"/>
      <c r="J1328" s="42">
        <v>6694150</v>
      </c>
      <c r="K1328" s="313">
        <f t="shared" si="191"/>
        <v>0</v>
      </c>
      <c r="L1328" s="96"/>
      <c r="M1328" s="41"/>
      <c r="N1328" s="42">
        <v>1135618</v>
      </c>
      <c r="O1328" s="236">
        <f t="shared" si="193"/>
        <v>828</v>
      </c>
      <c r="P1328" s="358"/>
      <c r="Q1328" s="42">
        <v>737780</v>
      </c>
      <c r="R1328" s="314">
        <f t="shared" si="197"/>
        <v>183</v>
      </c>
      <c r="S1328" s="358"/>
      <c r="T1328" s="42">
        <v>214395</v>
      </c>
      <c r="U1328" s="348">
        <f t="shared" si="195"/>
        <v>0</v>
      </c>
      <c r="V1328" s="41"/>
      <c r="W1328" s="42">
        <v>49465</v>
      </c>
      <c r="X1328" s="349">
        <f t="shared" si="196"/>
        <v>0</v>
      </c>
      <c r="Y1328" s="41"/>
      <c r="Z1328" s="243"/>
    </row>
    <row r="1329" spans="1:26">
      <c r="A1329" s="150">
        <v>45858</v>
      </c>
      <c r="B1329" s="350" t="s">
        <v>36</v>
      </c>
      <c r="C1329" s="42">
        <v>4996740</v>
      </c>
      <c r="D1329" s="315">
        <f t="shared" si="194"/>
        <v>0</v>
      </c>
      <c r="E1329" s="41"/>
      <c r="F1329" s="42">
        <v>12402467</v>
      </c>
      <c r="G1329" s="311">
        <f t="shared" si="192"/>
        <v>0</v>
      </c>
      <c r="H1329" s="96"/>
      <c r="I1329" s="41"/>
      <c r="J1329" s="42">
        <v>6694150</v>
      </c>
      <c r="K1329" s="313">
        <f t="shared" si="191"/>
        <v>0</v>
      </c>
      <c r="L1329" s="96"/>
      <c r="M1329" s="41"/>
      <c r="N1329" s="42">
        <v>1136446</v>
      </c>
      <c r="O1329" s="236">
        <f t="shared" si="193"/>
        <v>0</v>
      </c>
      <c r="P1329" s="358"/>
      <c r="Q1329" s="42">
        <v>738071</v>
      </c>
      <c r="R1329" s="314">
        <f t="shared" si="197"/>
        <v>291</v>
      </c>
      <c r="S1329" s="358"/>
      <c r="T1329" s="42">
        <v>214395</v>
      </c>
      <c r="U1329" s="348">
        <f t="shared" si="195"/>
        <v>0</v>
      </c>
      <c r="V1329" s="41"/>
      <c r="W1329" s="42">
        <v>49465</v>
      </c>
      <c r="X1329" s="349">
        <f t="shared" si="196"/>
        <v>0</v>
      </c>
      <c r="Y1329" s="41"/>
      <c r="Z1329" s="243"/>
    </row>
    <row r="1330" spans="1:26">
      <c r="A1330" s="150">
        <v>45859</v>
      </c>
      <c r="B1330" s="350" t="s">
        <v>108</v>
      </c>
      <c r="C1330" s="42">
        <v>4996740</v>
      </c>
      <c r="D1330" s="315">
        <f t="shared" si="194"/>
        <v>5255</v>
      </c>
      <c r="E1330" s="41"/>
      <c r="F1330" s="42">
        <v>12402467</v>
      </c>
      <c r="G1330" s="311">
        <f t="shared" si="192"/>
        <v>0</v>
      </c>
      <c r="H1330" s="96"/>
      <c r="I1330" s="41"/>
      <c r="J1330" s="42">
        <v>6694150</v>
      </c>
      <c r="K1330" s="313">
        <f t="shared" si="191"/>
        <v>9699</v>
      </c>
      <c r="L1330" s="96"/>
      <c r="M1330" s="41"/>
      <c r="N1330" s="42">
        <v>1136446</v>
      </c>
      <c r="O1330" s="236">
        <f t="shared" si="193"/>
        <v>761</v>
      </c>
      <c r="P1330" s="358"/>
      <c r="Q1330" s="42">
        <v>738071</v>
      </c>
      <c r="R1330" s="314">
        <f t="shared" si="197"/>
        <v>0</v>
      </c>
      <c r="S1330" s="358"/>
      <c r="T1330" s="42">
        <v>214395</v>
      </c>
      <c r="U1330" s="3"/>
      <c r="V1330" s="41"/>
      <c r="W1330" s="42">
        <v>49465</v>
      </c>
      <c r="X1330" s="3"/>
      <c r="Y1330" s="41"/>
      <c r="Z1330" s="243"/>
    </row>
    <row r="1331" spans="1:26">
      <c r="A1331" s="150">
        <v>45860</v>
      </c>
      <c r="B1331" s="350" t="s">
        <v>109</v>
      </c>
      <c r="C1331" s="42">
        <v>5001995</v>
      </c>
      <c r="D1331" s="353"/>
      <c r="E1331" s="41"/>
      <c r="F1331" s="42">
        <v>12402467</v>
      </c>
      <c r="G1331" s="3"/>
      <c r="H1331" s="96"/>
      <c r="I1331" s="41"/>
      <c r="J1331" s="42">
        <v>6703849</v>
      </c>
      <c r="K1331" s="3"/>
      <c r="L1331" s="96"/>
      <c r="M1331" s="41"/>
      <c r="N1331" s="42">
        <v>1137207</v>
      </c>
      <c r="O1331" s="3"/>
      <c r="P1331" s="358"/>
      <c r="Q1331" s="42">
        <v>738284</v>
      </c>
      <c r="R1331" s="3"/>
      <c r="S1331" s="358"/>
      <c r="T1331" s="42"/>
      <c r="U1331" s="3"/>
      <c r="V1331" s="41"/>
      <c r="W1331" s="42"/>
      <c r="X1331" s="3"/>
      <c r="Y1331" s="41"/>
      <c r="Z1331" s="243"/>
    </row>
    <row r="1332" spans="1:26">
      <c r="A1332" s="150">
        <v>45861</v>
      </c>
      <c r="B1332" s="350" t="s">
        <v>110</v>
      </c>
      <c r="C1332" s="42"/>
      <c r="D1332" s="353"/>
      <c r="E1332" s="41"/>
      <c r="F1332" s="42"/>
      <c r="G1332" s="3"/>
      <c r="H1332" s="96"/>
      <c r="I1332" s="41"/>
      <c r="J1332" s="42"/>
      <c r="K1332" s="3"/>
      <c r="L1332" s="96"/>
      <c r="M1332" s="41"/>
      <c r="N1332" s="42"/>
      <c r="O1332" s="3"/>
      <c r="P1332" s="358"/>
      <c r="Q1332" s="42"/>
      <c r="R1332" s="3"/>
      <c r="S1332" s="358"/>
      <c r="T1332" s="42"/>
      <c r="U1332" s="3"/>
      <c r="V1332" s="41"/>
      <c r="W1332" s="42"/>
      <c r="X1332" s="3"/>
      <c r="Y1332" s="41"/>
      <c r="Z1332" s="243"/>
    </row>
    <row r="1333" spans="1:26">
      <c r="A1333" s="150">
        <v>45862</v>
      </c>
      <c r="B1333" s="350" t="s">
        <v>111</v>
      </c>
      <c r="C1333" s="42"/>
      <c r="D1333" s="353"/>
      <c r="E1333" s="41"/>
      <c r="F1333" s="42"/>
      <c r="G1333" s="3"/>
      <c r="H1333" s="96"/>
      <c r="I1333" s="41"/>
      <c r="J1333" s="42"/>
      <c r="K1333" s="3"/>
      <c r="L1333" s="96"/>
      <c r="M1333" s="41"/>
      <c r="N1333" s="42"/>
      <c r="O1333" s="3"/>
      <c r="P1333" s="358"/>
      <c r="Q1333" s="42"/>
      <c r="R1333" s="3"/>
      <c r="S1333" s="358"/>
      <c r="T1333" s="42"/>
      <c r="U1333" s="3"/>
      <c r="V1333" s="41"/>
      <c r="W1333" s="42"/>
      <c r="X1333" s="3"/>
      <c r="Y1333" s="41"/>
      <c r="Z1333" s="243"/>
    </row>
    <row r="1334" spans="1:26">
      <c r="A1334" s="150">
        <v>45863</v>
      </c>
      <c r="B1334" s="350" t="s">
        <v>106</v>
      </c>
      <c r="C1334" s="42"/>
      <c r="D1334" s="353"/>
      <c r="E1334" s="41"/>
      <c r="F1334" s="42"/>
      <c r="G1334" s="3"/>
      <c r="H1334" s="96"/>
      <c r="I1334" s="41"/>
      <c r="J1334" s="42"/>
      <c r="K1334" s="3"/>
      <c r="L1334" s="96"/>
      <c r="M1334" s="41"/>
      <c r="N1334" s="42"/>
      <c r="O1334" s="3"/>
      <c r="P1334" s="358"/>
      <c r="Q1334" s="42"/>
      <c r="R1334" s="3"/>
      <c r="S1334" s="358"/>
      <c r="T1334" s="42"/>
      <c r="U1334" s="3"/>
      <c r="V1334" s="41"/>
      <c r="W1334" s="42"/>
      <c r="X1334" s="3"/>
      <c r="Y1334" s="41"/>
      <c r="Z1334" s="243"/>
    </row>
    <row r="1335" spans="1:26">
      <c r="A1335" s="150">
        <v>45864</v>
      </c>
      <c r="B1335" s="350" t="s">
        <v>107</v>
      </c>
      <c r="C1335" s="42"/>
      <c r="D1335" s="353"/>
      <c r="E1335" s="41"/>
      <c r="F1335" s="42"/>
      <c r="G1335" s="3"/>
      <c r="H1335" s="96"/>
      <c r="I1335" s="41"/>
      <c r="J1335" s="42"/>
      <c r="K1335" s="3"/>
      <c r="L1335" s="96"/>
      <c r="M1335" s="41"/>
      <c r="N1335" s="42"/>
      <c r="O1335" s="3"/>
      <c r="P1335" s="358"/>
      <c r="Q1335" s="42"/>
      <c r="R1335" s="3"/>
      <c r="S1335" s="358"/>
      <c r="T1335" s="42"/>
      <c r="U1335" s="3"/>
      <c r="V1335" s="41"/>
      <c r="W1335" s="42"/>
      <c r="X1335" s="3"/>
      <c r="Y1335" s="41"/>
      <c r="Z1335" s="243"/>
    </row>
    <row r="1336" spans="1:26">
      <c r="A1336" s="150">
        <v>45865</v>
      </c>
      <c r="B1336" s="350" t="s">
        <v>36</v>
      </c>
      <c r="C1336" s="42"/>
      <c r="D1336" s="353"/>
      <c r="E1336" s="41"/>
      <c r="F1336" s="42"/>
      <c r="G1336" s="3"/>
      <c r="H1336" s="96"/>
      <c r="I1336" s="41"/>
      <c r="J1336" s="42"/>
      <c r="K1336" s="3"/>
      <c r="L1336" s="96"/>
      <c r="M1336" s="41"/>
      <c r="N1336" s="42"/>
      <c r="O1336" s="3"/>
      <c r="P1336" s="358"/>
      <c r="Q1336" s="42"/>
      <c r="R1336" s="3"/>
      <c r="S1336" s="358"/>
      <c r="T1336" s="42"/>
      <c r="U1336" s="3"/>
      <c r="V1336" s="41"/>
      <c r="W1336" s="42"/>
      <c r="X1336" s="3"/>
      <c r="Y1336" s="41"/>
      <c r="Z1336" s="243"/>
    </row>
    <row r="1337" spans="1:26">
      <c r="A1337" s="150">
        <v>45866</v>
      </c>
      <c r="B1337" s="350" t="s">
        <v>108</v>
      </c>
      <c r="C1337" s="42"/>
      <c r="D1337" s="353"/>
      <c r="E1337" s="41"/>
      <c r="F1337" s="42"/>
      <c r="G1337" s="3"/>
      <c r="H1337" s="96"/>
      <c r="I1337" s="41"/>
      <c r="J1337" s="42"/>
      <c r="K1337" s="3"/>
      <c r="L1337" s="96"/>
      <c r="M1337" s="41"/>
      <c r="N1337" s="42"/>
      <c r="O1337" s="3"/>
      <c r="P1337" s="358"/>
      <c r="Q1337" s="42"/>
      <c r="R1337" s="3"/>
      <c r="S1337" s="358"/>
      <c r="T1337" s="42"/>
      <c r="U1337" s="3"/>
      <c r="V1337" s="41"/>
      <c r="W1337" s="42"/>
      <c r="X1337" s="3"/>
      <c r="Y1337" s="41"/>
      <c r="Z1337" s="243"/>
    </row>
    <row r="1338" spans="1:26">
      <c r="A1338" s="150">
        <v>45867</v>
      </c>
      <c r="B1338" s="350" t="s">
        <v>109</v>
      </c>
      <c r="C1338" s="42"/>
      <c r="D1338" s="353"/>
      <c r="E1338" s="41"/>
      <c r="F1338" s="42"/>
      <c r="G1338" s="3"/>
      <c r="H1338" s="96"/>
      <c r="I1338" s="41"/>
      <c r="J1338" s="42"/>
      <c r="K1338" s="3"/>
      <c r="L1338" s="96"/>
      <c r="M1338" s="41"/>
      <c r="N1338" s="42"/>
      <c r="O1338" s="3"/>
      <c r="P1338" s="358"/>
      <c r="Q1338" s="42"/>
      <c r="R1338" s="3"/>
      <c r="S1338" s="358"/>
      <c r="T1338" s="42"/>
      <c r="U1338" s="3"/>
      <c r="V1338" s="41"/>
      <c r="W1338" s="42"/>
      <c r="X1338" s="3"/>
      <c r="Y1338" s="41"/>
      <c r="Z1338" s="243"/>
    </row>
    <row r="1339" spans="1:26">
      <c r="A1339" s="150">
        <v>45868</v>
      </c>
      <c r="B1339" s="350" t="s">
        <v>110</v>
      </c>
      <c r="C1339" s="42"/>
      <c r="D1339" s="353"/>
      <c r="E1339" s="41"/>
      <c r="F1339" s="42"/>
      <c r="G1339" s="3"/>
      <c r="H1339" s="96"/>
      <c r="I1339" s="41"/>
      <c r="J1339" s="42"/>
      <c r="K1339" s="3"/>
      <c r="L1339" s="96"/>
      <c r="M1339" s="41"/>
      <c r="N1339" s="42"/>
      <c r="O1339" s="3"/>
      <c r="P1339" s="358"/>
      <c r="Q1339" s="42"/>
      <c r="R1339" s="3"/>
      <c r="S1339" s="358"/>
      <c r="T1339" s="42"/>
      <c r="U1339" s="3"/>
      <c r="V1339" s="41"/>
      <c r="W1339" s="42"/>
      <c r="X1339" s="3"/>
      <c r="Y1339" s="41"/>
      <c r="Z1339" s="243"/>
    </row>
    <row r="1340" spans="1:26">
      <c r="A1340" s="150">
        <v>45869</v>
      </c>
      <c r="B1340" s="350" t="s">
        <v>111</v>
      </c>
      <c r="C1340" s="42"/>
      <c r="D1340" s="353"/>
      <c r="E1340" s="41"/>
      <c r="F1340" s="42"/>
      <c r="G1340" s="3"/>
      <c r="H1340" s="96"/>
      <c r="I1340" s="41"/>
      <c r="J1340" s="42"/>
      <c r="K1340" s="3"/>
      <c r="L1340" s="96"/>
      <c r="M1340" s="41"/>
      <c r="N1340" s="42"/>
      <c r="O1340" s="3"/>
      <c r="P1340" s="358"/>
      <c r="Q1340" s="42"/>
      <c r="R1340" s="3"/>
      <c r="S1340" s="358"/>
      <c r="T1340" s="42"/>
      <c r="U1340" s="3"/>
      <c r="V1340" s="41"/>
      <c r="W1340" s="42"/>
      <c r="X1340" s="3"/>
      <c r="Y1340" s="41"/>
      <c r="Z1340" s="243"/>
    </row>
    <row r="1341" spans="1:26">
      <c r="A1341" s="150">
        <v>45870</v>
      </c>
      <c r="B1341" s="350" t="s">
        <v>106</v>
      </c>
      <c r="C1341" s="42"/>
      <c r="D1341" s="353"/>
      <c r="E1341" s="41"/>
      <c r="F1341" s="42"/>
      <c r="G1341" s="3"/>
      <c r="H1341" s="96"/>
      <c r="I1341" s="41"/>
      <c r="J1341" s="42"/>
      <c r="K1341" s="3"/>
      <c r="L1341" s="96"/>
      <c r="M1341" s="41"/>
      <c r="N1341" s="42"/>
      <c r="O1341" s="3"/>
      <c r="P1341" s="358"/>
      <c r="Q1341" s="42"/>
      <c r="R1341" s="3"/>
      <c r="S1341" s="358"/>
      <c r="T1341" s="42"/>
      <c r="U1341" s="3"/>
      <c r="V1341" s="41"/>
      <c r="W1341" s="42"/>
      <c r="X1341" s="3"/>
      <c r="Y1341" s="41"/>
      <c r="Z1341" s="243"/>
    </row>
    <row r="1342" spans="1:26">
      <c r="A1342" s="150">
        <v>45871</v>
      </c>
      <c r="B1342" s="350" t="s">
        <v>107</v>
      </c>
      <c r="C1342" s="42"/>
      <c r="D1342" s="353"/>
      <c r="E1342" s="41"/>
      <c r="F1342" s="42"/>
      <c r="G1342" s="3"/>
      <c r="H1342" s="96"/>
      <c r="I1342" s="41"/>
      <c r="J1342" s="42"/>
      <c r="K1342" s="3"/>
      <c r="L1342" s="96"/>
      <c r="M1342" s="41"/>
      <c r="N1342" s="42"/>
      <c r="O1342" s="3"/>
      <c r="P1342" s="358"/>
      <c r="Q1342" s="42"/>
      <c r="R1342" s="3"/>
      <c r="S1342" s="358"/>
      <c r="T1342" s="42"/>
      <c r="U1342" s="3"/>
      <c r="V1342" s="41"/>
      <c r="W1342" s="42"/>
      <c r="X1342" s="3"/>
      <c r="Y1342" s="41"/>
      <c r="Z1342" s="243"/>
    </row>
    <row r="1343" spans="1:26">
      <c r="A1343" s="150">
        <v>45872</v>
      </c>
      <c r="B1343" s="350" t="s">
        <v>36</v>
      </c>
      <c r="C1343" s="42"/>
      <c r="D1343" s="353"/>
      <c r="E1343" s="41"/>
      <c r="F1343" s="42"/>
      <c r="G1343" s="3"/>
      <c r="H1343" s="96"/>
      <c r="I1343" s="41"/>
      <c r="J1343" s="42"/>
      <c r="K1343" s="3"/>
      <c r="L1343" s="96"/>
      <c r="M1343" s="41"/>
      <c r="N1343" s="42"/>
      <c r="O1343" s="3"/>
      <c r="P1343" s="358"/>
      <c r="Q1343" s="42"/>
      <c r="R1343" s="3"/>
      <c r="S1343" s="358"/>
      <c r="T1343" s="42"/>
      <c r="U1343" s="3"/>
      <c r="V1343" s="41"/>
      <c r="W1343" s="42"/>
      <c r="X1343" s="3"/>
      <c r="Y1343" s="41"/>
      <c r="Z1343" s="243"/>
    </row>
    <row r="1344" spans="1:26">
      <c r="A1344" s="150">
        <v>45873</v>
      </c>
      <c r="B1344" s="350" t="s">
        <v>108</v>
      </c>
      <c r="C1344" s="42"/>
      <c r="D1344" s="353"/>
      <c r="E1344" s="41"/>
      <c r="F1344" s="42"/>
      <c r="G1344" s="3"/>
      <c r="H1344" s="96"/>
      <c r="I1344" s="41"/>
      <c r="J1344" s="42"/>
      <c r="K1344" s="3"/>
      <c r="L1344" s="96"/>
      <c r="M1344" s="41"/>
      <c r="N1344" s="42"/>
      <c r="O1344" s="3"/>
      <c r="P1344" s="358"/>
      <c r="Q1344" s="42"/>
      <c r="R1344" s="3"/>
      <c r="S1344" s="358"/>
      <c r="T1344" s="42"/>
      <c r="U1344" s="3"/>
      <c r="V1344" s="41"/>
      <c r="W1344" s="42"/>
      <c r="X1344" s="3"/>
      <c r="Y1344" s="41"/>
      <c r="Z1344" s="243"/>
    </row>
    <row r="1345" spans="1:26">
      <c r="A1345" s="150">
        <v>45874</v>
      </c>
      <c r="B1345" s="350" t="s">
        <v>109</v>
      </c>
      <c r="C1345" s="42"/>
      <c r="D1345" s="353"/>
      <c r="E1345" s="41"/>
      <c r="F1345" s="42"/>
      <c r="G1345" s="3"/>
      <c r="H1345" s="96"/>
      <c r="I1345" s="41"/>
      <c r="J1345" s="42"/>
      <c r="K1345" s="3"/>
      <c r="L1345" s="96"/>
      <c r="M1345" s="41"/>
      <c r="N1345" s="42"/>
      <c r="O1345" s="3"/>
      <c r="P1345" s="358"/>
      <c r="Q1345" s="42"/>
      <c r="R1345" s="3"/>
      <c r="S1345" s="358"/>
      <c r="T1345" s="42"/>
      <c r="U1345" s="3"/>
      <c r="V1345" s="41"/>
      <c r="W1345" s="42"/>
      <c r="X1345" s="3"/>
      <c r="Y1345" s="41"/>
      <c r="Z1345" s="243"/>
    </row>
    <row r="1346" spans="1:26">
      <c r="A1346" s="150">
        <v>45875</v>
      </c>
      <c r="B1346" s="350" t="s">
        <v>110</v>
      </c>
      <c r="C1346" s="42"/>
      <c r="D1346" s="353"/>
      <c r="E1346" s="41"/>
      <c r="F1346" s="42"/>
      <c r="G1346" s="3"/>
      <c r="H1346" s="96"/>
      <c r="I1346" s="41"/>
      <c r="J1346" s="42"/>
      <c r="K1346" s="3"/>
      <c r="L1346" s="96"/>
      <c r="M1346" s="41"/>
      <c r="N1346" s="42"/>
      <c r="O1346" s="3"/>
      <c r="P1346" s="358"/>
      <c r="Q1346" s="42"/>
      <c r="R1346" s="3"/>
      <c r="S1346" s="358"/>
      <c r="T1346" s="42"/>
      <c r="U1346" s="3"/>
      <c r="V1346" s="41"/>
      <c r="W1346" s="42"/>
      <c r="X1346" s="3"/>
      <c r="Y1346" s="41"/>
      <c r="Z1346" s="243"/>
    </row>
    <row r="1347" spans="1:26">
      <c r="A1347" s="150">
        <v>45876</v>
      </c>
      <c r="B1347" s="350" t="s">
        <v>111</v>
      </c>
      <c r="C1347" s="42"/>
      <c r="D1347" s="353"/>
      <c r="E1347" s="41"/>
      <c r="F1347" s="42"/>
      <c r="G1347" s="3"/>
      <c r="H1347" s="96"/>
      <c r="I1347" s="41"/>
      <c r="J1347" s="42"/>
      <c r="K1347" s="3"/>
      <c r="L1347" s="96"/>
      <c r="M1347" s="41"/>
      <c r="N1347" s="42"/>
      <c r="O1347" s="3"/>
      <c r="P1347" s="358"/>
      <c r="Q1347" s="42"/>
      <c r="R1347" s="3"/>
      <c r="S1347" s="358"/>
      <c r="T1347" s="42"/>
      <c r="U1347" s="3"/>
      <c r="V1347" s="41"/>
      <c r="W1347" s="42"/>
      <c r="X1347" s="3"/>
      <c r="Y1347" s="41"/>
      <c r="Z1347" s="243"/>
    </row>
    <row r="1348" spans="1:26">
      <c r="A1348" s="150">
        <v>45877</v>
      </c>
      <c r="B1348" s="350" t="s">
        <v>106</v>
      </c>
      <c r="C1348" s="42"/>
      <c r="D1348" s="353"/>
      <c r="E1348" s="41"/>
      <c r="F1348" s="42"/>
      <c r="G1348" s="3"/>
      <c r="H1348" s="96"/>
      <c r="I1348" s="41"/>
      <c r="J1348" s="42"/>
      <c r="K1348" s="3"/>
      <c r="L1348" s="96"/>
      <c r="M1348" s="41"/>
      <c r="N1348" s="42"/>
      <c r="O1348" s="3"/>
      <c r="P1348" s="358"/>
      <c r="Q1348" s="42"/>
      <c r="R1348" s="3"/>
      <c r="S1348" s="358"/>
      <c r="T1348" s="42"/>
      <c r="U1348" s="3"/>
      <c r="V1348" s="41"/>
      <c r="W1348" s="42"/>
      <c r="X1348" s="3"/>
      <c r="Y1348" s="41"/>
      <c r="Z1348" s="243"/>
    </row>
    <row r="1349" spans="1:26">
      <c r="A1349" s="150">
        <v>45878</v>
      </c>
      <c r="B1349" s="350" t="s">
        <v>107</v>
      </c>
      <c r="C1349" s="42"/>
      <c r="D1349" s="353"/>
      <c r="E1349" s="41"/>
      <c r="F1349" s="42"/>
      <c r="G1349" s="3"/>
      <c r="H1349" s="96"/>
      <c r="I1349" s="41"/>
      <c r="J1349" s="42"/>
      <c r="K1349" s="3"/>
      <c r="L1349" s="96"/>
      <c r="M1349" s="41"/>
      <c r="N1349" s="42"/>
      <c r="O1349" s="3"/>
      <c r="P1349" s="358"/>
      <c r="Q1349" s="42"/>
      <c r="R1349" s="3"/>
      <c r="S1349" s="358"/>
      <c r="T1349" s="42"/>
      <c r="U1349" s="3"/>
      <c r="V1349" s="41"/>
      <c r="W1349" s="42"/>
      <c r="X1349" s="3"/>
      <c r="Y1349" s="41"/>
      <c r="Z1349" s="243"/>
    </row>
    <row r="1350" spans="1:26">
      <c r="A1350" s="150">
        <v>45879</v>
      </c>
      <c r="B1350" s="350" t="s">
        <v>36</v>
      </c>
      <c r="C1350" s="42"/>
      <c r="D1350" s="353"/>
      <c r="E1350" s="41"/>
      <c r="F1350" s="42"/>
      <c r="G1350" s="3"/>
      <c r="H1350" s="96"/>
      <c r="I1350" s="41"/>
      <c r="J1350" s="42"/>
      <c r="K1350" s="3"/>
      <c r="L1350" s="96"/>
      <c r="M1350" s="41"/>
      <c r="N1350" s="42"/>
      <c r="O1350" s="3"/>
      <c r="P1350" s="358"/>
      <c r="Q1350" s="42"/>
      <c r="R1350" s="3"/>
      <c r="S1350" s="358"/>
      <c r="T1350" s="42"/>
      <c r="U1350" s="3"/>
      <c r="V1350" s="41"/>
      <c r="W1350" s="42"/>
      <c r="X1350" s="3"/>
      <c r="Y1350" s="41"/>
      <c r="Z1350" s="243"/>
    </row>
    <row r="1351" spans="1:26">
      <c r="A1351" s="150">
        <v>45880</v>
      </c>
      <c r="B1351" s="350" t="s">
        <v>108</v>
      </c>
      <c r="C1351" s="42"/>
      <c r="D1351" s="353"/>
      <c r="E1351" s="41"/>
      <c r="F1351" s="42"/>
      <c r="G1351" s="3"/>
      <c r="H1351" s="96"/>
      <c r="I1351" s="41"/>
      <c r="J1351" s="42"/>
      <c r="K1351" s="3"/>
      <c r="L1351" s="96"/>
      <c r="M1351" s="41"/>
      <c r="N1351" s="42"/>
      <c r="O1351" s="3"/>
      <c r="P1351" s="358"/>
      <c r="Q1351" s="42"/>
      <c r="R1351" s="3"/>
      <c r="S1351" s="358"/>
      <c r="T1351" s="42"/>
      <c r="U1351" s="3"/>
      <c r="V1351" s="41"/>
      <c r="W1351" s="42"/>
      <c r="X1351" s="3"/>
      <c r="Y1351" s="41"/>
      <c r="Z1351" s="243"/>
    </row>
    <row r="1352" spans="1:26">
      <c r="A1352" s="150">
        <v>45881</v>
      </c>
      <c r="B1352" s="350" t="s">
        <v>109</v>
      </c>
      <c r="C1352" s="42"/>
      <c r="D1352" s="353"/>
      <c r="E1352" s="41"/>
      <c r="F1352" s="42"/>
      <c r="G1352" s="3"/>
      <c r="H1352" s="96"/>
      <c r="I1352" s="41"/>
      <c r="J1352" s="42"/>
      <c r="K1352" s="3"/>
      <c r="L1352" s="96"/>
      <c r="M1352" s="41"/>
      <c r="N1352" s="42"/>
      <c r="O1352" s="3"/>
      <c r="P1352" s="358"/>
      <c r="Q1352" s="42"/>
      <c r="R1352" s="3"/>
      <c r="S1352" s="358"/>
      <c r="T1352" s="42"/>
      <c r="U1352" s="3"/>
      <c r="V1352" s="41"/>
      <c r="W1352" s="42"/>
      <c r="X1352" s="3"/>
      <c r="Y1352" s="41"/>
      <c r="Z1352" s="243"/>
    </row>
    <row r="1353" spans="1:26">
      <c r="A1353" s="150">
        <v>45882</v>
      </c>
      <c r="B1353" s="350" t="s">
        <v>110</v>
      </c>
      <c r="C1353" s="42"/>
      <c r="D1353" s="353"/>
      <c r="E1353" s="41"/>
      <c r="F1353" s="42"/>
      <c r="G1353" s="3"/>
      <c r="H1353" s="96"/>
      <c r="I1353" s="41"/>
      <c r="J1353" s="42"/>
      <c r="K1353" s="3"/>
      <c r="L1353" s="96"/>
      <c r="M1353" s="41"/>
      <c r="N1353" s="42"/>
      <c r="O1353" s="3"/>
      <c r="P1353" s="358"/>
      <c r="Q1353" s="42"/>
      <c r="R1353" s="3"/>
      <c r="S1353" s="358"/>
      <c r="T1353" s="42"/>
      <c r="U1353" s="3"/>
      <c r="V1353" s="41"/>
      <c r="W1353" s="42"/>
      <c r="X1353" s="3"/>
      <c r="Y1353" s="41"/>
      <c r="Z1353" s="243"/>
    </row>
    <row r="1354" spans="1:26">
      <c r="A1354" s="150">
        <v>45883</v>
      </c>
      <c r="B1354" s="350" t="s">
        <v>111</v>
      </c>
      <c r="C1354" s="42"/>
      <c r="D1354" s="353"/>
      <c r="E1354" s="41"/>
      <c r="F1354" s="42"/>
      <c r="G1354" s="3"/>
      <c r="H1354" s="96"/>
      <c r="I1354" s="41"/>
      <c r="J1354" s="42"/>
      <c r="K1354" s="3"/>
      <c r="L1354" s="96"/>
      <c r="M1354" s="41"/>
      <c r="N1354" s="42"/>
      <c r="O1354" s="3"/>
      <c r="P1354" s="358"/>
      <c r="Q1354" s="42"/>
      <c r="R1354" s="3"/>
      <c r="S1354" s="358"/>
      <c r="T1354" s="42"/>
      <c r="U1354" s="3"/>
      <c r="V1354" s="41"/>
      <c r="W1354" s="42"/>
      <c r="X1354" s="3"/>
      <c r="Y1354" s="41"/>
      <c r="Z1354" s="243"/>
    </row>
    <row r="1355" spans="1:26">
      <c r="A1355" s="150">
        <v>45884</v>
      </c>
      <c r="B1355" s="350" t="s">
        <v>106</v>
      </c>
      <c r="C1355" s="42"/>
      <c r="D1355" s="353"/>
      <c r="E1355" s="41"/>
      <c r="F1355" s="42"/>
      <c r="G1355" s="3"/>
      <c r="H1355" s="96"/>
      <c r="I1355" s="41"/>
      <c r="J1355" s="42"/>
      <c r="K1355" s="3"/>
      <c r="L1355" s="96"/>
      <c r="M1355" s="41"/>
      <c r="N1355" s="42"/>
      <c r="O1355" s="3"/>
      <c r="P1355" s="358"/>
      <c r="Q1355" s="42"/>
      <c r="R1355" s="3"/>
      <c r="S1355" s="358"/>
      <c r="T1355" s="42"/>
      <c r="U1355" s="3"/>
      <c r="V1355" s="41"/>
      <c r="W1355" s="42"/>
      <c r="X1355" s="3"/>
      <c r="Y1355" s="41"/>
      <c r="Z1355" s="243"/>
    </row>
    <row r="1356" spans="1:26">
      <c r="A1356" s="150">
        <v>45885</v>
      </c>
      <c r="B1356" s="350" t="s">
        <v>107</v>
      </c>
      <c r="C1356" s="42"/>
      <c r="D1356" s="353"/>
      <c r="E1356" s="41"/>
      <c r="F1356" s="42"/>
      <c r="G1356" s="3"/>
      <c r="H1356" s="96"/>
      <c r="I1356" s="41"/>
      <c r="J1356" s="42"/>
      <c r="K1356" s="3"/>
      <c r="L1356" s="96"/>
      <c r="M1356" s="41"/>
      <c r="N1356" s="42"/>
      <c r="O1356" s="3"/>
      <c r="P1356" s="358"/>
      <c r="Q1356" s="42"/>
      <c r="R1356" s="3"/>
      <c r="S1356" s="358"/>
      <c r="T1356" s="42"/>
      <c r="U1356" s="3"/>
      <c r="V1356" s="41"/>
      <c r="W1356" s="42"/>
      <c r="X1356" s="3"/>
      <c r="Y1356" s="41"/>
      <c r="Z1356" s="243"/>
    </row>
    <row r="1357" spans="1:26">
      <c r="A1357" s="150">
        <v>45886</v>
      </c>
      <c r="B1357" s="350" t="s">
        <v>36</v>
      </c>
      <c r="C1357" s="42"/>
      <c r="D1357" s="353"/>
      <c r="E1357" s="41"/>
      <c r="F1357" s="42"/>
      <c r="G1357" s="3"/>
      <c r="H1357" s="96"/>
      <c r="I1357" s="41"/>
      <c r="J1357" s="42"/>
      <c r="K1357" s="3"/>
      <c r="L1357" s="96"/>
      <c r="M1357" s="41"/>
      <c r="N1357" s="42"/>
      <c r="O1357" s="3"/>
      <c r="P1357" s="358"/>
      <c r="Q1357" s="42"/>
      <c r="R1357" s="3"/>
      <c r="S1357" s="358"/>
      <c r="T1357" s="42"/>
      <c r="U1357" s="3"/>
      <c r="V1357" s="41"/>
      <c r="W1357" s="42"/>
      <c r="X1357" s="3"/>
      <c r="Y1357" s="41"/>
      <c r="Z1357" s="243"/>
    </row>
    <row r="1358" spans="1:26">
      <c r="A1358" s="150">
        <v>45887</v>
      </c>
      <c r="B1358" s="350" t="s">
        <v>108</v>
      </c>
      <c r="C1358" s="42"/>
      <c r="D1358" s="353"/>
      <c r="E1358" s="41"/>
      <c r="F1358" s="42"/>
      <c r="G1358" s="3"/>
      <c r="H1358" s="96"/>
      <c r="I1358" s="41"/>
      <c r="J1358" s="42"/>
      <c r="K1358" s="3"/>
      <c r="L1358" s="96"/>
      <c r="M1358" s="41"/>
      <c r="N1358" s="42"/>
      <c r="O1358" s="3"/>
      <c r="P1358" s="358"/>
      <c r="Q1358" s="42"/>
      <c r="R1358" s="3"/>
      <c r="S1358" s="358"/>
      <c r="T1358" s="42"/>
      <c r="U1358" s="3"/>
      <c r="V1358" s="41"/>
      <c r="W1358" s="42"/>
      <c r="X1358" s="3"/>
      <c r="Y1358" s="41"/>
      <c r="Z1358" s="243"/>
    </row>
    <row r="1359" spans="1:26">
      <c r="A1359" s="150">
        <v>45888</v>
      </c>
      <c r="B1359" s="350" t="s">
        <v>109</v>
      </c>
      <c r="C1359" s="42"/>
      <c r="D1359" s="353"/>
      <c r="E1359" s="41"/>
      <c r="F1359" s="42"/>
      <c r="G1359" s="3"/>
      <c r="H1359" s="96"/>
      <c r="I1359" s="41"/>
      <c r="J1359" s="42"/>
      <c r="K1359" s="3"/>
      <c r="L1359" s="96"/>
      <c r="M1359" s="41"/>
      <c r="N1359" s="42"/>
      <c r="O1359" s="3"/>
      <c r="P1359" s="358"/>
      <c r="Q1359" s="42"/>
      <c r="R1359" s="3"/>
      <c r="S1359" s="358"/>
      <c r="T1359" s="42"/>
      <c r="U1359" s="3"/>
      <c r="V1359" s="41"/>
      <c r="W1359" s="42"/>
      <c r="X1359" s="3"/>
      <c r="Y1359" s="41"/>
      <c r="Z1359" s="243"/>
    </row>
    <row r="1360" spans="1:26">
      <c r="A1360" s="150">
        <v>45889</v>
      </c>
      <c r="B1360" s="350" t="s">
        <v>110</v>
      </c>
      <c r="C1360" s="42"/>
      <c r="D1360" s="353"/>
      <c r="E1360" s="41"/>
      <c r="F1360" s="42"/>
      <c r="G1360" s="3"/>
      <c r="H1360" s="96"/>
      <c r="I1360" s="41"/>
      <c r="J1360" s="42"/>
      <c r="K1360" s="3"/>
      <c r="L1360" s="96"/>
      <c r="M1360" s="41"/>
      <c r="N1360" s="42"/>
      <c r="O1360" s="3"/>
      <c r="P1360" s="358"/>
      <c r="Q1360" s="42"/>
      <c r="R1360" s="3"/>
      <c r="S1360" s="358"/>
      <c r="T1360" s="42"/>
      <c r="U1360" s="3"/>
      <c r="V1360" s="41"/>
      <c r="W1360" s="42"/>
      <c r="X1360" s="3"/>
      <c r="Y1360" s="41"/>
      <c r="Z1360" s="243"/>
    </row>
    <row r="1361" spans="1:26">
      <c r="A1361" s="150">
        <v>45890</v>
      </c>
      <c r="B1361" s="350" t="s">
        <v>111</v>
      </c>
      <c r="C1361" s="42"/>
      <c r="D1361" s="353"/>
      <c r="E1361" s="41"/>
      <c r="F1361" s="42"/>
      <c r="G1361" s="3"/>
      <c r="H1361" s="96"/>
      <c r="I1361" s="41"/>
      <c r="J1361" s="42"/>
      <c r="K1361" s="3"/>
      <c r="L1361" s="96"/>
      <c r="M1361" s="41"/>
      <c r="N1361" s="42"/>
      <c r="O1361" s="3"/>
      <c r="P1361" s="358"/>
      <c r="Q1361" s="42"/>
      <c r="R1361" s="3"/>
      <c r="S1361" s="358"/>
      <c r="T1361" s="42"/>
      <c r="U1361" s="3"/>
      <c r="V1361" s="41"/>
      <c r="W1361" s="42"/>
      <c r="X1361" s="3"/>
      <c r="Y1361" s="41"/>
      <c r="Z1361" s="243"/>
    </row>
    <row r="1362" spans="1:26">
      <c r="A1362" s="150">
        <v>45891</v>
      </c>
      <c r="B1362" s="350" t="s">
        <v>106</v>
      </c>
      <c r="C1362" s="42"/>
      <c r="D1362" s="353"/>
      <c r="E1362" s="41"/>
      <c r="F1362" s="42"/>
      <c r="G1362" s="3"/>
      <c r="H1362" s="96"/>
      <c r="I1362" s="41"/>
      <c r="J1362" s="42"/>
      <c r="K1362" s="3"/>
      <c r="L1362" s="96"/>
      <c r="M1362" s="41"/>
      <c r="N1362" s="42"/>
      <c r="O1362" s="3"/>
      <c r="P1362" s="358"/>
      <c r="Q1362" s="42"/>
      <c r="R1362" s="3"/>
      <c r="S1362" s="358"/>
      <c r="T1362" s="42"/>
      <c r="U1362" s="3"/>
      <c r="V1362" s="41"/>
      <c r="W1362" s="42"/>
      <c r="X1362" s="3"/>
      <c r="Y1362" s="41"/>
      <c r="Z1362" s="243"/>
    </row>
    <row r="1363" spans="1:26">
      <c r="A1363" s="150">
        <v>45892</v>
      </c>
      <c r="B1363" s="350" t="s">
        <v>107</v>
      </c>
      <c r="C1363" s="42"/>
      <c r="D1363" s="353"/>
      <c r="E1363" s="41"/>
      <c r="F1363" s="42"/>
      <c r="G1363" s="3"/>
      <c r="H1363" s="96"/>
      <c r="I1363" s="41"/>
      <c r="J1363" s="42"/>
      <c r="K1363" s="3"/>
      <c r="L1363" s="96"/>
      <c r="M1363" s="41"/>
      <c r="N1363" s="42"/>
      <c r="O1363" s="3"/>
      <c r="P1363" s="358"/>
      <c r="Q1363" s="42"/>
      <c r="R1363" s="3"/>
      <c r="S1363" s="358"/>
      <c r="T1363" s="42"/>
      <c r="U1363" s="3"/>
      <c r="V1363" s="41"/>
      <c r="W1363" s="42"/>
      <c r="X1363" s="3"/>
      <c r="Y1363" s="41"/>
      <c r="Z1363" s="243"/>
    </row>
    <row r="1364" spans="1:26">
      <c r="A1364" s="150">
        <v>45893</v>
      </c>
      <c r="B1364" s="350" t="s">
        <v>36</v>
      </c>
      <c r="C1364" s="42"/>
      <c r="D1364" s="353"/>
      <c r="E1364" s="41"/>
      <c r="F1364" s="42"/>
      <c r="G1364" s="3"/>
      <c r="H1364" s="96"/>
      <c r="I1364" s="41"/>
      <c r="J1364" s="42"/>
      <c r="K1364" s="3"/>
      <c r="L1364" s="96"/>
      <c r="M1364" s="41"/>
      <c r="N1364" s="42"/>
      <c r="O1364" s="3"/>
      <c r="P1364" s="358"/>
      <c r="Q1364" s="42"/>
      <c r="R1364" s="3"/>
      <c r="S1364" s="358"/>
      <c r="T1364" s="42"/>
      <c r="U1364" s="3"/>
      <c r="V1364" s="41"/>
      <c r="W1364" s="42"/>
      <c r="X1364" s="3"/>
      <c r="Y1364" s="41"/>
      <c r="Z1364" s="243"/>
    </row>
    <row r="1365" spans="1:26">
      <c r="A1365" s="150">
        <v>45894</v>
      </c>
      <c r="B1365" s="350" t="s">
        <v>108</v>
      </c>
      <c r="C1365" s="42"/>
      <c r="D1365" s="353"/>
      <c r="E1365" s="41"/>
      <c r="F1365" s="42"/>
      <c r="G1365" s="3"/>
      <c r="H1365" s="96"/>
      <c r="I1365" s="41"/>
      <c r="J1365" s="42"/>
      <c r="K1365" s="3"/>
      <c r="L1365" s="96"/>
      <c r="M1365" s="41"/>
      <c r="N1365" s="42"/>
      <c r="O1365" s="3"/>
      <c r="P1365" s="358"/>
      <c r="Q1365" s="42"/>
      <c r="R1365" s="3"/>
      <c r="S1365" s="358"/>
      <c r="T1365" s="42"/>
      <c r="U1365" s="3"/>
      <c r="V1365" s="41"/>
      <c r="W1365" s="42"/>
      <c r="X1365" s="3"/>
      <c r="Y1365" s="41"/>
      <c r="Z1365" s="243"/>
    </row>
    <row r="1366" spans="1:26">
      <c r="A1366" s="150">
        <v>45895</v>
      </c>
      <c r="B1366" s="350" t="s">
        <v>109</v>
      </c>
      <c r="C1366" s="42"/>
      <c r="D1366" s="353"/>
      <c r="E1366" s="41"/>
      <c r="F1366" s="42"/>
      <c r="G1366" s="3"/>
      <c r="H1366" s="96"/>
      <c r="I1366" s="41"/>
      <c r="J1366" s="42"/>
      <c r="K1366" s="3"/>
      <c r="L1366" s="96"/>
      <c r="M1366" s="41"/>
      <c r="N1366" s="42"/>
      <c r="O1366" s="3"/>
      <c r="P1366" s="358"/>
      <c r="Q1366" s="42"/>
      <c r="R1366" s="3"/>
      <c r="S1366" s="358"/>
      <c r="T1366" s="42"/>
      <c r="U1366" s="3"/>
      <c r="V1366" s="41"/>
      <c r="W1366" s="42"/>
      <c r="X1366" s="3"/>
      <c r="Y1366" s="41"/>
      <c r="Z1366" s="243"/>
    </row>
    <row r="1367" spans="1:26">
      <c r="A1367" s="150">
        <v>45896</v>
      </c>
      <c r="B1367" s="350" t="s">
        <v>110</v>
      </c>
      <c r="C1367" s="42"/>
      <c r="D1367" s="353"/>
      <c r="E1367" s="41"/>
      <c r="F1367" s="42"/>
      <c r="G1367" s="3"/>
      <c r="H1367" s="96"/>
      <c r="I1367" s="41"/>
      <c r="J1367" s="42"/>
      <c r="K1367" s="3"/>
      <c r="L1367" s="96"/>
      <c r="M1367" s="41"/>
      <c r="N1367" s="42"/>
      <c r="O1367" s="3"/>
      <c r="P1367" s="358"/>
      <c r="Q1367" s="42"/>
      <c r="R1367" s="3"/>
      <c r="S1367" s="358"/>
      <c r="T1367" s="42"/>
      <c r="U1367" s="3"/>
      <c r="V1367" s="41"/>
      <c r="W1367" s="42"/>
      <c r="X1367" s="3"/>
      <c r="Y1367" s="41"/>
      <c r="Z1367" s="243"/>
    </row>
    <row r="1368" spans="1:26">
      <c r="A1368" s="150">
        <v>45897</v>
      </c>
      <c r="B1368" s="350" t="s">
        <v>111</v>
      </c>
      <c r="C1368" s="42"/>
      <c r="D1368" s="353"/>
      <c r="E1368" s="41"/>
      <c r="F1368" s="42"/>
      <c r="G1368" s="3"/>
      <c r="H1368" s="96"/>
      <c r="I1368" s="41"/>
      <c r="J1368" s="42"/>
      <c r="K1368" s="3"/>
      <c r="L1368" s="96"/>
      <c r="M1368" s="41"/>
      <c r="N1368" s="42"/>
      <c r="O1368" s="3"/>
      <c r="P1368" s="358"/>
      <c r="Q1368" s="42"/>
      <c r="R1368" s="3"/>
      <c r="S1368" s="358"/>
      <c r="T1368" s="42"/>
      <c r="U1368" s="3"/>
      <c r="V1368" s="41"/>
      <c r="W1368" s="42"/>
      <c r="X1368" s="3"/>
      <c r="Y1368" s="41"/>
      <c r="Z1368" s="243"/>
    </row>
    <row r="1369" spans="1:26">
      <c r="A1369" s="150">
        <v>45898</v>
      </c>
      <c r="B1369" s="350" t="s">
        <v>106</v>
      </c>
      <c r="C1369" s="42"/>
      <c r="D1369" s="353"/>
      <c r="E1369" s="41"/>
      <c r="F1369" s="42"/>
      <c r="G1369" s="3"/>
      <c r="H1369" s="96"/>
      <c r="I1369" s="41"/>
      <c r="J1369" s="42"/>
      <c r="K1369" s="3"/>
      <c r="L1369" s="96"/>
      <c r="M1369" s="41"/>
      <c r="N1369" s="42"/>
      <c r="O1369" s="3"/>
      <c r="P1369" s="358"/>
      <c r="Q1369" s="42"/>
      <c r="R1369" s="3"/>
      <c r="S1369" s="358"/>
      <c r="T1369" s="42"/>
      <c r="U1369" s="3"/>
      <c r="V1369" s="41"/>
      <c r="W1369" s="42"/>
      <c r="X1369" s="3"/>
      <c r="Y1369" s="41"/>
      <c r="Z1369" s="243"/>
    </row>
    <row r="1370" spans="1:26">
      <c r="A1370" s="150">
        <v>45899</v>
      </c>
      <c r="B1370" s="350" t="s">
        <v>107</v>
      </c>
      <c r="C1370" s="42"/>
      <c r="D1370" s="353"/>
      <c r="E1370" s="41"/>
      <c r="F1370" s="42"/>
      <c r="G1370" s="3"/>
      <c r="H1370" s="96"/>
      <c r="I1370" s="41"/>
      <c r="J1370" s="42"/>
      <c r="K1370" s="3"/>
      <c r="L1370" s="96"/>
      <c r="M1370" s="41"/>
      <c r="N1370" s="42"/>
      <c r="O1370" s="3"/>
      <c r="P1370" s="358"/>
      <c r="Q1370" s="42"/>
      <c r="R1370" s="3"/>
      <c r="S1370" s="358"/>
      <c r="T1370" s="42"/>
      <c r="U1370" s="3"/>
      <c r="V1370" s="41"/>
      <c r="W1370" s="42"/>
      <c r="X1370" s="3"/>
      <c r="Y1370" s="41"/>
      <c r="Z1370" s="243"/>
    </row>
    <row r="1371" spans="1:26">
      <c r="A1371" s="150">
        <v>45900</v>
      </c>
      <c r="B1371" s="350" t="s">
        <v>36</v>
      </c>
      <c r="C1371" s="42"/>
      <c r="D1371" s="353"/>
      <c r="E1371" s="41"/>
      <c r="F1371" s="42"/>
      <c r="G1371" s="3"/>
      <c r="H1371" s="96"/>
      <c r="I1371" s="41"/>
      <c r="J1371" s="42"/>
      <c r="K1371" s="3"/>
      <c r="L1371" s="96"/>
      <c r="M1371" s="41"/>
      <c r="N1371" s="42"/>
      <c r="O1371" s="3"/>
      <c r="P1371" s="358"/>
      <c r="Q1371" s="42"/>
      <c r="R1371" s="3"/>
      <c r="S1371" s="358"/>
      <c r="T1371" s="42"/>
      <c r="U1371" s="3"/>
      <c r="V1371" s="41"/>
      <c r="W1371" s="42"/>
      <c r="X1371" s="3"/>
      <c r="Y1371" s="41"/>
      <c r="Z1371" s="243"/>
    </row>
    <row r="1372" spans="1:26">
      <c r="A1372" s="150">
        <v>45901</v>
      </c>
      <c r="B1372" s="350" t="s">
        <v>108</v>
      </c>
      <c r="C1372" s="42"/>
      <c r="D1372" s="353"/>
      <c r="E1372" s="41"/>
      <c r="F1372" s="42"/>
      <c r="G1372" s="3"/>
      <c r="H1372" s="96"/>
      <c r="I1372" s="41"/>
      <c r="J1372" s="42"/>
      <c r="K1372" s="3"/>
      <c r="L1372" s="96"/>
      <c r="M1372" s="41"/>
      <c r="N1372" s="42"/>
      <c r="O1372" s="3"/>
      <c r="P1372" s="358"/>
      <c r="Q1372" s="42"/>
      <c r="R1372" s="3"/>
      <c r="S1372" s="358"/>
      <c r="T1372" s="42"/>
      <c r="U1372" s="3"/>
      <c r="V1372" s="41"/>
      <c r="W1372" s="42"/>
      <c r="X1372" s="3"/>
      <c r="Y1372" s="41"/>
      <c r="Z1372" s="243"/>
    </row>
    <row r="1373" spans="1:26">
      <c r="A1373" s="150">
        <v>45902</v>
      </c>
      <c r="B1373" s="350" t="s">
        <v>109</v>
      </c>
      <c r="C1373" s="42"/>
      <c r="D1373" s="353"/>
      <c r="E1373" s="41"/>
      <c r="F1373" s="42"/>
      <c r="G1373" s="3"/>
      <c r="H1373" s="96"/>
      <c r="I1373" s="41"/>
      <c r="J1373" s="42"/>
      <c r="K1373" s="3"/>
      <c r="L1373" s="96"/>
      <c r="M1373" s="41"/>
      <c r="N1373" s="42"/>
      <c r="O1373" s="3"/>
      <c r="P1373" s="358"/>
      <c r="Q1373" s="42"/>
      <c r="R1373" s="3"/>
      <c r="S1373" s="358"/>
      <c r="T1373" s="42"/>
      <c r="U1373" s="3"/>
      <c r="V1373" s="41"/>
      <c r="W1373" s="42"/>
      <c r="X1373" s="3"/>
      <c r="Y1373" s="41"/>
      <c r="Z1373" s="243"/>
    </row>
    <row r="1374" spans="1:26">
      <c r="A1374" s="150">
        <v>45903</v>
      </c>
      <c r="B1374" s="350" t="s">
        <v>110</v>
      </c>
      <c r="C1374" s="42"/>
      <c r="D1374" s="353"/>
      <c r="E1374" s="41"/>
      <c r="F1374" s="42"/>
      <c r="G1374" s="3"/>
      <c r="H1374" s="96"/>
      <c r="I1374" s="41"/>
      <c r="J1374" s="42"/>
      <c r="K1374" s="3"/>
      <c r="L1374" s="96"/>
      <c r="M1374" s="41"/>
      <c r="N1374" s="42"/>
      <c r="O1374" s="3"/>
      <c r="P1374" s="358"/>
      <c r="Q1374" s="42"/>
      <c r="R1374" s="3"/>
      <c r="S1374" s="358"/>
      <c r="T1374" s="42"/>
      <c r="U1374" s="3"/>
      <c r="V1374" s="41"/>
      <c r="W1374" s="42"/>
      <c r="X1374" s="3"/>
      <c r="Y1374" s="41"/>
      <c r="Z1374" s="243"/>
    </row>
    <row r="1375" spans="1:26">
      <c r="A1375" s="150">
        <v>45904</v>
      </c>
      <c r="B1375" s="350" t="s">
        <v>111</v>
      </c>
      <c r="C1375" s="42"/>
      <c r="D1375" s="353"/>
      <c r="E1375" s="41"/>
      <c r="F1375" s="42"/>
      <c r="G1375" s="3"/>
      <c r="H1375" s="96"/>
      <c r="I1375" s="41"/>
      <c r="J1375" s="42"/>
      <c r="K1375" s="3"/>
      <c r="L1375" s="96"/>
      <c r="M1375" s="41"/>
      <c r="N1375" s="42"/>
      <c r="O1375" s="3"/>
      <c r="P1375" s="358"/>
      <c r="Q1375" s="42"/>
      <c r="R1375" s="3"/>
      <c r="S1375" s="358"/>
      <c r="T1375" s="42"/>
      <c r="U1375" s="3"/>
      <c r="V1375" s="41"/>
      <c r="W1375" s="42"/>
      <c r="X1375" s="3"/>
      <c r="Y1375" s="41"/>
      <c r="Z1375" s="243"/>
    </row>
    <row r="1376" spans="1:26">
      <c r="A1376" s="150">
        <v>45905</v>
      </c>
      <c r="B1376" s="350" t="s">
        <v>106</v>
      </c>
      <c r="C1376" s="42"/>
      <c r="D1376" s="353"/>
      <c r="E1376" s="41"/>
      <c r="F1376" s="42"/>
      <c r="G1376" s="3"/>
      <c r="H1376" s="96"/>
      <c r="I1376" s="41"/>
      <c r="J1376" s="42"/>
      <c r="K1376" s="3"/>
      <c r="L1376" s="96"/>
      <c r="M1376" s="41"/>
      <c r="N1376" s="42"/>
      <c r="O1376" s="3"/>
      <c r="P1376" s="358"/>
      <c r="Q1376" s="42"/>
      <c r="R1376" s="3"/>
      <c r="S1376" s="358"/>
      <c r="T1376" s="42"/>
      <c r="U1376" s="3"/>
      <c r="V1376" s="41"/>
      <c r="W1376" s="42"/>
      <c r="X1376" s="3"/>
      <c r="Y1376" s="41"/>
      <c r="Z1376" s="243"/>
    </row>
    <row r="1377" spans="1:26">
      <c r="A1377" s="150">
        <v>45906</v>
      </c>
      <c r="B1377" s="350" t="s">
        <v>107</v>
      </c>
      <c r="C1377" s="42"/>
      <c r="D1377" s="353"/>
      <c r="E1377" s="41"/>
      <c r="F1377" s="42"/>
      <c r="G1377" s="3"/>
      <c r="H1377" s="96"/>
      <c r="I1377" s="41"/>
      <c r="J1377" s="42"/>
      <c r="K1377" s="3"/>
      <c r="L1377" s="96"/>
      <c r="M1377" s="41"/>
      <c r="N1377" s="42"/>
      <c r="O1377" s="3"/>
      <c r="P1377" s="358"/>
      <c r="Q1377" s="42"/>
      <c r="R1377" s="3"/>
      <c r="S1377" s="358"/>
      <c r="T1377" s="42"/>
      <c r="U1377" s="3"/>
      <c r="V1377" s="41"/>
      <c r="W1377" s="42"/>
      <c r="X1377" s="3"/>
      <c r="Y1377" s="41"/>
      <c r="Z1377" s="243"/>
    </row>
    <row r="1378" spans="1:26">
      <c r="A1378" s="150">
        <v>45907</v>
      </c>
      <c r="B1378" s="350" t="s">
        <v>36</v>
      </c>
      <c r="C1378" s="42"/>
      <c r="D1378" s="353"/>
      <c r="E1378" s="41"/>
      <c r="F1378" s="42"/>
      <c r="G1378" s="3"/>
      <c r="H1378" s="96"/>
      <c r="I1378" s="41"/>
      <c r="J1378" s="42"/>
      <c r="K1378" s="3"/>
      <c r="L1378" s="96"/>
      <c r="M1378" s="41"/>
      <c r="N1378" s="42"/>
      <c r="O1378" s="3"/>
      <c r="P1378" s="358"/>
      <c r="Q1378" s="42"/>
      <c r="R1378" s="3"/>
      <c r="S1378" s="358"/>
      <c r="T1378" s="42"/>
      <c r="U1378" s="3"/>
      <c r="V1378" s="41"/>
      <c r="W1378" s="42"/>
      <c r="X1378" s="3"/>
      <c r="Y1378" s="41"/>
      <c r="Z1378" s="243"/>
    </row>
    <row r="1379" spans="1:26">
      <c r="A1379" s="150">
        <v>45908</v>
      </c>
      <c r="B1379" s="350" t="s">
        <v>108</v>
      </c>
      <c r="C1379" s="42"/>
      <c r="D1379" s="353"/>
      <c r="E1379" s="41"/>
      <c r="F1379" s="42"/>
      <c r="G1379" s="3"/>
      <c r="H1379" s="96"/>
      <c r="I1379" s="41"/>
      <c r="J1379" s="42"/>
      <c r="K1379" s="3"/>
      <c r="L1379" s="96"/>
      <c r="M1379" s="41"/>
      <c r="N1379" s="42"/>
      <c r="O1379" s="3"/>
      <c r="P1379" s="358"/>
      <c r="Q1379" s="42"/>
      <c r="R1379" s="3"/>
      <c r="S1379" s="358"/>
      <c r="T1379" s="42"/>
      <c r="U1379" s="3"/>
      <c r="V1379" s="41"/>
      <c r="W1379" s="42"/>
      <c r="X1379" s="3"/>
      <c r="Y1379" s="41"/>
      <c r="Z1379" s="243"/>
    </row>
    <row r="1380" spans="1:26">
      <c r="A1380" s="150">
        <v>45909</v>
      </c>
      <c r="B1380" s="350" t="s">
        <v>109</v>
      </c>
      <c r="C1380" s="42"/>
      <c r="D1380" s="353"/>
      <c r="E1380" s="41"/>
      <c r="F1380" s="42"/>
      <c r="G1380" s="3"/>
      <c r="H1380" s="96"/>
      <c r="I1380" s="41"/>
      <c r="J1380" s="42"/>
      <c r="K1380" s="3"/>
      <c r="L1380" s="96"/>
      <c r="M1380" s="41"/>
      <c r="N1380" s="42"/>
      <c r="O1380" s="3"/>
      <c r="P1380" s="358"/>
      <c r="Q1380" s="42"/>
      <c r="R1380" s="3"/>
      <c r="S1380" s="358"/>
      <c r="T1380" s="42"/>
      <c r="U1380" s="3"/>
      <c r="V1380" s="41"/>
      <c r="W1380" s="42"/>
      <c r="X1380" s="3"/>
      <c r="Y1380" s="41"/>
      <c r="Z1380" s="243"/>
    </row>
    <row r="1381" spans="1:26">
      <c r="A1381" s="150">
        <v>45910</v>
      </c>
      <c r="B1381" s="350" t="s">
        <v>110</v>
      </c>
      <c r="C1381" s="42"/>
      <c r="D1381" s="353"/>
      <c r="E1381" s="41"/>
      <c r="F1381" s="42"/>
      <c r="G1381" s="3"/>
      <c r="H1381" s="96"/>
      <c r="I1381" s="41"/>
      <c r="J1381" s="42"/>
      <c r="K1381" s="3"/>
      <c r="L1381" s="96"/>
      <c r="M1381" s="41"/>
      <c r="N1381" s="42"/>
      <c r="O1381" s="3"/>
      <c r="P1381" s="358"/>
      <c r="Q1381" s="42"/>
      <c r="R1381" s="3"/>
      <c r="S1381" s="358"/>
      <c r="T1381" s="42"/>
      <c r="U1381" s="3"/>
      <c r="V1381" s="41"/>
      <c r="W1381" s="42"/>
      <c r="X1381" s="3"/>
      <c r="Y1381" s="41"/>
      <c r="Z1381" s="243"/>
    </row>
    <row r="1382" spans="1:26">
      <c r="A1382" s="150">
        <v>45911</v>
      </c>
      <c r="B1382" s="350" t="s">
        <v>111</v>
      </c>
      <c r="C1382" s="42"/>
      <c r="D1382" s="353"/>
      <c r="E1382" s="41"/>
      <c r="F1382" s="42"/>
      <c r="G1382" s="3"/>
      <c r="H1382" s="96"/>
      <c r="I1382" s="41"/>
      <c r="J1382" s="42"/>
      <c r="K1382" s="3"/>
      <c r="L1382" s="96"/>
      <c r="M1382" s="41"/>
      <c r="N1382" s="42"/>
      <c r="O1382" s="3"/>
      <c r="P1382" s="358"/>
      <c r="Q1382" s="42"/>
      <c r="R1382" s="3"/>
      <c r="S1382" s="358"/>
      <c r="T1382" s="42"/>
      <c r="U1382" s="3"/>
      <c r="V1382" s="41"/>
      <c r="W1382" s="42"/>
      <c r="X1382" s="3"/>
      <c r="Y1382" s="41"/>
      <c r="Z1382" s="243"/>
    </row>
    <row r="1383" spans="1:26">
      <c r="A1383" s="150">
        <v>45912</v>
      </c>
      <c r="B1383" s="350" t="s">
        <v>106</v>
      </c>
      <c r="C1383" s="42"/>
      <c r="D1383" s="353"/>
      <c r="E1383" s="41"/>
      <c r="F1383" s="42"/>
      <c r="G1383" s="3"/>
      <c r="H1383" s="96"/>
      <c r="I1383" s="41"/>
      <c r="J1383" s="42"/>
      <c r="K1383" s="3"/>
      <c r="L1383" s="96"/>
      <c r="M1383" s="41"/>
      <c r="N1383" s="42"/>
      <c r="O1383" s="3"/>
      <c r="P1383" s="358"/>
      <c r="Q1383" s="42"/>
      <c r="R1383" s="3"/>
      <c r="S1383" s="358"/>
      <c r="T1383" s="42"/>
      <c r="U1383" s="3"/>
      <c r="V1383" s="41"/>
      <c r="W1383" s="42"/>
      <c r="X1383" s="3"/>
      <c r="Y1383" s="41"/>
      <c r="Z1383" s="243"/>
    </row>
    <row r="1384" spans="1:26">
      <c r="A1384" s="150">
        <v>45913</v>
      </c>
      <c r="B1384" s="350" t="s">
        <v>107</v>
      </c>
      <c r="C1384" s="42"/>
      <c r="D1384" s="353"/>
      <c r="E1384" s="41"/>
      <c r="F1384" s="42"/>
      <c r="G1384" s="3"/>
      <c r="H1384" s="96"/>
      <c r="I1384" s="41"/>
      <c r="J1384" s="42"/>
      <c r="K1384" s="3"/>
      <c r="L1384" s="96"/>
      <c r="M1384" s="41"/>
      <c r="N1384" s="42"/>
      <c r="O1384" s="3"/>
      <c r="P1384" s="358"/>
      <c r="Q1384" s="42"/>
      <c r="R1384" s="3"/>
      <c r="S1384" s="358"/>
      <c r="T1384" s="42"/>
      <c r="U1384" s="3"/>
      <c r="V1384" s="41"/>
      <c r="W1384" s="42"/>
      <c r="X1384" s="3"/>
      <c r="Y1384" s="41"/>
      <c r="Z1384" s="243"/>
    </row>
    <row r="1385" spans="1:26">
      <c r="A1385" s="150">
        <v>45914</v>
      </c>
      <c r="B1385" s="350" t="s">
        <v>36</v>
      </c>
      <c r="C1385" s="42"/>
      <c r="D1385" s="353"/>
      <c r="E1385" s="41"/>
      <c r="F1385" s="42"/>
      <c r="G1385" s="3"/>
      <c r="H1385" s="96"/>
      <c r="I1385" s="41"/>
      <c r="J1385" s="42"/>
      <c r="K1385" s="3"/>
      <c r="L1385" s="96"/>
      <c r="M1385" s="41"/>
      <c r="N1385" s="42"/>
      <c r="O1385" s="3"/>
      <c r="P1385" s="358"/>
      <c r="Q1385" s="42"/>
      <c r="R1385" s="3"/>
      <c r="S1385" s="358"/>
      <c r="T1385" s="42"/>
      <c r="U1385" s="3"/>
      <c r="V1385" s="41"/>
      <c r="W1385" s="42"/>
      <c r="X1385" s="3"/>
      <c r="Y1385" s="41"/>
      <c r="Z1385" s="243"/>
    </row>
    <row r="1386" spans="1:26">
      <c r="A1386" s="150">
        <v>45915</v>
      </c>
      <c r="B1386" s="350" t="s">
        <v>108</v>
      </c>
      <c r="C1386" s="42"/>
      <c r="D1386" s="353"/>
      <c r="E1386" s="41"/>
      <c r="F1386" s="42"/>
      <c r="G1386" s="3"/>
      <c r="H1386" s="96"/>
      <c r="I1386" s="41"/>
      <c r="J1386" s="42"/>
      <c r="K1386" s="3"/>
      <c r="L1386" s="96"/>
      <c r="M1386" s="41"/>
      <c r="N1386" s="42"/>
      <c r="O1386" s="3"/>
      <c r="P1386" s="358"/>
      <c r="Q1386" s="42"/>
      <c r="R1386" s="3"/>
      <c r="S1386" s="358"/>
      <c r="T1386" s="42"/>
      <c r="U1386" s="3"/>
      <c r="V1386" s="41"/>
      <c r="W1386" s="42"/>
      <c r="X1386" s="3"/>
      <c r="Y1386" s="41"/>
      <c r="Z1386" s="243"/>
    </row>
    <row r="1387" spans="1:26">
      <c r="A1387" s="150">
        <v>45916</v>
      </c>
      <c r="B1387" s="350" t="s">
        <v>109</v>
      </c>
      <c r="C1387" s="42"/>
      <c r="D1387" s="353"/>
      <c r="E1387" s="41"/>
      <c r="F1387" s="42"/>
      <c r="G1387" s="3"/>
      <c r="H1387" s="96"/>
      <c r="I1387" s="41"/>
      <c r="J1387" s="42"/>
      <c r="K1387" s="3"/>
      <c r="L1387" s="96"/>
      <c r="M1387" s="41"/>
      <c r="N1387" s="42"/>
      <c r="O1387" s="3"/>
      <c r="P1387" s="358"/>
      <c r="Q1387" s="42"/>
      <c r="R1387" s="3"/>
      <c r="S1387" s="358"/>
      <c r="T1387" s="42"/>
      <c r="U1387" s="3"/>
      <c r="V1387" s="41"/>
      <c r="W1387" s="42"/>
      <c r="X1387" s="3"/>
      <c r="Y1387" s="41"/>
      <c r="Z1387" s="243"/>
    </row>
    <row r="1388" spans="1:26">
      <c r="A1388" s="150">
        <v>45917</v>
      </c>
      <c r="B1388" s="350" t="s">
        <v>110</v>
      </c>
      <c r="C1388" s="42"/>
      <c r="D1388" s="353"/>
      <c r="E1388" s="41"/>
      <c r="F1388" s="42"/>
      <c r="G1388" s="3"/>
      <c r="H1388" s="96"/>
      <c r="I1388" s="41"/>
      <c r="J1388" s="42"/>
      <c r="K1388" s="3"/>
      <c r="L1388" s="96"/>
      <c r="M1388" s="41"/>
      <c r="N1388" s="42"/>
      <c r="O1388" s="3"/>
      <c r="P1388" s="358"/>
      <c r="Q1388" s="42"/>
      <c r="R1388" s="3"/>
      <c r="S1388" s="358"/>
      <c r="T1388" s="42"/>
      <c r="U1388" s="3"/>
      <c r="V1388" s="41"/>
      <c r="W1388" s="42"/>
      <c r="X1388" s="3"/>
      <c r="Y1388" s="41"/>
      <c r="Z1388" s="243"/>
    </row>
    <row r="1389" spans="1:26">
      <c r="A1389" s="150">
        <v>45918</v>
      </c>
      <c r="B1389" s="350" t="s">
        <v>111</v>
      </c>
      <c r="C1389" s="42"/>
      <c r="D1389" s="353"/>
      <c r="E1389" s="41"/>
      <c r="F1389" s="42"/>
      <c r="G1389" s="3"/>
      <c r="H1389" s="96"/>
      <c r="I1389" s="41"/>
      <c r="J1389" s="42"/>
      <c r="K1389" s="3"/>
      <c r="L1389" s="96"/>
      <c r="M1389" s="41"/>
      <c r="N1389" s="42"/>
      <c r="O1389" s="3"/>
      <c r="P1389" s="358"/>
      <c r="Q1389" s="42"/>
      <c r="R1389" s="3"/>
      <c r="S1389" s="358"/>
      <c r="T1389" s="42"/>
      <c r="U1389" s="3"/>
      <c r="V1389" s="41"/>
      <c r="W1389" s="42"/>
      <c r="X1389" s="3"/>
      <c r="Y1389" s="41"/>
      <c r="Z1389" s="243"/>
    </row>
    <row r="1390" spans="1:26">
      <c r="A1390" s="150">
        <v>45919</v>
      </c>
      <c r="B1390" s="350" t="s">
        <v>106</v>
      </c>
      <c r="C1390" s="42"/>
      <c r="D1390" s="353"/>
      <c r="E1390" s="41"/>
      <c r="F1390" s="42"/>
      <c r="G1390" s="3"/>
      <c r="H1390" s="96"/>
      <c r="I1390" s="41"/>
      <c r="J1390" s="42"/>
      <c r="K1390" s="3"/>
      <c r="L1390" s="96"/>
      <c r="M1390" s="41"/>
      <c r="N1390" s="42"/>
      <c r="O1390" s="3"/>
      <c r="P1390" s="358"/>
      <c r="Q1390" s="42"/>
      <c r="R1390" s="3"/>
      <c r="S1390" s="358"/>
      <c r="T1390" s="42"/>
      <c r="U1390" s="3"/>
      <c r="V1390" s="41"/>
      <c r="W1390" s="42"/>
      <c r="X1390" s="3"/>
      <c r="Y1390" s="41"/>
      <c r="Z1390" s="243"/>
    </row>
    <row r="1391" spans="1:26">
      <c r="A1391" s="150">
        <v>45920</v>
      </c>
      <c r="B1391" s="350" t="s">
        <v>107</v>
      </c>
      <c r="C1391" s="42"/>
      <c r="D1391" s="353"/>
      <c r="E1391" s="41"/>
      <c r="F1391" s="42"/>
      <c r="G1391" s="3"/>
      <c r="H1391" s="96"/>
      <c r="I1391" s="41"/>
      <c r="J1391" s="42"/>
      <c r="K1391" s="3"/>
      <c r="L1391" s="96"/>
      <c r="M1391" s="41"/>
      <c r="N1391" s="42"/>
      <c r="O1391" s="3"/>
      <c r="P1391" s="358"/>
      <c r="Q1391" s="42"/>
      <c r="R1391" s="3"/>
      <c r="S1391" s="358"/>
      <c r="T1391" s="42"/>
      <c r="U1391" s="3"/>
      <c r="V1391" s="41"/>
      <c r="W1391" s="42"/>
      <c r="X1391" s="3"/>
      <c r="Y1391" s="41"/>
      <c r="Z1391" s="243"/>
    </row>
    <row r="1392" spans="1:26">
      <c r="A1392" s="150">
        <v>45921</v>
      </c>
      <c r="B1392" s="350" t="s">
        <v>36</v>
      </c>
      <c r="C1392" s="42"/>
      <c r="D1392" s="353"/>
      <c r="E1392" s="41"/>
      <c r="F1392" s="42"/>
      <c r="G1392" s="3"/>
      <c r="H1392" s="96"/>
      <c r="I1392" s="41"/>
      <c r="J1392" s="42"/>
      <c r="K1392" s="3"/>
      <c r="L1392" s="96"/>
      <c r="M1392" s="41"/>
      <c r="N1392" s="42"/>
      <c r="O1392" s="3"/>
      <c r="P1392" s="358"/>
      <c r="Q1392" s="42"/>
      <c r="R1392" s="3"/>
      <c r="S1392" s="358"/>
      <c r="T1392" s="42"/>
      <c r="U1392" s="3"/>
      <c r="V1392" s="41"/>
      <c r="W1392" s="42"/>
      <c r="X1392" s="3"/>
      <c r="Y1392" s="41"/>
      <c r="Z1392" s="243"/>
    </row>
    <row r="1393" spans="1:26">
      <c r="A1393" s="150">
        <v>45922</v>
      </c>
      <c r="B1393" s="350" t="s">
        <v>108</v>
      </c>
      <c r="C1393" s="42"/>
      <c r="D1393" s="353"/>
      <c r="E1393" s="41"/>
      <c r="F1393" s="42"/>
      <c r="G1393" s="3"/>
      <c r="H1393" s="96"/>
      <c r="I1393" s="41"/>
      <c r="J1393" s="42"/>
      <c r="K1393" s="3"/>
      <c r="L1393" s="96"/>
      <c r="M1393" s="41"/>
      <c r="N1393" s="42"/>
      <c r="O1393" s="3"/>
      <c r="P1393" s="358"/>
      <c r="Q1393" s="42"/>
      <c r="R1393" s="3"/>
      <c r="S1393" s="358"/>
      <c r="T1393" s="42"/>
      <c r="U1393" s="3"/>
      <c r="V1393" s="41"/>
      <c r="W1393" s="42"/>
      <c r="X1393" s="3"/>
      <c r="Y1393" s="41"/>
      <c r="Z1393" s="243"/>
    </row>
    <row r="1394" spans="1:26">
      <c r="A1394" s="150">
        <v>45923</v>
      </c>
      <c r="B1394" s="350" t="s">
        <v>109</v>
      </c>
      <c r="C1394" s="42"/>
      <c r="D1394" s="353"/>
      <c r="E1394" s="41"/>
      <c r="F1394" s="42"/>
      <c r="G1394" s="3"/>
      <c r="H1394" s="96"/>
      <c r="I1394" s="41"/>
      <c r="J1394" s="42"/>
      <c r="K1394" s="3"/>
      <c r="L1394" s="96"/>
      <c r="M1394" s="41"/>
      <c r="N1394" s="42"/>
      <c r="O1394" s="3"/>
      <c r="P1394" s="358"/>
      <c r="Q1394" s="42"/>
      <c r="R1394" s="3"/>
      <c r="S1394" s="358"/>
      <c r="T1394" s="42"/>
      <c r="U1394" s="3"/>
      <c r="V1394" s="41"/>
      <c r="W1394" s="42"/>
      <c r="X1394" s="3"/>
      <c r="Y1394" s="41"/>
      <c r="Z1394" s="243"/>
    </row>
    <row r="1395" spans="1:26">
      <c r="A1395" s="150">
        <v>45924</v>
      </c>
      <c r="B1395" s="350" t="s">
        <v>110</v>
      </c>
      <c r="C1395" s="42"/>
      <c r="D1395" s="353"/>
      <c r="E1395" s="41"/>
      <c r="F1395" s="42"/>
      <c r="G1395" s="3"/>
      <c r="H1395" s="96"/>
      <c r="I1395" s="41"/>
      <c r="J1395" s="42"/>
      <c r="K1395" s="3"/>
      <c r="L1395" s="96"/>
      <c r="M1395" s="41"/>
      <c r="N1395" s="42"/>
      <c r="O1395" s="3"/>
      <c r="P1395" s="358"/>
      <c r="Q1395" s="42"/>
      <c r="R1395" s="3"/>
      <c r="S1395" s="358"/>
      <c r="T1395" s="42"/>
      <c r="U1395" s="3"/>
      <c r="V1395" s="41"/>
      <c r="W1395" s="42"/>
      <c r="X1395" s="3"/>
      <c r="Y1395" s="41"/>
      <c r="Z1395" s="243"/>
    </row>
    <row r="1396" spans="1:26">
      <c r="A1396" s="150">
        <v>45925</v>
      </c>
      <c r="B1396" s="350" t="s">
        <v>111</v>
      </c>
      <c r="C1396" s="42"/>
      <c r="D1396" s="353"/>
      <c r="E1396" s="41"/>
      <c r="F1396" s="42"/>
      <c r="G1396" s="3"/>
      <c r="H1396" s="96"/>
      <c r="I1396" s="41"/>
      <c r="J1396" s="42"/>
      <c r="K1396" s="3"/>
      <c r="L1396" s="96"/>
      <c r="M1396" s="41"/>
      <c r="N1396" s="42"/>
      <c r="O1396" s="3"/>
      <c r="P1396" s="358"/>
      <c r="Q1396" s="42"/>
      <c r="R1396" s="3"/>
      <c r="S1396" s="358"/>
      <c r="T1396" s="42"/>
      <c r="U1396" s="3"/>
      <c r="V1396" s="41"/>
      <c r="W1396" s="42"/>
      <c r="X1396" s="3"/>
      <c r="Y1396" s="41"/>
      <c r="Z1396" s="243"/>
    </row>
    <row r="1397" spans="1:26">
      <c r="A1397" s="150">
        <v>45926</v>
      </c>
      <c r="B1397" s="350" t="s">
        <v>106</v>
      </c>
      <c r="C1397" s="42"/>
      <c r="D1397" s="353"/>
      <c r="E1397" s="41"/>
      <c r="F1397" s="42"/>
      <c r="G1397" s="3"/>
      <c r="H1397" s="96"/>
      <c r="I1397" s="41"/>
      <c r="J1397" s="42"/>
      <c r="K1397" s="3"/>
      <c r="L1397" s="96"/>
      <c r="M1397" s="41"/>
      <c r="N1397" s="42"/>
      <c r="O1397" s="3"/>
      <c r="P1397" s="358"/>
      <c r="Q1397" s="42"/>
      <c r="R1397" s="3"/>
      <c r="S1397" s="358"/>
      <c r="T1397" s="42"/>
      <c r="U1397" s="3"/>
      <c r="V1397" s="41"/>
      <c r="W1397" s="42"/>
      <c r="X1397" s="3"/>
      <c r="Y1397" s="41"/>
      <c r="Z1397" s="243"/>
    </row>
    <row r="1398" spans="1:26">
      <c r="A1398" s="150">
        <v>45927</v>
      </c>
      <c r="B1398" s="350" t="s">
        <v>107</v>
      </c>
      <c r="C1398" s="42"/>
      <c r="D1398" s="353"/>
      <c r="E1398" s="41"/>
      <c r="F1398" s="42"/>
      <c r="G1398" s="3"/>
      <c r="H1398" s="96"/>
      <c r="I1398" s="41"/>
      <c r="J1398" s="42"/>
      <c r="K1398" s="3"/>
      <c r="L1398" s="96"/>
      <c r="M1398" s="41"/>
      <c r="N1398" s="42"/>
      <c r="O1398" s="3"/>
      <c r="P1398" s="358"/>
      <c r="Q1398" s="42"/>
      <c r="R1398" s="3"/>
      <c r="S1398" s="358"/>
      <c r="T1398" s="42"/>
      <c r="U1398" s="3"/>
      <c r="V1398" s="41"/>
      <c r="W1398" s="42"/>
      <c r="X1398" s="3"/>
      <c r="Y1398" s="41"/>
      <c r="Z1398" s="243"/>
    </row>
    <row r="1399" spans="1:26">
      <c r="A1399" s="150">
        <v>45928</v>
      </c>
      <c r="B1399" s="350" t="s">
        <v>36</v>
      </c>
      <c r="C1399" s="42"/>
      <c r="D1399" s="353"/>
      <c r="E1399" s="41"/>
      <c r="F1399" s="42"/>
      <c r="G1399" s="3"/>
      <c r="H1399" s="96"/>
      <c r="I1399" s="41"/>
      <c r="J1399" s="42"/>
      <c r="K1399" s="3"/>
      <c r="L1399" s="96"/>
      <c r="M1399" s="41"/>
      <c r="N1399" s="42"/>
      <c r="O1399" s="3"/>
      <c r="P1399" s="358"/>
      <c r="Q1399" s="42"/>
      <c r="R1399" s="3"/>
      <c r="S1399" s="358"/>
      <c r="T1399" s="42"/>
      <c r="U1399" s="3"/>
      <c r="V1399" s="41"/>
      <c r="W1399" s="42"/>
      <c r="X1399" s="3"/>
      <c r="Y1399" s="41"/>
      <c r="Z1399" s="243"/>
    </row>
    <row r="1400" spans="1:26">
      <c r="A1400" s="150">
        <v>45929</v>
      </c>
      <c r="B1400" s="350" t="s">
        <v>108</v>
      </c>
      <c r="C1400" s="42"/>
      <c r="D1400" s="353"/>
      <c r="E1400" s="41"/>
      <c r="F1400" s="42"/>
      <c r="G1400" s="3"/>
      <c r="H1400" s="96"/>
      <c r="I1400" s="41"/>
      <c r="J1400" s="42"/>
      <c r="K1400" s="3"/>
      <c r="L1400" s="96"/>
      <c r="M1400" s="41"/>
      <c r="N1400" s="42"/>
      <c r="O1400" s="3"/>
      <c r="P1400" s="358"/>
      <c r="Q1400" s="42"/>
      <c r="R1400" s="3"/>
      <c r="S1400" s="358"/>
      <c r="T1400" s="42"/>
      <c r="U1400" s="3"/>
      <c r="V1400" s="41"/>
      <c r="W1400" s="42"/>
      <c r="X1400" s="3"/>
      <c r="Y1400" s="41"/>
      <c r="Z1400" s="243"/>
    </row>
    <row r="1401" spans="1:26">
      <c r="A1401" s="150">
        <v>45930</v>
      </c>
      <c r="B1401" s="350" t="s">
        <v>109</v>
      </c>
      <c r="C1401" s="42"/>
      <c r="D1401" s="353"/>
      <c r="E1401" s="41"/>
      <c r="F1401" s="42"/>
      <c r="G1401" s="3"/>
      <c r="H1401" s="96"/>
      <c r="I1401" s="41"/>
      <c r="J1401" s="42"/>
      <c r="K1401" s="3"/>
      <c r="L1401" s="96"/>
      <c r="M1401" s="41"/>
      <c r="N1401" s="42"/>
      <c r="O1401" s="3"/>
      <c r="P1401" s="358"/>
      <c r="Q1401" s="42"/>
      <c r="R1401" s="3"/>
      <c r="S1401" s="358"/>
      <c r="T1401" s="42"/>
      <c r="U1401" s="3"/>
      <c r="V1401" s="41"/>
      <c r="W1401" s="42"/>
      <c r="X1401" s="3"/>
      <c r="Y1401" s="41"/>
      <c r="Z1401" s="243"/>
    </row>
    <row r="1402" spans="1:26">
      <c r="A1402" s="150">
        <v>45931</v>
      </c>
      <c r="B1402" s="350" t="s">
        <v>110</v>
      </c>
      <c r="C1402" s="42"/>
      <c r="D1402" s="353"/>
      <c r="E1402" s="41"/>
      <c r="F1402" s="42"/>
      <c r="G1402" s="3"/>
      <c r="H1402" s="96"/>
      <c r="I1402" s="41"/>
      <c r="J1402" s="42"/>
      <c r="K1402" s="3"/>
      <c r="L1402" s="96"/>
      <c r="M1402" s="41"/>
      <c r="N1402" s="42"/>
      <c r="O1402" s="3"/>
      <c r="P1402" s="358"/>
      <c r="Q1402" s="42"/>
      <c r="R1402" s="3"/>
      <c r="S1402" s="358"/>
      <c r="T1402" s="42"/>
      <c r="U1402" s="3"/>
      <c r="V1402" s="41"/>
      <c r="W1402" s="42"/>
      <c r="X1402" s="3"/>
      <c r="Y1402" s="41"/>
      <c r="Z1402" s="243"/>
    </row>
    <row r="1403" spans="1:26">
      <c r="A1403" s="150">
        <v>45932</v>
      </c>
      <c r="B1403" s="350" t="s">
        <v>111</v>
      </c>
      <c r="C1403" s="42"/>
      <c r="D1403" s="353"/>
      <c r="E1403" s="41"/>
      <c r="F1403" s="42"/>
      <c r="G1403" s="3"/>
      <c r="H1403" s="96"/>
      <c r="I1403" s="41"/>
      <c r="J1403" s="42"/>
      <c r="K1403" s="3"/>
      <c r="L1403" s="96"/>
      <c r="M1403" s="41"/>
      <c r="N1403" s="42"/>
      <c r="O1403" s="3"/>
      <c r="P1403" s="358"/>
      <c r="Q1403" s="42"/>
      <c r="R1403" s="3"/>
      <c r="S1403" s="358"/>
      <c r="T1403" s="42"/>
      <c r="U1403" s="3"/>
      <c r="V1403" s="41"/>
      <c r="W1403" s="42"/>
      <c r="X1403" s="3"/>
      <c r="Y1403" s="41"/>
      <c r="Z1403" s="243"/>
    </row>
    <row r="1404" spans="1:26">
      <c r="A1404" s="150">
        <v>45933</v>
      </c>
      <c r="B1404" s="350" t="s">
        <v>106</v>
      </c>
      <c r="C1404" s="42"/>
      <c r="D1404" s="353"/>
      <c r="E1404" s="41"/>
      <c r="F1404" s="42"/>
      <c r="G1404" s="3"/>
      <c r="H1404" s="96"/>
      <c r="I1404" s="41"/>
      <c r="J1404" s="42"/>
      <c r="K1404" s="3"/>
      <c r="L1404" s="96"/>
      <c r="M1404" s="41"/>
      <c r="N1404" s="42"/>
      <c r="O1404" s="3"/>
      <c r="P1404" s="358"/>
      <c r="Q1404" s="42"/>
      <c r="R1404" s="3"/>
      <c r="S1404" s="358"/>
      <c r="T1404" s="42"/>
      <c r="U1404" s="3"/>
      <c r="V1404" s="41"/>
      <c r="W1404" s="42"/>
      <c r="X1404" s="3"/>
      <c r="Y1404" s="41"/>
      <c r="Z1404" s="243"/>
    </row>
    <row r="1405" spans="1:26">
      <c r="A1405" s="150">
        <v>45934</v>
      </c>
      <c r="B1405" s="350" t="s">
        <v>107</v>
      </c>
      <c r="C1405" s="42"/>
      <c r="D1405" s="353"/>
      <c r="E1405" s="41"/>
      <c r="F1405" s="42"/>
      <c r="G1405" s="3"/>
      <c r="H1405" s="96"/>
      <c r="I1405" s="41"/>
      <c r="J1405" s="42"/>
      <c r="K1405" s="3"/>
      <c r="L1405" s="96"/>
      <c r="M1405" s="41"/>
      <c r="N1405" s="42"/>
      <c r="O1405" s="3"/>
      <c r="P1405" s="358"/>
      <c r="Q1405" s="42"/>
      <c r="R1405" s="3"/>
      <c r="S1405" s="358"/>
      <c r="T1405" s="42"/>
      <c r="U1405" s="3"/>
      <c r="V1405" s="41"/>
      <c r="W1405" s="42"/>
      <c r="X1405" s="3"/>
      <c r="Y1405" s="41"/>
      <c r="Z1405" s="243"/>
    </row>
    <row r="1406" spans="1:26">
      <c r="A1406" s="150">
        <v>45935</v>
      </c>
      <c r="B1406" s="350" t="s">
        <v>36</v>
      </c>
      <c r="C1406" s="42"/>
      <c r="D1406" s="353"/>
      <c r="E1406" s="41"/>
      <c r="F1406" s="42"/>
      <c r="G1406" s="3"/>
      <c r="H1406" s="96"/>
      <c r="I1406" s="41"/>
      <c r="J1406" s="42"/>
      <c r="K1406" s="3"/>
      <c r="L1406" s="96"/>
      <c r="M1406" s="41"/>
      <c r="N1406" s="42"/>
      <c r="O1406" s="3"/>
      <c r="P1406" s="358"/>
      <c r="Q1406" s="42"/>
      <c r="R1406" s="3"/>
      <c r="S1406" s="358"/>
      <c r="T1406" s="42"/>
      <c r="U1406" s="3"/>
      <c r="V1406" s="41"/>
      <c r="W1406" s="42"/>
      <c r="X1406" s="3"/>
      <c r="Y1406" s="41"/>
      <c r="Z1406" s="243"/>
    </row>
    <row r="1407" spans="1:26">
      <c r="A1407" s="150">
        <v>45936</v>
      </c>
      <c r="B1407" s="350" t="s">
        <v>108</v>
      </c>
      <c r="C1407" s="42"/>
      <c r="D1407" s="353"/>
      <c r="E1407" s="41"/>
      <c r="F1407" s="42"/>
      <c r="G1407" s="3"/>
      <c r="H1407" s="96"/>
      <c r="I1407" s="41"/>
      <c r="J1407" s="42"/>
      <c r="K1407" s="3"/>
      <c r="L1407" s="96"/>
      <c r="M1407" s="41"/>
      <c r="N1407" s="42"/>
      <c r="O1407" s="3"/>
      <c r="P1407" s="358"/>
      <c r="Q1407" s="42"/>
      <c r="R1407" s="3"/>
      <c r="S1407" s="358"/>
      <c r="T1407" s="42"/>
      <c r="U1407" s="3"/>
      <c r="V1407" s="41"/>
      <c r="W1407" s="42"/>
      <c r="X1407" s="3"/>
      <c r="Y1407" s="41"/>
      <c r="Z1407" s="243"/>
    </row>
    <row r="1408" spans="1:26">
      <c r="A1408" s="150">
        <v>45937</v>
      </c>
      <c r="B1408" s="350" t="s">
        <v>109</v>
      </c>
      <c r="C1408" s="42"/>
      <c r="D1408" s="353"/>
      <c r="E1408" s="41"/>
      <c r="F1408" s="42"/>
      <c r="G1408" s="3"/>
      <c r="H1408" s="96"/>
      <c r="I1408" s="41"/>
      <c r="J1408" s="42"/>
      <c r="K1408" s="3"/>
      <c r="L1408" s="96"/>
      <c r="M1408" s="41"/>
      <c r="N1408" s="42"/>
      <c r="O1408" s="3"/>
      <c r="P1408" s="358"/>
      <c r="Q1408" s="42"/>
      <c r="R1408" s="3"/>
      <c r="S1408" s="358"/>
      <c r="T1408" s="42"/>
      <c r="U1408" s="3"/>
      <c r="V1408" s="41"/>
      <c r="W1408" s="42"/>
      <c r="X1408" s="3"/>
      <c r="Y1408" s="41"/>
      <c r="Z1408" s="243"/>
    </row>
    <row r="1409" spans="1:26">
      <c r="A1409" s="150">
        <v>45938</v>
      </c>
      <c r="B1409" s="350" t="s">
        <v>110</v>
      </c>
      <c r="C1409" s="42"/>
      <c r="D1409" s="353"/>
      <c r="E1409" s="41"/>
      <c r="F1409" s="42"/>
      <c r="G1409" s="3"/>
      <c r="H1409" s="96"/>
      <c r="I1409" s="41"/>
      <c r="J1409" s="42"/>
      <c r="K1409" s="3"/>
      <c r="L1409" s="96"/>
      <c r="M1409" s="41"/>
      <c r="N1409" s="42"/>
      <c r="O1409" s="3"/>
      <c r="P1409" s="358"/>
      <c r="Q1409" s="42"/>
      <c r="R1409" s="3"/>
      <c r="S1409" s="358"/>
      <c r="T1409" s="42"/>
      <c r="U1409" s="3"/>
      <c r="V1409" s="41"/>
      <c r="W1409" s="42"/>
      <c r="X1409" s="3"/>
      <c r="Y1409" s="41"/>
      <c r="Z1409" s="243"/>
    </row>
    <row r="1410" spans="1:26">
      <c r="A1410" s="150">
        <v>45939</v>
      </c>
      <c r="B1410" s="350" t="s">
        <v>111</v>
      </c>
      <c r="C1410" s="42"/>
      <c r="D1410" s="353"/>
      <c r="E1410" s="41"/>
      <c r="F1410" s="42"/>
      <c r="G1410" s="3"/>
      <c r="H1410" s="96"/>
      <c r="I1410" s="41"/>
      <c r="J1410" s="42"/>
      <c r="K1410" s="3"/>
      <c r="L1410" s="96"/>
      <c r="M1410" s="41"/>
      <c r="N1410" s="42"/>
      <c r="O1410" s="3"/>
      <c r="P1410" s="358"/>
      <c r="Q1410" s="42"/>
      <c r="R1410" s="3"/>
      <c r="S1410" s="358"/>
      <c r="T1410" s="42"/>
      <c r="U1410" s="3"/>
      <c r="V1410" s="41"/>
      <c r="W1410" s="42"/>
      <c r="X1410" s="3"/>
      <c r="Y1410" s="41"/>
      <c r="Z1410" s="243"/>
    </row>
    <row r="1411" spans="1:26">
      <c r="A1411" s="150">
        <v>45940</v>
      </c>
      <c r="B1411" s="350" t="s">
        <v>106</v>
      </c>
      <c r="C1411" s="42"/>
      <c r="D1411" s="353"/>
      <c r="E1411" s="41"/>
      <c r="F1411" s="42"/>
      <c r="G1411" s="3"/>
      <c r="H1411" s="96"/>
      <c r="I1411" s="41"/>
      <c r="J1411" s="42"/>
      <c r="K1411" s="3"/>
      <c r="L1411" s="96"/>
      <c r="M1411" s="41"/>
      <c r="N1411" s="42"/>
      <c r="O1411" s="3"/>
      <c r="P1411" s="358"/>
      <c r="Q1411" s="42"/>
      <c r="R1411" s="3"/>
      <c r="S1411" s="358"/>
      <c r="T1411" s="42"/>
      <c r="U1411" s="3"/>
      <c r="V1411" s="41"/>
      <c r="W1411" s="42"/>
      <c r="X1411" s="3"/>
      <c r="Y1411" s="41"/>
      <c r="Z1411" s="243"/>
    </row>
    <row r="1412" spans="1:26">
      <c r="A1412" s="150">
        <v>45941</v>
      </c>
      <c r="B1412" s="350" t="s">
        <v>107</v>
      </c>
      <c r="C1412" s="42"/>
      <c r="D1412" s="353"/>
      <c r="E1412" s="41"/>
      <c r="F1412" s="42"/>
      <c r="G1412" s="3"/>
      <c r="H1412" s="96"/>
      <c r="I1412" s="41"/>
      <c r="J1412" s="42"/>
      <c r="K1412" s="3"/>
      <c r="L1412" s="96"/>
      <c r="M1412" s="41"/>
      <c r="N1412" s="42"/>
      <c r="O1412" s="3"/>
      <c r="P1412" s="358"/>
      <c r="Q1412" s="42"/>
      <c r="R1412" s="3"/>
      <c r="S1412" s="358"/>
      <c r="T1412" s="42"/>
      <c r="U1412" s="3"/>
      <c r="V1412" s="41"/>
      <c r="W1412" s="42"/>
      <c r="X1412" s="3"/>
      <c r="Y1412" s="41"/>
      <c r="Z1412" s="243"/>
    </row>
    <row r="1413" spans="1:26">
      <c r="A1413" s="150">
        <v>45942</v>
      </c>
      <c r="B1413" s="350" t="s">
        <v>36</v>
      </c>
      <c r="C1413" s="42"/>
      <c r="D1413" s="353"/>
      <c r="E1413" s="41"/>
      <c r="F1413" s="42"/>
      <c r="G1413" s="3"/>
      <c r="H1413" s="96"/>
      <c r="I1413" s="41"/>
      <c r="J1413" s="42"/>
      <c r="K1413" s="3"/>
      <c r="L1413" s="96"/>
      <c r="M1413" s="41"/>
      <c r="N1413" s="42"/>
      <c r="O1413" s="3"/>
      <c r="P1413" s="358"/>
      <c r="Q1413" s="42"/>
      <c r="R1413" s="3"/>
      <c r="S1413" s="358"/>
      <c r="T1413" s="42"/>
      <c r="U1413" s="3"/>
      <c r="V1413" s="41"/>
      <c r="W1413" s="42"/>
      <c r="X1413" s="3"/>
      <c r="Y1413" s="41"/>
      <c r="Z1413" s="243"/>
    </row>
    <row r="1414" spans="1:26">
      <c r="A1414" s="150">
        <v>45943</v>
      </c>
      <c r="B1414" s="350" t="s">
        <v>108</v>
      </c>
      <c r="C1414" s="42"/>
      <c r="D1414" s="353"/>
      <c r="E1414" s="41"/>
      <c r="F1414" s="42"/>
      <c r="G1414" s="3"/>
      <c r="H1414" s="96"/>
      <c r="I1414" s="41"/>
      <c r="J1414" s="42"/>
      <c r="K1414" s="3"/>
      <c r="L1414" s="96"/>
      <c r="M1414" s="41"/>
      <c r="N1414" s="42"/>
      <c r="O1414" s="3"/>
      <c r="P1414" s="358"/>
      <c r="Q1414" s="42"/>
      <c r="R1414" s="3"/>
      <c r="S1414" s="358"/>
      <c r="T1414" s="42"/>
      <c r="U1414" s="3"/>
      <c r="V1414" s="41"/>
      <c r="W1414" s="42"/>
      <c r="X1414" s="3"/>
      <c r="Y1414" s="41"/>
      <c r="Z1414" s="243"/>
    </row>
    <row r="1415" spans="1:26">
      <c r="A1415" s="150">
        <v>45944</v>
      </c>
      <c r="B1415" s="350" t="s">
        <v>109</v>
      </c>
      <c r="C1415" s="42"/>
      <c r="D1415" s="353"/>
      <c r="E1415" s="41"/>
      <c r="F1415" s="42"/>
      <c r="G1415" s="3"/>
      <c r="H1415" s="96"/>
      <c r="I1415" s="41"/>
      <c r="J1415" s="42"/>
      <c r="K1415" s="3"/>
      <c r="L1415" s="96"/>
      <c r="M1415" s="41"/>
      <c r="N1415" s="42"/>
      <c r="O1415" s="3"/>
      <c r="P1415" s="358"/>
      <c r="Q1415" s="42"/>
      <c r="R1415" s="3"/>
      <c r="S1415" s="358"/>
      <c r="T1415" s="42"/>
      <c r="U1415" s="3"/>
      <c r="V1415" s="41"/>
      <c r="W1415" s="42"/>
      <c r="X1415" s="3"/>
      <c r="Y1415" s="41"/>
      <c r="Z1415" s="243"/>
    </row>
    <row r="1416" spans="1:26">
      <c r="A1416" s="150">
        <v>45945</v>
      </c>
      <c r="B1416" s="350" t="s">
        <v>110</v>
      </c>
      <c r="C1416" s="42"/>
      <c r="D1416" s="353"/>
      <c r="E1416" s="41"/>
      <c r="F1416" s="42"/>
      <c r="G1416" s="3"/>
      <c r="H1416" s="96"/>
      <c r="I1416" s="41"/>
      <c r="J1416" s="42"/>
      <c r="K1416" s="3"/>
      <c r="L1416" s="96"/>
      <c r="M1416" s="41"/>
      <c r="N1416" s="42"/>
      <c r="O1416" s="3"/>
      <c r="P1416" s="358"/>
      <c r="Q1416" s="42"/>
      <c r="R1416" s="3"/>
      <c r="S1416" s="358"/>
      <c r="T1416" s="42"/>
      <c r="U1416" s="3"/>
      <c r="V1416" s="41"/>
      <c r="W1416" s="42"/>
      <c r="X1416" s="3"/>
      <c r="Y1416" s="41"/>
      <c r="Z1416" s="243"/>
    </row>
    <row r="1417" spans="1:26">
      <c r="A1417" s="150">
        <v>45946</v>
      </c>
      <c r="B1417" s="350" t="s">
        <v>111</v>
      </c>
      <c r="C1417" s="42"/>
      <c r="D1417" s="353"/>
      <c r="E1417" s="41"/>
      <c r="F1417" s="42"/>
      <c r="G1417" s="3"/>
      <c r="H1417" s="96"/>
      <c r="I1417" s="41"/>
      <c r="J1417" s="42"/>
      <c r="K1417" s="3"/>
      <c r="L1417" s="96"/>
      <c r="M1417" s="41"/>
      <c r="N1417" s="42"/>
      <c r="O1417" s="3"/>
      <c r="P1417" s="358"/>
      <c r="Q1417" s="42"/>
      <c r="R1417" s="3"/>
      <c r="S1417" s="358"/>
      <c r="T1417" s="42"/>
      <c r="U1417" s="3"/>
      <c r="V1417" s="41"/>
      <c r="W1417" s="42"/>
      <c r="X1417" s="3"/>
      <c r="Y1417" s="41"/>
      <c r="Z1417" s="243"/>
    </row>
    <row r="1418" spans="1:26">
      <c r="A1418" s="150">
        <v>45947</v>
      </c>
      <c r="B1418" s="350" t="s">
        <v>106</v>
      </c>
      <c r="C1418" s="42"/>
      <c r="D1418" s="353"/>
      <c r="E1418" s="41"/>
      <c r="F1418" s="42"/>
      <c r="G1418" s="3"/>
      <c r="H1418" s="96"/>
      <c r="I1418" s="41"/>
      <c r="J1418" s="42"/>
      <c r="K1418" s="3"/>
      <c r="L1418" s="96"/>
      <c r="M1418" s="41"/>
      <c r="N1418" s="42"/>
      <c r="O1418" s="3"/>
      <c r="P1418" s="358"/>
      <c r="Q1418" s="42"/>
      <c r="R1418" s="3"/>
      <c r="S1418" s="358"/>
      <c r="T1418" s="42"/>
      <c r="U1418" s="3"/>
      <c r="V1418" s="41"/>
      <c r="W1418" s="42"/>
      <c r="X1418" s="3"/>
      <c r="Y1418" s="41"/>
      <c r="Z1418" s="243"/>
    </row>
    <row r="1419" spans="1:26">
      <c r="A1419" s="150">
        <v>45948</v>
      </c>
      <c r="B1419" s="350" t="s">
        <v>107</v>
      </c>
      <c r="C1419" s="42"/>
      <c r="D1419" s="353"/>
      <c r="E1419" s="41"/>
      <c r="F1419" s="42"/>
      <c r="G1419" s="3"/>
      <c r="H1419" s="96"/>
      <c r="I1419" s="41"/>
      <c r="J1419" s="42"/>
      <c r="K1419" s="3"/>
      <c r="L1419" s="96"/>
      <c r="M1419" s="41"/>
      <c r="N1419" s="42"/>
      <c r="O1419" s="3"/>
      <c r="P1419" s="358"/>
      <c r="Q1419" s="42"/>
      <c r="R1419" s="3"/>
      <c r="S1419" s="358"/>
      <c r="T1419" s="42"/>
      <c r="U1419" s="3"/>
      <c r="V1419" s="41"/>
      <c r="W1419" s="42"/>
      <c r="X1419" s="3"/>
      <c r="Y1419" s="41"/>
      <c r="Z1419" s="243"/>
    </row>
    <row r="1420" spans="1:26">
      <c r="A1420" s="150">
        <v>45949</v>
      </c>
      <c r="B1420" s="350" t="s">
        <v>36</v>
      </c>
      <c r="C1420" s="42"/>
      <c r="D1420" s="353"/>
      <c r="E1420" s="41"/>
      <c r="F1420" s="42"/>
      <c r="G1420" s="3"/>
      <c r="H1420" s="96"/>
      <c r="I1420" s="41"/>
      <c r="J1420" s="42"/>
      <c r="K1420" s="3"/>
      <c r="L1420" s="96"/>
      <c r="M1420" s="41"/>
      <c r="N1420" s="42"/>
      <c r="O1420" s="3"/>
      <c r="P1420" s="358"/>
      <c r="Q1420" s="42"/>
      <c r="R1420" s="3"/>
      <c r="S1420" s="358"/>
      <c r="T1420" s="42"/>
      <c r="U1420" s="3"/>
      <c r="V1420" s="41"/>
      <c r="W1420" s="42"/>
      <c r="X1420" s="3"/>
      <c r="Y1420" s="41"/>
      <c r="Z1420" s="243"/>
    </row>
    <row r="1421" spans="1:26">
      <c r="A1421" s="150">
        <v>45950</v>
      </c>
      <c r="B1421" s="350" t="s">
        <v>108</v>
      </c>
      <c r="C1421" s="42"/>
      <c r="D1421" s="353"/>
      <c r="E1421" s="41"/>
      <c r="F1421" s="42"/>
      <c r="G1421" s="3"/>
      <c r="H1421" s="96"/>
      <c r="I1421" s="41"/>
      <c r="J1421" s="42"/>
      <c r="K1421" s="3"/>
      <c r="L1421" s="96"/>
      <c r="M1421" s="41"/>
      <c r="N1421" s="42"/>
      <c r="O1421" s="3"/>
      <c r="P1421" s="358"/>
      <c r="Q1421" s="42"/>
      <c r="R1421" s="3"/>
      <c r="S1421" s="358"/>
      <c r="T1421" s="42"/>
      <c r="U1421" s="3"/>
      <c r="V1421" s="41"/>
      <c r="W1421" s="42"/>
      <c r="X1421" s="3"/>
      <c r="Y1421" s="41"/>
      <c r="Z1421" s="243"/>
    </row>
    <row r="1422" spans="1:26">
      <c r="A1422" s="150">
        <v>45951</v>
      </c>
      <c r="B1422" s="350" t="s">
        <v>109</v>
      </c>
      <c r="C1422" s="42"/>
      <c r="D1422" s="353"/>
      <c r="E1422" s="41"/>
      <c r="F1422" s="42"/>
      <c r="G1422" s="3"/>
      <c r="H1422" s="96"/>
      <c r="I1422" s="41"/>
      <c r="J1422" s="42"/>
      <c r="K1422" s="3"/>
      <c r="L1422" s="96"/>
      <c r="M1422" s="41"/>
      <c r="N1422" s="42"/>
      <c r="O1422" s="3"/>
      <c r="P1422" s="358"/>
      <c r="Q1422" s="42"/>
      <c r="R1422" s="3"/>
      <c r="S1422" s="358"/>
      <c r="T1422" s="42"/>
      <c r="U1422" s="3"/>
      <c r="V1422" s="41"/>
      <c r="W1422" s="42"/>
      <c r="X1422" s="3"/>
      <c r="Y1422" s="41"/>
      <c r="Z1422" s="243"/>
    </row>
    <row r="1423" spans="1:26">
      <c r="A1423" s="150">
        <v>45952</v>
      </c>
      <c r="B1423" s="350" t="s">
        <v>110</v>
      </c>
      <c r="C1423" s="42"/>
      <c r="D1423" s="353"/>
      <c r="E1423" s="41"/>
      <c r="F1423" s="42"/>
      <c r="G1423" s="3"/>
      <c r="H1423" s="96"/>
      <c r="I1423" s="41"/>
      <c r="J1423" s="42"/>
      <c r="K1423" s="3"/>
      <c r="L1423" s="96"/>
      <c r="M1423" s="41"/>
      <c r="N1423" s="42"/>
      <c r="O1423" s="3"/>
      <c r="P1423" s="358"/>
      <c r="Q1423" s="42"/>
      <c r="R1423" s="3"/>
      <c r="S1423" s="358"/>
      <c r="T1423" s="42"/>
      <c r="U1423" s="3"/>
      <c r="V1423" s="41"/>
      <c r="W1423" s="42"/>
      <c r="X1423" s="3"/>
      <c r="Y1423" s="41"/>
      <c r="Z1423" s="243"/>
    </row>
    <row r="1424" spans="1:26">
      <c r="A1424" s="150">
        <v>45953</v>
      </c>
      <c r="B1424" s="350" t="s">
        <v>111</v>
      </c>
      <c r="C1424" s="42"/>
      <c r="D1424" s="353"/>
      <c r="E1424" s="41"/>
      <c r="F1424" s="42"/>
      <c r="G1424" s="3"/>
      <c r="H1424" s="96"/>
      <c r="I1424" s="41"/>
      <c r="J1424" s="42"/>
      <c r="K1424" s="3"/>
      <c r="L1424" s="96"/>
      <c r="M1424" s="41"/>
      <c r="N1424" s="42"/>
      <c r="O1424" s="3"/>
      <c r="P1424" s="358"/>
      <c r="Q1424" s="42"/>
      <c r="R1424" s="3"/>
      <c r="S1424" s="358"/>
      <c r="T1424" s="42"/>
      <c r="U1424" s="3"/>
      <c r="V1424" s="41"/>
      <c r="W1424" s="42"/>
      <c r="X1424" s="3"/>
      <c r="Y1424" s="41"/>
      <c r="Z1424" s="243"/>
    </row>
    <row r="1425" spans="1:26">
      <c r="A1425" s="150">
        <v>45954</v>
      </c>
      <c r="B1425" s="350" t="s">
        <v>106</v>
      </c>
      <c r="C1425" s="42"/>
      <c r="D1425" s="353"/>
      <c r="E1425" s="41"/>
      <c r="F1425" s="42"/>
      <c r="G1425" s="3"/>
      <c r="H1425" s="96"/>
      <c r="I1425" s="41"/>
      <c r="J1425" s="42"/>
      <c r="K1425" s="3"/>
      <c r="L1425" s="96"/>
      <c r="M1425" s="41"/>
      <c r="N1425" s="42"/>
      <c r="O1425" s="3"/>
      <c r="P1425" s="358"/>
      <c r="Q1425" s="42"/>
      <c r="R1425" s="3"/>
      <c r="S1425" s="358"/>
      <c r="T1425" s="42"/>
      <c r="U1425" s="3"/>
      <c r="V1425" s="41"/>
      <c r="W1425" s="42"/>
      <c r="X1425" s="3"/>
      <c r="Y1425" s="41"/>
      <c r="Z1425" s="243"/>
    </row>
    <row r="1426" spans="1:26">
      <c r="A1426" s="150">
        <v>45955</v>
      </c>
      <c r="B1426" s="350" t="s">
        <v>107</v>
      </c>
      <c r="C1426" s="42"/>
      <c r="D1426" s="353"/>
      <c r="E1426" s="41"/>
      <c r="F1426" s="42"/>
      <c r="G1426" s="3"/>
      <c r="H1426" s="96"/>
      <c r="I1426" s="41"/>
      <c r="J1426" s="42"/>
      <c r="K1426" s="3"/>
      <c r="L1426" s="96"/>
      <c r="M1426" s="41"/>
      <c r="N1426" s="42"/>
      <c r="O1426" s="3"/>
      <c r="P1426" s="358"/>
      <c r="Q1426" s="42"/>
      <c r="R1426" s="3"/>
      <c r="S1426" s="358"/>
      <c r="T1426" s="42"/>
      <c r="U1426" s="3"/>
      <c r="V1426" s="41"/>
      <c r="W1426" s="42"/>
      <c r="X1426" s="3"/>
      <c r="Y1426" s="41"/>
      <c r="Z1426" s="243"/>
    </row>
    <row r="1427" spans="1:26">
      <c r="A1427" s="150">
        <v>45956</v>
      </c>
      <c r="B1427" s="350" t="s">
        <v>36</v>
      </c>
      <c r="C1427" s="42"/>
      <c r="D1427" s="353"/>
      <c r="E1427" s="41"/>
      <c r="F1427" s="42"/>
      <c r="G1427" s="3"/>
      <c r="H1427" s="96"/>
      <c r="I1427" s="41"/>
      <c r="J1427" s="42"/>
      <c r="K1427" s="3"/>
      <c r="L1427" s="96"/>
      <c r="M1427" s="41"/>
      <c r="N1427" s="42"/>
      <c r="O1427" s="3"/>
      <c r="P1427" s="358"/>
      <c r="Q1427" s="42"/>
      <c r="R1427" s="3"/>
      <c r="S1427" s="358"/>
      <c r="T1427" s="42"/>
      <c r="U1427" s="3"/>
      <c r="V1427" s="41"/>
      <c r="W1427" s="42"/>
      <c r="X1427" s="3"/>
      <c r="Y1427" s="41"/>
      <c r="Z1427" s="243"/>
    </row>
    <row r="1428" spans="1:26">
      <c r="A1428" s="150">
        <v>45957</v>
      </c>
      <c r="B1428" s="350" t="s">
        <v>108</v>
      </c>
      <c r="C1428" s="42"/>
      <c r="D1428" s="353"/>
      <c r="E1428" s="41"/>
      <c r="F1428" s="42"/>
      <c r="G1428" s="3"/>
      <c r="H1428" s="96"/>
      <c r="I1428" s="41"/>
      <c r="J1428" s="42"/>
      <c r="K1428" s="3"/>
      <c r="L1428" s="96"/>
      <c r="M1428" s="41"/>
      <c r="N1428" s="42"/>
      <c r="O1428" s="3"/>
      <c r="P1428" s="358"/>
      <c r="Q1428" s="42"/>
      <c r="R1428" s="3"/>
      <c r="S1428" s="358"/>
      <c r="T1428" s="42"/>
      <c r="U1428" s="3"/>
      <c r="V1428" s="41"/>
      <c r="W1428" s="42"/>
      <c r="X1428" s="3"/>
      <c r="Y1428" s="41"/>
      <c r="Z1428" s="243"/>
    </row>
    <row r="1429" spans="1:26">
      <c r="A1429" s="150">
        <v>45958</v>
      </c>
      <c r="B1429" s="350" t="s">
        <v>109</v>
      </c>
      <c r="C1429" s="42"/>
      <c r="D1429" s="353"/>
      <c r="E1429" s="41"/>
      <c r="F1429" s="42"/>
      <c r="G1429" s="3"/>
      <c r="H1429" s="96"/>
      <c r="I1429" s="41"/>
      <c r="J1429" s="42"/>
      <c r="K1429" s="3"/>
      <c r="L1429" s="96"/>
      <c r="M1429" s="41"/>
      <c r="N1429" s="42"/>
      <c r="O1429" s="3"/>
      <c r="P1429" s="358"/>
      <c r="Q1429" s="42"/>
      <c r="R1429" s="3"/>
      <c r="S1429" s="358"/>
      <c r="T1429" s="42"/>
      <c r="U1429" s="3"/>
      <c r="V1429" s="41"/>
      <c r="W1429" s="42"/>
      <c r="X1429" s="3"/>
      <c r="Y1429" s="41"/>
      <c r="Z1429" s="243"/>
    </row>
    <row r="1430" spans="1:26">
      <c r="A1430" s="150">
        <v>45959</v>
      </c>
      <c r="B1430" s="350" t="s">
        <v>110</v>
      </c>
      <c r="C1430" s="42"/>
      <c r="D1430" s="353"/>
      <c r="E1430" s="41"/>
      <c r="F1430" s="42"/>
      <c r="G1430" s="3"/>
      <c r="H1430" s="96"/>
      <c r="I1430" s="41"/>
      <c r="J1430" s="42"/>
      <c r="K1430" s="3"/>
      <c r="L1430" s="96"/>
      <c r="M1430" s="41"/>
      <c r="N1430" s="42"/>
      <c r="O1430" s="3"/>
      <c r="P1430" s="358"/>
      <c r="Q1430" s="42"/>
      <c r="R1430" s="3"/>
      <c r="S1430" s="358"/>
      <c r="T1430" s="42"/>
      <c r="U1430" s="3"/>
      <c r="V1430" s="41"/>
      <c r="W1430" s="42"/>
      <c r="X1430" s="3"/>
      <c r="Y1430" s="41"/>
      <c r="Z1430" s="243"/>
    </row>
    <row r="1431" spans="1:26">
      <c r="A1431" s="150">
        <v>45960</v>
      </c>
      <c r="B1431" s="350" t="s">
        <v>111</v>
      </c>
      <c r="C1431" s="42"/>
      <c r="D1431" s="353"/>
      <c r="E1431" s="41"/>
      <c r="F1431" s="42"/>
      <c r="G1431" s="3"/>
      <c r="H1431" s="96"/>
      <c r="I1431" s="41"/>
      <c r="J1431" s="42"/>
      <c r="K1431" s="3"/>
      <c r="L1431" s="96"/>
      <c r="M1431" s="41"/>
      <c r="N1431" s="42"/>
      <c r="O1431" s="3"/>
      <c r="P1431" s="358"/>
      <c r="Q1431" s="42"/>
      <c r="R1431" s="3"/>
      <c r="S1431" s="358"/>
      <c r="T1431" s="42"/>
      <c r="U1431" s="3"/>
      <c r="V1431" s="41"/>
      <c r="W1431" s="42"/>
      <c r="X1431" s="3"/>
      <c r="Y1431" s="41"/>
      <c r="Z1431" s="243"/>
    </row>
    <row r="1432" spans="1:26">
      <c r="A1432" s="150">
        <v>45961</v>
      </c>
      <c r="B1432" s="350" t="s">
        <v>106</v>
      </c>
      <c r="C1432" s="42"/>
      <c r="D1432" s="353"/>
      <c r="E1432" s="41"/>
      <c r="F1432" s="42"/>
      <c r="G1432" s="3"/>
      <c r="H1432" s="96"/>
      <c r="I1432" s="41"/>
      <c r="J1432" s="42"/>
      <c r="K1432" s="3"/>
      <c r="L1432" s="96"/>
      <c r="M1432" s="41"/>
      <c r="N1432" s="42"/>
      <c r="O1432" s="3"/>
      <c r="P1432" s="358"/>
      <c r="Q1432" s="42"/>
      <c r="R1432" s="3"/>
      <c r="S1432" s="358"/>
      <c r="T1432" s="42"/>
      <c r="U1432" s="3"/>
      <c r="V1432" s="41"/>
      <c r="W1432" s="42"/>
      <c r="X1432" s="3"/>
      <c r="Y1432" s="41"/>
      <c r="Z1432" s="243"/>
    </row>
    <row r="1433" spans="1:26">
      <c r="A1433" s="150">
        <v>45962</v>
      </c>
      <c r="B1433" s="350" t="s">
        <v>107</v>
      </c>
      <c r="C1433" s="42"/>
      <c r="D1433" s="353"/>
      <c r="E1433" s="41"/>
      <c r="F1433" s="42"/>
      <c r="G1433" s="3"/>
      <c r="H1433" s="96"/>
      <c r="I1433" s="41"/>
      <c r="J1433" s="42"/>
      <c r="K1433" s="3"/>
      <c r="L1433" s="96"/>
      <c r="M1433" s="41"/>
      <c r="N1433" s="42"/>
      <c r="O1433" s="3"/>
      <c r="P1433" s="358"/>
      <c r="Q1433" s="42"/>
      <c r="R1433" s="3"/>
      <c r="S1433" s="358"/>
      <c r="T1433" s="42"/>
      <c r="U1433" s="3"/>
      <c r="V1433" s="41"/>
      <c r="W1433" s="42"/>
      <c r="X1433" s="3"/>
      <c r="Y1433" s="41"/>
      <c r="Z1433" s="243"/>
    </row>
    <row r="1434" spans="1:26">
      <c r="A1434" s="150">
        <v>45963</v>
      </c>
      <c r="B1434" s="350" t="s">
        <v>36</v>
      </c>
      <c r="C1434" s="42"/>
      <c r="D1434" s="353"/>
      <c r="E1434" s="41"/>
      <c r="F1434" s="42"/>
      <c r="G1434" s="3"/>
      <c r="H1434" s="96"/>
      <c r="I1434" s="41"/>
      <c r="J1434" s="42"/>
      <c r="K1434" s="3"/>
      <c r="L1434" s="96"/>
      <c r="M1434" s="41"/>
      <c r="N1434" s="42"/>
      <c r="O1434" s="3"/>
      <c r="P1434" s="358"/>
      <c r="Q1434" s="42"/>
      <c r="R1434" s="3"/>
      <c r="S1434" s="358"/>
      <c r="T1434" s="42"/>
      <c r="U1434" s="3"/>
      <c r="V1434" s="41"/>
      <c r="W1434" s="42"/>
      <c r="X1434" s="3"/>
      <c r="Y1434" s="41"/>
      <c r="Z1434" s="243"/>
    </row>
    <row r="1435" spans="1:26">
      <c r="A1435" s="150">
        <v>45964</v>
      </c>
      <c r="B1435" s="350" t="s">
        <v>108</v>
      </c>
      <c r="C1435" s="42"/>
      <c r="D1435" s="353"/>
      <c r="E1435" s="41"/>
      <c r="F1435" s="42"/>
      <c r="G1435" s="3"/>
      <c r="H1435" s="96"/>
      <c r="I1435" s="41"/>
      <c r="J1435" s="42"/>
      <c r="K1435" s="3"/>
      <c r="L1435" s="96"/>
      <c r="M1435" s="41"/>
      <c r="N1435" s="42"/>
      <c r="O1435" s="3"/>
      <c r="P1435" s="358"/>
      <c r="Q1435" s="42"/>
      <c r="R1435" s="3"/>
      <c r="S1435" s="358"/>
      <c r="T1435" s="42"/>
      <c r="U1435" s="3"/>
      <c r="V1435" s="41"/>
      <c r="W1435" s="42"/>
      <c r="X1435" s="3"/>
      <c r="Y1435" s="41"/>
      <c r="Z1435" s="243"/>
    </row>
    <row r="1436" spans="1:26">
      <c r="A1436" s="150">
        <v>45965</v>
      </c>
      <c r="B1436" s="350" t="s">
        <v>109</v>
      </c>
      <c r="C1436" s="42"/>
      <c r="D1436" s="353"/>
      <c r="E1436" s="41"/>
      <c r="F1436" s="42"/>
      <c r="G1436" s="3"/>
      <c r="H1436" s="96"/>
      <c r="I1436" s="41"/>
      <c r="J1436" s="42"/>
      <c r="K1436" s="3"/>
      <c r="L1436" s="96"/>
      <c r="M1436" s="41"/>
      <c r="N1436" s="42"/>
      <c r="O1436" s="3"/>
      <c r="P1436" s="358"/>
      <c r="Q1436" s="42"/>
      <c r="R1436" s="3"/>
      <c r="S1436" s="358"/>
      <c r="T1436" s="42"/>
      <c r="U1436" s="3"/>
      <c r="V1436" s="41"/>
      <c r="W1436" s="42"/>
      <c r="X1436" s="3"/>
      <c r="Y1436" s="41"/>
      <c r="Z1436" s="243"/>
    </row>
    <row r="1437" spans="1:26">
      <c r="A1437" s="150">
        <v>45966</v>
      </c>
      <c r="B1437" s="350" t="s">
        <v>110</v>
      </c>
      <c r="C1437" s="42"/>
      <c r="D1437" s="353"/>
      <c r="E1437" s="41"/>
      <c r="F1437" s="42"/>
      <c r="G1437" s="3"/>
      <c r="H1437" s="96"/>
      <c r="I1437" s="41"/>
      <c r="J1437" s="42"/>
      <c r="K1437" s="3"/>
      <c r="L1437" s="96"/>
      <c r="M1437" s="41"/>
      <c r="N1437" s="42"/>
      <c r="O1437" s="3"/>
      <c r="P1437" s="358"/>
      <c r="Q1437" s="42"/>
      <c r="R1437" s="3"/>
      <c r="S1437" s="358"/>
      <c r="T1437" s="42"/>
      <c r="U1437" s="3"/>
      <c r="V1437" s="41"/>
      <c r="W1437" s="42"/>
      <c r="X1437" s="3"/>
      <c r="Y1437" s="41"/>
      <c r="Z1437" s="243"/>
    </row>
    <row r="1438" spans="1:26">
      <c r="A1438" s="150">
        <v>45967</v>
      </c>
      <c r="B1438" s="350" t="s">
        <v>111</v>
      </c>
      <c r="C1438" s="42"/>
      <c r="D1438" s="353"/>
      <c r="E1438" s="41"/>
      <c r="F1438" s="42"/>
      <c r="G1438" s="3"/>
      <c r="H1438" s="96"/>
      <c r="I1438" s="41"/>
      <c r="J1438" s="42"/>
      <c r="K1438" s="3"/>
      <c r="L1438" s="96"/>
      <c r="M1438" s="41"/>
      <c r="N1438" s="42"/>
      <c r="O1438" s="3"/>
      <c r="P1438" s="358"/>
      <c r="Q1438" s="42"/>
      <c r="R1438" s="3"/>
      <c r="S1438" s="358"/>
      <c r="T1438" s="42"/>
      <c r="U1438" s="3"/>
      <c r="V1438" s="41"/>
      <c r="W1438" s="42"/>
      <c r="X1438" s="3"/>
      <c r="Y1438" s="41"/>
      <c r="Z1438" s="243"/>
    </row>
    <row r="1439" spans="1:26">
      <c r="A1439" s="150">
        <v>45968</v>
      </c>
      <c r="B1439" s="350" t="s">
        <v>106</v>
      </c>
      <c r="C1439" s="42"/>
      <c r="D1439" s="353"/>
      <c r="E1439" s="41"/>
      <c r="F1439" s="42"/>
      <c r="G1439" s="3"/>
      <c r="H1439" s="96"/>
      <c r="I1439" s="41"/>
      <c r="J1439" s="42"/>
      <c r="K1439" s="3"/>
      <c r="L1439" s="96"/>
      <c r="M1439" s="41"/>
      <c r="N1439" s="42"/>
      <c r="O1439" s="3"/>
      <c r="P1439" s="358"/>
      <c r="Q1439" s="42"/>
      <c r="R1439" s="3"/>
      <c r="S1439" s="358"/>
      <c r="T1439" s="42"/>
      <c r="U1439" s="3"/>
      <c r="V1439" s="41"/>
      <c r="W1439" s="42"/>
      <c r="X1439" s="3"/>
      <c r="Y1439" s="41"/>
      <c r="Z1439" s="243"/>
    </row>
    <row r="1440" spans="1:26">
      <c r="A1440" s="150">
        <v>45969</v>
      </c>
      <c r="B1440" s="350" t="s">
        <v>107</v>
      </c>
      <c r="C1440" s="42"/>
      <c r="D1440" s="353"/>
      <c r="E1440" s="41"/>
      <c r="F1440" s="42"/>
      <c r="G1440" s="3"/>
      <c r="H1440" s="96"/>
      <c r="I1440" s="41"/>
      <c r="J1440" s="42"/>
      <c r="K1440" s="3"/>
      <c r="L1440" s="96"/>
      <c r="M1440" s="41"/>
      <c r="N1440" s="42"/>
      <c r="O1440" s="3"/>
      <c r="P1440" s="358"/>
      <c r="Q1440" s="42"/>
      <c r="R1440" s="3"/>
      <c r="S1440" s="358"/>
      <c r="T1440" s="42"/>
      <c r="U1440" s="3"/>
      <c r="V1440" s="41"/>
      <c r="W1440" s="42"/>
      <c r="X1440" s="3"/>
      <c r="Y1440" s="41"/>
      <c r="Z1440" s="243"/>
    </row>
    <row r="1441" spans="1:26">
      <c r="A1441" s="150">
        <v>45970</v>
      </c>
      <c r="B1441" s="350" t="s">
        <v>36</v>
      </c>
      <c r="C1441" s="42"/>
      <c r="D1441" s="353"/>
      <c r="E1441" s="41"/>
      <c r="F1441" s="42"/>
      <c r="G1441" s="3"/>
      <c r="H1441" s="96"/>
      <c r="I1441" s="41"/>
      <c r="J1441" s="42"/>
      <c r="K1441" s="3"/>
      <c r="L1441" s="96"/>
      <c r="M1441" s="41"/>
      <c r="N1441" s="42"/>
      <c r="O1441" s="3"/>
      <c r="P1441" s="358"/>
      <c r="Q1441" s="42"/>
      <c r="R1441" s="3"/>
      <c r="S1441" s="358"/>
      <c r="T1441" s="42"/>
      <c r="U1441" s="3"/>
      <c r="V1441" s="41"/>
      <c r="W1441" s="42"/>
      <c r="X1441" s="3"/>
      <c r="Y1441" s="41"/>
      <c r="Z1441" s="243"/>
    </row>
    <row r="1442" spans="1:26">
      <c r="A1442" s="150">
        <v>45971</v>
      </c>
      <c r="B1442" s="350" t="s">
        <v>108</v>
      </c>
      <c r="C1442" s="42"/>
      <c r="D1442" s="353"/>
      <c r="E1442" s="41"/>
      <c r="F1442" s="42"/>
      <c r="G1442" s="3"/>
      <c r="H1442" s="96"/>
      <c r="I1442" s="41"/>
      <c r="J1442" s="42"/>
      <c r="K1442" s="3"/>
      <c r="L1442" s="96"/>
      <c r="M1442" s="41"/>
      <c r="N1442" s="42"/>
      <c r="O1442" s="3"/>
      <c r="P1442" s="358"/>
      <c r="Q1442" s="42"/>
      <c r="R1442" s="3"/>
      <c r="S1442" s="358"/>
      <c r="T1442" s="42"/>
      <c r="U1442" s="3"/>
      <c r="V1442" s="41"/>
      <c r="W1442" s="42"/>
      <c r="X1442" s="3"/>
      <c r="Y1442" s="41"/>
      <c r="Z1442" s="243"/>
    </row>
    <row r="1443" spans="1:26">
      <c r="A1443" s="150">
        <v>45972</v>
      </c>
      <c r="B1443" s="350" t="s">
        <v>109</v>
      </c>
      <c r="C1443" s="42"/>
      <c r="D1443" s="353"/>
      <c r="E1443" s="41"/>
      <c r="F1443" s="42"/>
      <c r="G1443" s="3"/>
      <c r="H1443" s="96"/>
      <c r="I1443" s="41"/>
      <c r="J1443" s="42"/>
      <c r="K1443" s="3"/>
      <c r="L1443" s="96"/>
      <c r="M1443" s="41"/>
      <c r="N1443" s="42"/>
      <c r="O1443" s="3"/>
      <c r="P1443" s="358"/>
      <c r="Q1443" s="42"/>
      <c r="R1443" s="3"/>
      <c r="S1443" s="358"/>
      <c r="T1443" s="42"/>
      <c r="U1443" s="3"/>
      <c r="V1443" s="41"/>
      <c r="W1443" s="42"/>
      <c r="X1443" s="3"/>
      <c r="Y1443" s="41"/>
      <c r="Z1443" s="243"/>
    </row>
    <row r="1444" spans="1:26">
      <c r="A1444" s="150">
        <v>45973</v>
      </c>
      <c r="B1444" s="350" t="s">
        <v>110</v>
      </c>
      <c r="C1444" s="42"/>
      <c r="D1444" s="353"/>
      <c r="E1444" s="41"/>
      <c r="F1444" s="42"/>
      <c r="G1444" s="3"/>
      <c r="H1444" s="96"/>
      <c r="I1444" s="41"/>
      <c r="J1444" s="42"/>
      <c r="K1444" s="3"/>
      <c r="L1444" s="96"/>
      <c r="M1444" s="41"/>
      <c r="N1444" s="42"/>
      <c r="O1444" s="3"/>
      <c r="P1444" s="358"/>
      <c r="Q1444" s="42"/>
      <c r="R1444" s="3"/>
      <c r="S1444" s="358"/>
      <c r="T1444" s="42"/>
      <c r="U1444" s="3"/>
      <c r="V1444" s="41"/>
      <c r="W1444" s="42"/>
      <c r="X1444" s="3"/>
      <c r="Y1444" s="41"/>
      <c r="Z1444" s="243"/>
    </row>
    <row r="1445" spans="1:26">
      <c r="A1445" s="150">
        <v>45974</v>
      </c>
      <c r="B1445" s="350" t="s">
        <v>111</v>
      </c>
      <c r="C1445" s="42"/>
      <c r="D1445" s="353"/>
      <c r="E1445" s="41"/>
      <c r="F1445" s="42"/>
      <c r="G1445" s="3"/>
      <c r="H1445" s="96"/>
      <c r="I1445" s="41"/>
      <c r="J1445" s="42"/>
      <c r="K1445" s="3"/>
      <c r="L1445" s="96"/>
      <c r="M1445" s="41"/>
      <c r="N1445" s="42"/>
      <c r="O1445" s="3"/>
      <c r="P1445" s="358"/>
      <c r="Q1445" s="42"/>
      <c r="R1445" s="3"/>
      <c r="S1445" s="358"/>
      <c r="T1445" s="42"/>
      <c r="U1445" s="3"/>
      <c r="V1445" s="41"/>
      <c r="W1445" s="42"/>
      <c r="X1445" s="3"/>
      <c r="Y1445" s="41"/>
      <c r="Z1445" s="243"/>
    </row>
    <row r="1446" spans="1:26">
      <c r="A1446" s="150">
        <v>45975</v>
      </c>
      <c r="B1446" s="350" t="s">
        <v>106</v>
      </c>
      <c r="C1446" s="42"/>
      <c r="D1446" s="353"/>
      <c r="E1446" s="41"/>
      <c r="F1446" s="42"/>
      <c r="G1446" s="3"/>
      <c r="H1446" s="96"/>
      <c r="I1446" s="41"/>
      <c r="J1446" s="42"/>
      <c r="K1446" s="3"/>
      <c r="L1446" s="96"/>
      <c r="M1446" s="41"/>
      <c r="N1446" s="42"/>
      <c r="O1446" s="3"/>
      <c r="P1446" s="358"/>
      <c r="Q1446" s="42"/>
      <c r="R1446" s="3"/>
      <c r="S1446" s="358"/>
      <c r="T1446" s="42"/>
      <c r="U1446" s="3"/>
      <c r="V1446" s="41"/>
      <c r="W1446" s="42"/>
      <c r="X1446" s="3"/>
      <c r="Y1446" s="41"/>
      <c r="Z1446" s="243"/>
    </row>
    <row r="1447" spans="1:26">
      <c r="A1447" s="150">
        <v>45976</v>
      </c>
      <c r="B1447" s="350" t="s">
        <v>107</v>
      </c>
      <c r="C1447" s="42"/>
      <c r="D1447" s="353"/>
      <c r="E1447" s="41"/>
      <c r="F1447" s="42"/>
      <c r="G1447" s="3"/>
      <c r="H1447" s="96"/>
      <c r="I1447" s="41"/>
      <c r="J1447" s="42"/>
      <c r="K1447" s="3"/>
      <c r="L1447" s="96"/>
      <c r="M1447" s="41"/>
      <c r="N1447" s="42"/>
      <c r="O1447" s="3"/>
      <c r="P1447" s="358"/>
      <c r="Q1447" s="42"/>
      <c r="R1447" s="3"/>
      <c r="S1447" s="358"/>
      <c r="T1447" s="42"/>
      <c r="U1447" s="3"/>
      <c r="V1447" s="41"/>
      <c r="W1447" s="42"/>
      <c r="X1447" s="3"/>
      <c r="Y1447" s="41"/>
      <c r="Z1447" s="243"/>
    </row>
    <row r="1448" spans="1:26">
      <c r="A1448" s="150">
        <v>45977</v>
      </c>
      <c r="B1448" s="350" t="s">
        <v>36</v>
      </c>
      <c r="C1448" s="42"/>
      <c r="D1448" s="353"/>
      <c r="E1448" s="41"/>
      <c r="F1448" s="42"/>
      <c r="G1448" s="3"/>
      <c r="H1448" s="96"/>
      <c r="I1448" s="41"/>
      <c r="J1448" s="42"/>
      <c r="K1448" s="3"/>
      <c r="L1448" s="96"/>
      <c r="M1448" s="41"/>
      <c r="N1448" s="42"/>
      <c r="O1448" s="3"/>
      <c r="P1448" s="358"/>
      <c r="Q1448" s="42"/>
      <c r="R1448" s="3"/>
      <c r="S1448" s="358"/>
      <c r="T1448" s="42"/>
      <c r="U1448" s="3"/>
      <c r="V1448" s="41"/>
      <c r="W1448" s="42"/>
      <c r="X1448" s="3"/>
      <c r="Y1448" s="41"/>
      <c r="Z1448" s="243"/>
    </row>
    <row r="1449" spans="1:26">
      <c r="A1449" s="150">
        <v>45978</v>
      </c>
      <c r="B1449" s="350" t="s">
        <v>108</v>
      </c>
      <c r="C1449" s="42"/>
      <c r="D1449" s="353"/>
      <c r="E1449" s="41"/>
      <c r="F1449" s="42"/>
      <c r="G1449" s="3"/>
      <c r="H1449" s="96"/>
      <c r="I1449" s="41"/>
      <c r="J1449" s="42"/>
      <c r="K1449" s="3"/>
      <c r="L1449" s="96"/>
      <c r="M1449" s="41"/>
      <c r="N1449" s="42"/>
      <c r="O1449" s="3"/>
      <c r="P1449" s="358"/>
      <c r="Q1449" s="42"/>
      <c r="R1449" s="3"/>
      <c r="S1449" s="358"/>
      <c r="T1449" s="42"/>
      <c r="U1449" s="3"/>
      <c r="V1449" s="41"/>
      <c r="W1449" s="42"/>
      <c r="X1449" s="3"/>
      <c r="Y1449" s="41"/>
      <c r="Z1449" s="243"/>
    </row>
    <row r="1450" spans="1:26">
      <c r="A1450" s="150">
        <v>45979</v>
      </c>
      <c r="B1450" s="350" t="s">
        <v>109</v>
      </c>
      <c r="C1450" s="42"/>
      <c r="D1450" s="353"/>
      <c r="E1450" s="41"/>
      <c r="F1450" s="42"/>
      <c r="G1450" s="3"/>
      <c r="H1450" s="96"/>
      <c r="I1450" s="41"/>
      <c r="J1450" s="42"/>
      <c r="K1450" s="3"/>
      <c r="L1450" s="96"/>
      <c r="M1450" s="41"/>
      <c r="N1450" s="42"/>
      <c r="O1450" s="3"/>
      <c r="P1450" s="358"/>
      <c r="Q1450" s="42"/>
      <c r="R1450" s="3"/>
      <c r="S1450" s="358"/>
      <c r="T1450" s="42"/>
      <c r="U1450" s="3"/>
      <c r="V1450" s="41"/>
      <c r="W1450" s="42"/>
      <c r="X1450" s="3"/>
      <c r="Y1450" s="41"/>
      <c r="Z1450" s="243"/>
    </row>
    <row r="1451" spans="1:26">
      <c r="A1451" s="150">
        <v>45980</v>
      </c>
      <c r="B1451" s="350" t="s">
        <v>110</v>
      </c>
      <c r="C1451" s="42"/>
      <c r="D1451" s="353"/>
      <c r="E1451" s="41"/>
      <c r="F1451" s="42"/>
      <c r="G1451" s="3"/>
      <c r="H1451" s="96"/>
      <c r="I1451" s="41"/>
      <c r="J1451" s="42"/>
      <c r="K1451" s="3"/>
      <c r="L1451" s="96"/>
      <c r="M1451" s="41"/>
      <c r="N1451" s="42"/>
      <c r="O1451" s="3"/>
      <c r="P1451" s="358"/>
      <c r="Q1451" s="42"/>
      <c r="R1451" s="3"/>
      <c r="S1451" s="358"/>
      <c r="T1451" s="42"/>
      <c r="U1451" s="3"/>
      <c r="V1451" s="41"/>
      <c r="W1451" s="42"/>
      <c r="X1451" s="3"/>
      <c r="Y1451" s="41"/>
      <c r="Z1451" s="243"/>
    </row>
    <row r="1452" spans="1:26">
      <c r="A1452" s="150">
        <v>45981</v>
      </c>
      <c r="B1452" s="350" t="s">
        <v>111</v>
      </c>
      <c r="C1452" s="42"/>
      <c r="D1452" s="353"/>
      <c r="E1452" s="41"/>
      <c r="F1452" s="42"/>
      <c r="G1452" s="3"/>
      <c r="H1452" s="96"/>
      <c r="I1452" s="41"/>
      <c r="J1452" s="42"/>
      <c r="K1452" s="3"/>
      <c r="L1452" s="96"/>
      <c r="M1452" s="41"/>
      <c r="N1452" s="42"/>
      <c r="O1452" s="3"/>
      <c r="P1452" s="358"/>
      <c r="Q1452" s="42"/>
      <c r="R1452" s="3"/>
      <c r="S1452" s="358"/>
      <c r="T1452" s="42"/>
      <c r="U1452" s="3"/>
      <c r="V1452" s="41"/>
      <c r="W1452" s="42"/>
      <c r="X1452" s="3"/>
      <c r="Y1452" s="41"/>
      <c r="Z1452" s="243"/>
    </row>
    <row r="1453" spans="1:26">
      <c r="A1453" s="150">
        <v>45982</v>
      </c>
      <c r="B1453" s="350" t="s">
        <v>106</v>
      </c>
      <c r="C1453" s="42"/>
      <c r="D1453" s="353"/>
      <c r="E1453" s="41"/>
      <c r="F1453" s="42"/>
      <c r="G1453" s="3"/>
      <c r="H1453" s="96"/>
      <c r="I1453" s="41"/>
      <c r="J1453" s="42"/>
      <c r="K1453" s="3"/>
      <c r="L1453" s="96"/>
      <c r="M1453" s="41"/>
      <c r="N1453" s="42"/>
      <c r="O1453" s="3"/>
      <c r="P1453" s="358"/>
      <c r="Q1453" s="42"/>
      <c r="R1453" s="3"/>
      <c r="S1453" s="358"/>
      <c r="T1453" s="42"/>
      <c r="U1453" s="3"/>
      <c r="V1453" s="41"/>
      <c r="W1453" s="42"/>
      <c r="X1453" s="3"/>
      <c r="Y1453" s="41"/>
      <c r="Z1453" s="243"/>
    </row>
    <row r="1454" spans="1:26">
      <c r="A1454" s="150">
        <v>45983</v>
      </c>
      <c r="B1454" s="350" t="s">
        <v>107</v>
      </c>
      <c r="C1454" s="42"/>
      <c r="D1454" s="353"/>
      <c r="E1454" s="41"/>
      <c r="F1454" s="42"/>
      <c r="G1454" s="3"/>
      <c r="H1454" s="96"/>
      <c r="I1454" s="41"/>
      <c r="J1454" s="42"/>
      <c r="K1454" s="3"/>
      <c r="L1454" s="96"/>
      <c r="M1454" s="41"/>
      <c r="N1454" s="42"/>
      <c r="O1454" s="3"/>
      <c r="P1454" s="358"/>
      <c r="Q1454" s="42"/>
      <c r="R1454" s="3"/>
      <c r="S1454" s="358"/>
      <c r="T1454" s="42"/>
      <c r="U1454" s="3"/>
      <c r="V1454" s="41"/>
      <c r="W1454" s="42"/>
      <c r="X1454" s="3"/>
      <c r="Y1454" s="41"/>
      <c r="Z1454" s="243"/>
    </row>
    <row r="1455" spans="1:26">
      <c r="A1455" s="150">
        <v>45984</v>
      </c>
      <c r="B1455" s="350" t="s">
        <v>36</v>
      </c>
      <c r="C1455" s="42"/>
      <c r="D1455" s="353"/>
      <c r="E1455" s="41"/>
      <c r="F1455" s="42"/>
      <c r="G1455" s="3"/>
      <c r="H1455" s="96"/>
      <c r="I1455" s="41"/>
      <c r="J1455" s="42"/>
      <c r="K1455" s="3"/>
      <c r="L1455" s="96"/>
      <c r="M1455" s="41"/>
      <c r="N1455" s="42"/>
      <c r="O1455" s="3"/>
      <c r="P1455" s="358"/>
      <c r="Q1455" s="42"/>
      <c r="R1455" s="3"/>
      <c r="S1455" s="358"/>
      <c r="T1455" s="42"/>
      <c r="U1455" s="3"/>
      <c r="V1455" s="41"/>
      <c r="W1455" s="42"/>
      <c r="X1455" s="3"/>
      <c r="Y1455" s="41"/>
      <c r="Z1455" s="243"/>
    </row>
    <row r="1456" spans="1:26">
      <c r="A1456" s="150">
        <v>45985</v>
      </c>
      <c r="B1456" s="350" t="s">
        <v>108</v>
      </c>
      <c r="C1456" s="42"/>
      <c r="D1456" s="353"/>
      <c r="E1456" s="41"/>
      <c r="F1456" s="42"/>
      <c r="G1456" s="3"/>
      <c r="H1456" s="96"/>
      <c r="I1456" s="41"/>
      <c r="J1456" s="42"/>
      <c r="K1456" s="3"/>
      <c r="L1456" s="96"/>
      <c r="M1456" s="41"/>
      <c r="N1456" s="42"/>
      <c r="O1456" s="3"/>
      <c r="P1456" s="358"/>
      <c r="Q1456" s="42"/>
      <c r="R1456" s="3"/>
      <c r="S1456" s="358"/>
      <c r="T1456" s="42"/>
      <c r="U1456" s="3"/>
      <c r="V1456" s="41"/>
      <c r="W1456" s="42"/>
      <c r="X1456" s="3"/>
      <c r="Y1456" s="41"/>
      <c r="Z1456" s="243"/>
    </row>
    <row r="1457" spans="1:26">
      <c r="A1457" s="150">
        <v>45986</v>
      </c>
      <c r="B1457" s="350" t="s">
        <v>109</v>
      </c>
      <c r="C1457" s="42"/>
      <c r="D1457" s="353"/>
      <c r="E1457" s="41"/>
      <c r="F1457" s="42"/>
      <c r="G1457" s="3"/>
      <c r="H1457" s="96"/>
      <c r="I1457" s="41"/>
      <c r="J1457" s="42"/>
      <c r="K1457" s="3"/>
      <c r="L1457" s="96"/>
      <c r="M1457" s="41"/>
      <c r="N1457" s="42"/>
      <c r="O1457" s="3"/>
      <c r="P1457" s="358"/>
      <c r="Q1457" s="42"/>
      <c r="R1457" s="3"/>
      <c r="S1457" s="358"/>
      <c r="T1457" s="42"/>
      <c r="U1457" s="3"/>
      <c r="V1457" s="41"/>
      <c r="W1457" s="42"/>
      <c r="X1457" s="3"/>
      <c r="Y1457" s="41"/>
      <c r="Z1457" s="243"/>
    </row>
    <row r="1458" spans="1:26">
      <c r="A1458" s="150">
        <v>45987</v>
      </c>
      <c r="B1458" s="350" t="s">
        <v>110</v>
      </c>
      <c r="C1458" s="42"/>
      <c r="D1458" s="353"/>
      <c r="E1458" s="41"/>
      <c r="F1458" s="42"/>
      <c r="G1458" s="3"/>
      <c r="H1458" s="96"/>
      <c r="I1458" s="41"/>
      <c r="J1458" s="42"/>
      <c r="K1458" s="3"/>
      <c r="L1458" s="96"/>
      <c r="M1458" s="41"/>
      <c r="N1458" s="42"/>
      <c r="O1458" s="3"/>
      <c r="P1458" s="358"/>
      <c r="Q1458" s="42"/>
      <c r="R1458" s="3"/>
      <c r="S1458" s="358"/>
      <c r="T1458" s="42"/>
      <c r="U1458" s="3"/>
      <c r="V1458" s="41"/>
      <c r="W1458" s="42"/>
      <c r="X1458" s="3"/>
      <c r="Y1458" s="41"/>
      <c r="Z1458" s="243"/>
    </row>
    <row r="1459" spans="1:26">
      <c r="A1459" s="150">
        <v>45988</v>
      </c>
      <c r="B1459" s="350" t="s">
        <v>111</v>
      </c>
      <c r="C1459" s="42"/>
      <c r="D1459" s="353"/>
      <c r="E1459" s="41"/>
      <c r="F1459" s="42"/>
      <c r="G1459" s="3"/>
      <c r="H1459" s="96"/>
      <c r="I1459" s="41"/>
      <c r="J1459" s="42"/>
      <c r="K1459" s="3"/>
      <c r="L1459" s="96"/>
      <c r="M1459" s="41"/>
      <c r="N1459" s="42"/>
      <c r="O1459" s="3"/>
      <c r="P1459" s="358"/>
      <c r="Q1459" s="42"/>
      <c r="R1459" s="3"/>
      <c r="S1459" s="358"/>
      <c r="T1459" s="42"/>
      <c r="U1459" s="3"/>
      <c r="V1459" s="41"/>
      <c r="W1459" s="42"/>
      <c r="X1459" s="3"/>
      <c r="Y1459" s="41"/>
      <c r="Z1459" s="243"/>
    </row>
    <row r="1460" spans="1:26">
      <c r="A1460" s="150">
        <v>45989</v>
      </c>
      <c r="B1460" s="350" t="s">
        <v>106</v>
      </c>
      <c r="C1460" s="42"/>
      <c r="D1460" s="353"/>
      <c r="E1460" s="41"/>
      <c r="F1460" s="42"/>
      <c r="G1460" s="3"/>
      <c r="H1460" s="96"/>
      <c r="I1460" s="41"/>
      <c r="J1460" s="42"/>
      <c r="K1460" s="3"/>
      <c r="L1460" s="96"/>
      <c r="M1460" s="41"/>
      <c r="N1460" s="42"/>
      <c r="O1460" s="3"/>
      <c r="P1460" s="358"/>
      <c r="Q1460" s="42"/>
      <c r="R1460" s="3"/>
      <c r="S1460" s="358"/>
      <c r="T1460" s="42"/>
      <c r="U1460" s="3"/>
      <c r="V1460" s="41"/>
      <c r="W1460" s="42"/>
      <c r="X1460" s="3"/>
      <c r="Y1460" s="41"/>
      <c r="Z1460" s="243"/>
    </row>
    <row r="1461" spans="1:26">
      <c r="A1461" s="150">
        <v>45990</v>
      </c>
      <c r="B1461" s="350" t="s">
        <v>107</v>
      </c>
      <c r="C1461" s="42"/>
      <c r="D1461" s="353"/>
      <c r="E1461" s="41"/>
      <c r="F1461" s="42"/>
      <c r="G1461" s="3"/>
      <c r="H1461" s="96"/>
      <c r="I1461" s="41"/>
      <c r="J1461" s="42"/>
      <c r="K1461" s="3"/>
      <c r="L1461" s="96"/>
      <c r="M1461" s="41"/>
      <c r="N1461" s="42"/>
      <c r="O1461" s="3"/>
      <c r="P1461" s="358"/>
      <c r="Q1461" s="42"/>
      <c r="R1461" s="3"/>
      <c r="S1461" s="358"/>
      <c r="T1461" s="42"/>
      <c r="U1461" s="3"/>
      <c r="V1461" s="41"/>
      <c r="W1461" s="42"/>
      <c r="X1461" s="3"/>
      <c r="Y1461" s="41"/>
      <c r="Z1461" s="243"/>
    </row>
    <row r="1462" spans="1:26">
      <c r="A1462" s="150">
        <v>45991</v>
      </c>
      <c r="B1462" s="350" t="s">
        <v>36</v>
      </c>
      <c r="C1462" s="42"/>
      <c r="D1462" s="353"/>
      <c r="E1462" s="41"/>
      <c r="F1462" s="42"/>
      <c r="G1462" s="3"/>
      <c r="H1462" s="96"/>
      <c r="I1462" s="41"/>
      <c r="J1462" s="42"/>
      <c r="K1462" s="3"/>
      <c r="L1462" s="96"/>
      <c r="M1462" s="41"/>
      <c r="N1462" s="42"/>
      <c r="O1462" s="3"/>
      <c r="P1462" s="358"/>
      <c r="Q1462" s="42"/>
      <c r="R1462" s="3"/>
      <c r="S1462" s="358"/>
      <c r="T1462" s="42"/>
      <c r="U1462" s="3"/>
      <c r="V1462" s="41"/>
      <c r="W1462" s="42"/>
      <c r="X1462" s="3"/>
      <c r="Y1462" s="41"/>
      <c r="Z1462" s="243"/>
    </row>
    <row r="1463" spans="1:26">
      <c r="A1463" s="150">
        <v>45992</v>
      </c>
      <c r="B1463" s="350" t="s">
        <v>108</v>
      </c>
      <c r="C1463" s="42"/>
      <c r="D1463" s="353"/>
      <c r="E1463" s="41"/>
      <c r="F1463" s="42"/>
      <c r="G1463" s="3"/>
      <c r="H1463" s="96"/>
      <c r="I1463" s="41"/>
      <c r="J1463" s="42"/>
      <c r="K1463" s="3"/>
      <c r="L1463" s="96"/>
      <c r="M1463" s="41"/>
      <c r="N1463" s="42"/>
      <c r="O1463" s="3"/>
      <c r="P1463" s="358"/>
      <c r="Q1463" s="42"/>
      <c r="R1463" s="3"/>
      <c r="S1463" s="358"/>
      <c r="T1463" s="42"/>
      <c r="U1463" s="3"/>
      <c r="V1463" s="41"/>
      <c r="W1463" s="42"/>
      <c r="X1463" s="3"/>
      <c r="Y1463" s="41"/>
      <c r="Z1463" s="243"/>
    </row>
    <row r="1464" spans="1:26">
      <c r="A1464" s="150">
        <v>45993</v>
      </c>
      <c r="B1464" s="350" t="s">
        <v>109</v>
      </c>
      <c r="C1464" s="42"/>
      <c r="D1464" s="353"/>
      <c r="E1464" s="41"/>
      <c r="F1464" s="42"/>
      <c r="G1464" s="3"/>
      <c r="H1464" s="96"/>
      <c r="I1464" s="41"/>
      <c r="J1464" s="42"/>
      <c r="K1464" s="3"/>
      <c r="L1464" s="96"/>
      <c r="M1464" s="41"/>
      <c r="N1464" s="42"/>
      <c r="O1464" s="3"/>
      <c r="P1464" s="358"/>
      <c r="Q1464" s="42"/>
      <c r="R1464" s="3"/>
      <c r="S1464" s="358"/>
      <c r="T1464" s="42"/>
      <c r="U1464" s="3"/>
      <c r="V1464" s="41"/>
      <c r="W1464" s="42"/>
      <c r="X1464" s="3"/>
      <c r="Y1464" s="41"/>
      <c r="Z1464" s="243"/>
    </row>
    <row r="1465" spans="1:26">
      <c r="A1465" s="150">
        <v>45994</v>
      </c>
      <c r="B1465" s="350" t="s">
        <v>110</v>
      </c>
      <c r="C1465" s="42"/>
      <c r="D1465" s="353"/>
      <c r="E1465" s="41"/>
      <c r="F1465" s="42"/>
      <c r="G1465" s="3"/>
      <c r="H1465" s="96"/>
      <c r="I1465" s="41"/>
      <c r="J1465" s="42"/>
      <c r="K1465" s="3"/>
      <c r="L1465" s="96"/>
      <c r="M1465" s="41"/>
      <c r="N1465" s="42"/>
      <c r="O1465" s="3"/>
      <c r="P1465" s="358"/>
      <c r="Q1465" s="42"/>
      <c r="R1465" s="3"/>
      <c r="S1465" s="358"/>
      <c r="T1465" s="42"/>
      <c r="U1465" s="3"/>
      <c r="V1465" s="41"/>
      <c r="W1465" s="42"/>
      <c r="X1465" s="3"/>
      <c r="Y1465" s="41"/>
      <c r="Z1465" s="243"/>
    </row>
    <row r="1466" spans="1:26">
      <c r="A1466" s="150">
        <v>45995</v>
      </c>
      <c r="B1466" s="350" t="s">
        <v>111</v>
      </c>
      <c r="C1466" s="42"/>
      <c r="D1466" s="353"/>
      <c r="E1466" s="41"/>
      <c r="F1466" s="42"/>
      <c r="G1466" s="3"/>
      <c r="H1466" s="96"/>
      <c r="I1466" s="41"/>
      <c r="J1466" s="42"/>
      <c r="K1466" s="3"/>
      <c r="L1466" s="96"/>
      <c r="M1466" s="41"/>
      <c r="N1466" s="42"/>
      <c r="O1466" s="3"/>
      <c r="P1466" s="358"/>
      <c r="Q1466" s="42"/>
      <c r="R1466" s="3"/>
      <c r="S1466" s="358"/>
      <c r="T1466" s="42"/>
      <c r="U1466" s="3"/>
      <c r="V1466" s="41"/>
      <c r="W1466" s="42"/>
      <c r="X1466" s="3"/>
      <c r="Y1466" s="41"/>
      <c r="Z1466" s="243"/>
    </row>
    <row r="1467" spans="1:26">
      <c r="A1467" s="150">
        <v>45996</v>
      </c>
      <c r="B1467" s="350" t="s">
        <v>106</v>
      </c>
      <c r="C1467" s="42"/>
      <c r="D1467" s="353"/>
      <c r="E1467" s="41"/>
      <c r="F1467" s="42"/>
      <c r="G1467" s="3"/>
      <c r="H1467" s="96"/>
      <c r="I1467" s="41"/>
      <c r="J1467" s="42"/>
      <c r="K1467" s="3"/>
      <c r="L1467" s="96"/>
      <c r="M1467" s="41"/>
      <c r="N1467" s="42"/>
      <c r="O1467" s="3"/>
      <c r="P1467" s="358"/>
      <c r="Q1467" s="42"/>
      <c r="R1467" s="3"/>
      <c r="S1467" s="358"/>
      <c r="T1467" s="42"/>
      <c r="U1467" s="3"/>
      <c r="V1467" s="41"/>
      <c r="W1467" s="42"/>
      <c r="X1467" s="3"/>
      <c r="Y1467" s="41"/>
      <c r="Z1467" s="243"/>
    </row>
    <row r="1468" spans="1:26">
      <c r="A1468" s="150">
        <v>45997</v>
      </c>
      <c r="B1468" s="350" t="s">
        <v>107</v>
      </c>
      <c r="C1468" s="42"/>
      <c r="D1468" s="353"/>
      <c r="E1468" s="41"/>
      <c r="F1468" s="42"/>
      <c r="G1468" s="3"/>
      <c r="H1468" s="96"/>
      <c r="I1468" s="41"/>
      <c r="J1468" s="42"/>
      <c r="K1468" s="3"/>
      <c r="L1468" s="96"/>
      <c r="M1468" s="41"/>
      <c r="N1468" s="42"/>
      <c r="O1468" s="3"/>
      <c r="P1468" s="358"/>
      <c r="Q1468" s="42"/>
      <c r="R1468" s="3"/>
      <c r="S1468" s="358"/>
      <c r="T1468" s="42"/>
      <c r="U1468" s="3"/>
      <c r="V1468" s="41"/>
      <c r="W1468" s="42"/>
      <c r="X1468" s="3"/>
      <c r="Y1468" s="41"/>
      <c r="Z1468" s="243"/>
    </row>
    <row r="1469" spans="1:26">
      <c r="A1469" s="150">
        <v>45998</v>
      </c>
      <c r="B1469" s="350" t="s">
        <v>36</v>
      </c>
      <c r="C1469" s="42"/>
      <c r="D1469" s="353"/>
      <c r="E1469" s="41"/>
      <c r="F1469" s="42"/>
      <c r="G1469" s="3"/>
      <c r="H1469" s="96"/>
      <c r="I1469" s="41"/>
      <c r="J1469" s="42"/>
      <c r="K1469" s="3"/>
      <c r="L1469" s="96"/>
      <c r="M1469" s="41"/>
      <c r="N1469" s="42"/>
      <c r="O1469" s="3"/>
      <c r="P1469" s="358"/>
      <c r="Q1469" s="42"/>
      <c r="R1469" s="3"/>
      <c r="S1469" s="358"/>
      <c r="T1469" s="42"/>
      <c r="U1469" s="3"/>
      <c r="V1469" s="41"/>
      <c r="W1469" s="42"/>
      <c r="X1469" s="3"/>
      <c r="Y1469" s="41"/>
      <c r="Z1469" s="243"/>
    </row>
    <row r="1470" spans="1:26">
      <c r="A1470" s="150">
        <v>45999</v>
      </c>
      <c r="B1470" s="350" t="s">
        <v>108</v>
      </c>
      <c r="C1470" s="42"/>
      <c r="D1470" s="353"/>
      <c r="E1470" s="41"/>
      <c r="F1470" s="42"/>
      <c r="G1470" s="3"/>
      <c r="H1470" s="96"/>
      <c r="I1470" s="41"/>
      <c r="J1470" s="42"/>
      <c r="K1470" s="3"/>
      <c r="L1470" s="96"/>
      <c r="M1470" s="41"/>
      <c r="N1470" s="42"/>
      <c r="O1470" s="3"/>
      <c r="P1470" s="358"/>
      <c r="Q1470" s="42"/>
      <c r="R1470" s="3"/>
      <c r="S1470" s="358"/>
      <c r="T1470" s="42"/>
      <c r="U1470" s="3"/>
      <c r="V1470" s="41"/>
      <c r="W1470" s="42"/>
      <c r="X1470" s="3"/>
      <c r="Y1470" s="41"/>
      <c r="Z1470" s="243"/>
    </row>
    <row r="1471" spans="1:26">
      <c r="A1471" s="150">
        <v>46000</v>
      </c>
      <c r="B1471" s="350" t="s">
        <v>109</v>
      </c>
      <c r="C1471" s="42"/>
      <c r="D1471" s="353"/>
      <c r="E1471" s="41"/>
      <c r="F1471" s="42"/>
      <c r="G1471" s="3"/>
      <c r="H1471" s="96"/>
      <c r="I1471" s="41"/>
      <c r="J1471" s="42"/>
      <c r="K1471" s="3"/>
      <c r="L1471" s="96"/>
      <c r="M1471" s="41"/>
      <c r="N1471" s="42"/>
      <c r="O1471" s="3"/>
      <c r="P1471" s="358"/>
      <c r="Q1471" s="42"/>
      <c r="R1471" s="3"/>
      <c r="S1471" s="358"/>
      <c r="T1471" s="42"/>
      <c r="U1471" s="3"/>
      <c r="V1471" s="41"/>
      <c r="W1471" s="42"/>
      <c r="X1471" s="3"/>
      <c r="Y1471" s="41"/>
      <c r="Z1471" s="243"/>
    </row>
    <row r="1472" spans="1:26">
      <c r="A1472" s="150">
        <v>46001</v>
      </c>
      <c r="B1472" s="350" t="s">
        <v>110</v>
      </c>
      <c r="C1472" s="42"/>
      <c r="D1472" s="353"/>
      <c r="E1472" s="41"/>
      <c r="F1472" s="42"/>
      <c r="G1472" s="3"/>
      <c r="H1472" s="96"/>
      <c r="I1472" s="41"/>
      <c r="J1472" s="42"/>
      <c r="K1472" s="3"/>
      <c r="L1472" s="96"/>
      <c r="M1472" s="41"/>
      <c r="N1472" s="42"/>
      <c r="O1472" s="3"/>
      <c r="P1472" s="358"/>
      <c r="Q1472" s="42"/>
      <c r="R1472" s="3"/>
      <c r="S1472" s="358"/>
      <c r="T1472" s="42"/>
      <c r="U1472" s="3"/>
      <c r="V1472" s="41"/>
      <c r="W1472" s="42"/>
      <c r="X1472" s="3"/>
      <c r="Y1472" s="41"/>
      <c r="Z1472" s="243"/>
    </row>
    <row r="1473" spans="1:26">
      <c r="A1473" s="150">
        <v>46002</v>
      </c>
      <c r="B1473" s="350" t="s">
        <v>111</v>
      </c>
      <c r="C1473" s="42"/>
      <c r="D1473" s="353"/>
      <c r="E1473" s="41"/>
      <c r="F1473" s="42"/>
      <c r="G1473" s="3"/>
      <c r="H1473" s="96"/>
      <c r="I1473" s="41"/>
      <c r="J1473" s="42"/>
      <c r="K1473" s="3"/>
      <c r="L1473" s="96"/>
      <c r="M1473" s="41"/>
      <c r="N1473" s="42"/>
      <c r="O1473" s="3"/>
      <c r="P1473" s="358"/>
      <c r="Q1473" s="42"/>
      <c r="R1473" s="3"/>
      <c r="S1473" s="358"/>
      <c r="T1473" s="42"/>
      <c r="U1473" s="3"/>
      <c r="V1473" s="41"/>
      <c r="W1473" s="42"/>
      <c r="X1473" s="3"/>
      <c r="Y1473" s="41"/>
      <c r="Z1473" s="243"/>
    </row>
    <row r="1474" spans="1:26">
      <c r="A1474" s="150">
        <v>46003</v>
      </c>
      <c r="B1474" s="350" t="s">
        <v>106</v>
      </c>
      <c r="C1474" s="42"/>
      <c r="D1474" s="353"/>
      <c r="E1474" s="41"/>
      <c r="F1474" s="42"/>
      <c r="G1474" s="3"/>
      <c r="H1474" s="96"/>
      <c r="I1474" s="41"/>
      <c r="J1474" s="42"/>
      <c r="K1474" s="3"/>
      <c r="L1474" s="96"/>
      <c r="M1474" s="41"/>
      <c r="N1474" s="42"/>
      <c r="O1474" s="3"/>
      <c r="P1474" s="358"/>
      <c r="Q1474" s="42"/>
      <c r="R1474" s="3"/>
      <c r="S1474" s="358"/>
      <c r="T1474" s="42"/>
      <c r="U1474" s="3"/>
      <c r="V1474" s="41"/>
      <c r="W1474" s="42"/>
      <c r="X1474" s="3"/>
      <c r="Y1474" s="41"/>
      <c r="Z1474" s="243"/>
    </row>
    <row r="1475" spans="1:26">
      <c r="A1475" s="150">
        <v>46004</v>
      </c>
      <c r="B1475" s="350" t="s">
        <v>107</v>
      </c>
      <c r="C1475" s="42"/>
      <c r="D1475" s="353"/>
      <c r="E1475" s="41"/>
      <c r="F1475" s="42"/>
      <c r="G1475" s="3"/>
      <c r="H1475" s="96"/>
      <c r="I1475" s="41"/>
      <c r="J1475" s="42"/>
      <c r="K1475" s="3"/>
      <c r="L1475" s="96"/>
      <c r="M1475" s="41"/>
      <c r="N1475" s="42"/>
      <c r="O1475" s="3"/>
      <c r="P1475" s="358"/>
      <c r="Q1475" s="42"/>
      <c r="R1475" s="3"/>
      <c r="S1475" s="358"/>
      <c r="T1475" s="42"/>
      <c r="U1475" s="3"/>
      <c r="V1475" s="41"/>
      <c r="W1475" s="42"/>
      <c r="X1475" s="3"/>
      <c r="Y1475" s="41"/>
      <c r="Z1475" s="243"/>
    </row>
    <row r="1476" spans="1:26">
      <c r="A1476" s="150">
        <v>46005</v>
      </c>
      <c r="B1476" s="350" t="s">
        <v>36</v>
      </c>
      <c r="C1476" s="42"/>
      <c r="D1476" s="353"/>
      <c r="E1476" s="41"/>
      <c r="F1476" s="42"/>
      <c r="G1476" s="3"/>
      <c r="H1476" s="96"/>
      <c r="I1476" s="41"/>
      <c r="J1476" s="42"/>
      <c r="K1476" s="3"/>
      <c r="L1476" s="96"/>
      <c r="M1476" s="41"/>
      <c r="N1476" s="42"/>
      <c r="O1476" s="3"/>
      <c r="P1476" s="358"/>
      <c r="Q1476" s="42"/>
      <c r="R1476" s="3"/>
      <c r="S1476" s="358"/>
      <c r="T1476" s="42"/>
      <c r="U1476" s="3"/>
      <c r="V1476" s="41"/>
      <c r="W1476" s="42"/>
      <c r="X1476" s="3"/>
      <c r="Y1476" s="41"/>
      <c r="Z1476" s="243"/>
    </row>
    <row r="1477" spans="1:26">
      <c r="A1477" s="150">
        <v>46006</v>
      </c>
      <c r="B1477" s="350" t="s">
        <v>108</v>
      </c>
      <c r="C1477" s="42"/>
      <c r="D1477" s="353"/>
      <c r="E1477" s="41"/>
      <c r="F1477" s="42"/>
      <c r="G1477" s="3"/>
      <c r="H1477" s="96"/>
      <c r="I1477" s="41"/>
      <c r="J1477" s="42"/>
      <c r="K1477" s="3"/>
      <c r="L1477" s="96"/>
      <c r="M1477" s="41"/>
      <c r="N1477" s="42"/>
      <c r="O1477" s="3"/>
      <c r="P1477" s="358"/>
      <c r="Q1477" s="42"/>
      <c r="R1477" s="3"/>
      <c r="S1477" s="358"/>
      <c r="T1477" s="42"/>
      <c r="U1477" s="3"/>
      <c r="V1477" s="41"/>
      <c r="W1477" s="42"/>
      <c r="X1477" s="3"/>
      <c r="Y1477" s="41"/>
      <c r="Z1477" s="243"/>
    </row>
    <row r="1478" spans="1:26">
      <c r="A1478" s="150">
        <v>46007</v>
      </c>
      <c r="B1478" s="350" t="s">
        <v>109</v>
      </c>
      <c r="C1478" s="42"/>
      <c r="D1478" s="353"/>
      <c r="E1478" s="41"/>
      <c r="F1478" s="42"/>
      <c r="G1478" s="3"/>
      <c r="H1478" s="96"/>
      <c r="I1478" s="41"/>
      <c r="J1478" s="42"/>
      <c r="K1478" s="3"/>
      <c r="L1478" s="96"/>
      <c r="M1478" s="41"/>
      <c r="N1478" s="42"/>
      <c r="O1478" s="3"/>
      <c r="P1478" s="358"/>
      <c r="Q1478" s="42"/>
      <c r="R1478" s="3"/>
      <c r="S1478" s="358"/>
      <c r="T1478" s="42"/>
      <c r="U1478" s="3"/>
      <c r="V1478" s="41"/>
      <c r="W1478" s="42"/>
      <c r="X1478" s="3"/>
      <c r="Y1478" s="41"/>
      <c r="Z1478" s="243"/>
    </row>
    <row r="1479" spans="1:26">
      <c r="A1479" s="150">
        <v>46008</v>
      </c>
      <c r="B1479" s="350" t="s">
        <v>110</v>
      </c>
      <c r="C1479" s="42"/>
      <c r="D1479" s="353"/>
      <c r="E1479" s="41"/>
      <c r="F1479" s="42"/>
      <c r="G1479" s="3"/>
      <c r="H1479" s="96"/>
      <c r="I1479" s="41"/>
      <c r="J1479" s="42"/>
      <c r="K1479" s="3"/>
      <c r="L1479" s="96"/>
      <c r="M1479" s="41"/>
      <c r="N1479" s="42"/>
      <c r="O1479" s="3"/>
      <c r="P1479" s="358"/>
      <c r="Q1479" s="42"/>
      <c r="R1479" s="3"/>
      <c r="S1479" s="358"/>
      <c r="T1479" s="42"/>
      <c r="U1479" s="3"/>
      <c r="V1479" s="41"/>
      <c r="W1479" s="42"/>
      <c r="X1479" s="3"/>
      <c r="Y1479" s="41"/>
      <c r="Z1479" s="243"/>
    </row>
    <row r="1480" spans="1:26">
      <c r="A1480" s="150">
        <v>46009</v>
      </c>
      <c r="B1480" s="350" t="s">
        <v>111</v>
      </c>
      <c r="C1480" s="42"/>
      <c r="D1480" s="353"/>
      <c r="E1480" s="41"/>
      <c r="F1480" s="42"/>
      <c r="G1480" s="3"/>
      <c r="H1480" s="96"/>
      <c r="I1480" s="41"/>
      <c r="J1480" s="42"/>
      <c r="K1480" s="3"/>
      <c r="L1480" s="96"/>
      <c r="M1480" s="41"/>
      <c r="N1480" s="42"/>
      <c r="O1480" s="3"/>
      <c r="P1480" s="358"/>
      <c r="Q1480" s="42"/>
      <c r="R1480" s="3"/>
      <c r="S1480" s="358"/>
      <c r="T1480" s="42"/>
      <c r="U1480" s="3"/>
      <c r="V1480" s="41"/>
      <c r="W1480" s="42"/>
      <c r="X1480" s="3"/>
      <c r="Y1480" s="41"/>
      <c r="Z1480" s="243"/>
    </row>
    <row r="1481" spans="1:26">
      <c r="A1481" s="150">
        <v>46010</v>
      </c>
      <c r="B1481" s="350" t="s">
        <v>106</v>
      </c>
      <c r="C1481" s="42"/>
      <c r="D1481" s="353"/>
      <c r="E1481" s="41"/>
      <c r="F1481" s="42"/>
      <c r="G1481" s="3"/>
      <c r="H1481" s="96"/>
      <c r="I1481" s="41"/>
      <c r="J1481" s="42"/>
      <c r="K1481" s="3"/>
      <c r="L1481" s="96"/>
      <c r="M1481" s="41"/>
      <c r="N1481" s="42"/>
      <c r="O1481" s="3"/>
      <c r="P1481" s="358"/>
      <c r="Q1481" s="42"/>
      <c r="R1481" s="3"/>
      <c r="S1481" s="358"/>
      <c r="T1481" s="42"/>
      <c r="U1481" s="3"/>
      <c r="V1481" s="41"/>
      <c r="W1481" s="42"/>
      <c r="X1481" s="3"/>
      <c r="Y1481" s="41"/>
      <c r="Z1481" s="243"/>
    </row>
    <row r="1482" spans="1:26">
      <c r="A1482" s="150">
        <v>46011</v>
      </c>
      <c r="B1482" s="350" t="s">
        <v>107</v>
      </c>
      <c r="C1482" s="42"/>
      <c r="D1482" s="353"/>
      <c r="E1482" s="41"/>
      <c r="F1482" s="42"/>
      <c r="G1482" s="3"/>
      <c r="H1482" s="96"/>
      <c r="I1482" s="41"/>
      <c r="J1482" s="42"/>
      <c r="K1482" s="3"/>
      <c r="L1482" s="96"/>
      <c r="M1482" s="41"/>
      <c r="N1482" s="42"/>
      <c r="O1482" s="3"/>
      <c r="P1482" s="358"/>
      <c r="Q1482" s="42"/>
      <c r="R1482" s="3"/>
      <c r="S1482" s="358"/>
      <c r="T1482" s="42"/>
      <c r="U1482" s="3"/>
      <c r="V1482" s="41"/>
      <c r="W1482" s="42"/>
      <c r="X1482" s="3"/>
      <c r="Y1482" s="41"/>
      <c r="Z1482" s="243"/>
    </row>
    <row r="1483" spans="1:26">
      <c r="A1483" s="150">
        <v>46012</v>
      </c>
      <c r="B1483" s="350" t="s">
        <v>36</v>
      </c>
      <c r="C1483" s="42"/>
      <c r="D1483" s="353"/>
      <c r="E1483" s="41"/>
      <c r="F1483" s="42"/>
      <c r="G1483" s="3"/>
      <c r="H1483" s="96"/>
      <c r="I1483" s="41"/>
      <c r="J1483" s="42"/>
      <c r="K1483" s="3"/>
      <c r="L1483" s="96"/>
      <c r="M1483" s="41"/>
      <c r="N1483" s="42"/>
      <c r="O1483" s="3"/>
      <c r="P1483" s="358"/>
      <c r="Q1483" s="42"/>
      <c r="R1483" s="3"/>
      <c r="S1483" s="358"/>
      <c r="T1483" s="42"/>
      <c r="U1483" s="3"/>
      <c r="V1483" s="41"/>
      <c r="W1483" s="42"/>
      <c r="X1483" s="3"/>
      <c r="Y1483" s="41"/>
      <c r="Z1483" s="243"/>
    </row>
    <row r="1484" spans="1:26">
      <c r="A1484" s="150">
        <v>46013</v>
      </c>
      <c r="B1484" s="350" t="s">
        <v>108</v>
      </c>
      <c r="C1484" s="42"/>
      <c r="D1484" s="353"/>
      <c r="E1484" s="41"/>
      <c r="F1484" s="42"/>
      <c r="G1484" s="3"/>
      <c r="H1484" s="96"/>
      <c r="I1484" s="41"/>
      <c r="J1484" s="42"/>
      <c r="K1484" s="3"/>
      <c r="L1484" s="96"/>
      <c r="M1484" s="41"/>
      <c r="N1484" s="42"/>
      <c r="O1484" s="3"/>
      <c r="P1484" s="358"/>
      <c r="Q1484" s="42"/>
      <c r="R1484" s="3"/>
      <c r="S1484" s="358"/>
      <c r="T1484" s="42"/>
      <c r="U1484" s="3"/>
      <c r="V1484" s="41"/>
      <c r="W1484" s="42"/>
      <c r="X1484" s="3"/>
      <c r="Y1484" s="41"/>
      <c r="Z1484" s="243"/>
    </row>
    <row r="1485" spans="1:26">
      <c r="A1485" s="150">
        <v>46014</v>
      </c>
      <c r="B1485" s="350" t="s">
        <v>109</v>
      </c>
      <c r="C1485" s="42"/>
      <c r="D1485" s="353"/>
      <c r="E1485" s="41"/>
      <c r="F1485" s="42"/>
      <c r="G1485" s="3"/>
      <c r="H1485" s="96"/>
      <c r="I1485" s="41"/>
      <c r="J1485" s="42"/>
      <c r="K1485" s="3"/>
      <c r="L1485" s="96"/>
      <c r="M1485" s="41"/>
      <c r="N1485" s="42"/>
      <c r="O1485" s="3"/>
      <c r="P1485" s="358"/>
      <c r="Q1485" s="42"/>
      <c r="R1485" s="3"/>
      <c r="S1485" s="358"/>
      <c r="T1485" s="42"/>
      <c r="U1485" s="3"/>
      <c r="V1485" s="41"/>
      <c r="W1485" s="42"/>
      <c r="X1485" s="3"/>
      <c r="Y1485" s="41"/>
      <c r="Z1485" s="243"/>
    </row>
    <row r="1486" spans="1:26">
      <c r="A1486" s="150">
        <v>46015</v>
      </c>
      <c r="B1486" s="350" t="s">
        <v>110</v>
      </c>
      <c r="C1486" s="42"/>
      <c r="D1486" s="353"/>
      <c r="E1486" s="41"/>
      <c r="F1486" s="42"/>
      <c r="G1486" s="3"/>
      <c r="H1486" s="96"/>
      <c r="I1486" s="41"/>
      <c r="J1486" s="42"/>
      <c r="K1486" s="3"/>
      <c r="L1486" s="96"/>
      <c r="M1486" s="41"/>
      <c r="N1486" s="42"/>
      <c r="O1486" s="3"/>
      <c r="P1486" s="358"/>
      <c r="Q1486" s="42"/>
      <c r="R1486" s="3"/>
      <c r="S1486" s="358"/>
      <c r="T1486" s="42"/>
      <c r="U1486" s="3"/>
      <c r="V1486" s="41"/>
      <c r="W1486" s="42"/>
      <c r="X1486" s="3"/>
      <c r="Y1486" s="41"/>
      <c r="Z1486" s="243"/>
    </row>
    <row r="1487" spans="1:26">
      <c r="A1487" s="150">
        <v>46016</v>
      </c>
      <c r="B1487" s="350" t="s">
        <v>111</v>
      </c>
      <c r="C1487" s="42"/>
      <c r="D1487" s="353"/>
      <c r="E1487" s="41"/>
      <c r="F1487" s="42"/>
      <c r="G1487" s="3"/>
      <c r="H1487" s="96"/>
      <c r="I1487" s="41"/>
      <c r="J1487" s="42"/>
      <c r="K1487" s="3"/>
      <c r="L1487" s="96"/>
      <c r="M1487" s="41"/>
      <c r="N1487" s="42"/>
      <c r="O1487" s="3"/>
      <c r="P1487" s="358"/>
      <c r="Q1487" s="42"/>
      <c r="R1487" s="3"/>
      <c r="S1487" s="358"/>
      <c r="T1487" s="42"/>
      <c r="U1487" s="3"/>
      <c r="V1487" s="41"/>
      <c r="W1487" s="42"/>
      <c r="X1487" s="3"/>
      <c r="Y1487" s="41"/>
      <c r="Z1487" s="243"/>
    </row>
    <row r="1488" spans="1:26">
      <c r="A1488" s="150">
        <v>46017</v>
      </c>
      <c r="B1488" s="350" t="s">
        <v>106</v>
      </c>
      <c r="C1488" s="42"/>
      <c r="D1488" s="353"/>
      <c r="E1488" s="41"/>
      <c r="F1488" s="42"/>
      <c r="G1488" s="3"/>
      <c r="H1488" s="96"/>
      <c r="I1488" s="41"/>
      <c r="J1488" s="42"/>
      <c r="K1488" s="3"/>
      <c r="L1488" s="96"/>
      <c r="M1488" s="41"/>
      <c r="N1488" s="42"/>
      <c r="O1488" s="3"/>
      <c r="P1488" s="358"/>
      <c r="Q1488" s="42"/>
      <c r="R1488" s="3"/>
      <c r="S1488" s="358"/>
      <c r="T1488" s="42"/>
      <c r="U1488" s="3"/>
      <c r="V1488" s="41"/>
      <c r="W1488" s="42"/>
      <c r="X1488" s="3"/>
      <c r="Y1488" s="41"/>
      <c r="Z1488" s="243"/>
    </row>
    <row r="1489" spans="1:26">
      <c r="A1489" s="150">
        <v>46018</v>
      </c>
      <c r="B1489" s="350" t="s">
        <v>107</v>
      </c>
      <c r="C1489" s="42"/>
      <c r="D1489" s="353"/>
      <c r="E1489" s="41"/>
      <c r="F1489" s="42"/>
      <c r="G1489" s="3"/>
      <c r="H1489" s="96"/>
      <c r="I1489" s="41"/>
      <c r="J1489" s="42"/>
      <c r="K1489" s="3"/>
      <c r="L1489" s="96"/>
      <c r="M1489" s="41"/>
      <c r="N1489" s="42"/>
      <c r="O1489" s="3"/>
      <c r="P1489" s="358"/>
      <c r="Q1489" s="42"/>
      <c r="R1489" s="3"/>
      <c r="S1489" s="358"/>
      <c r="T1489" s="42"/>
      <c r="U1489" s="3"/>
      <c r="V1489" s="41"/>
      <c r="W1489" s="42"/>
      <c r="X1489" s="3"/>
      <c r="Y1489" s="41"/>
      <c r="Z1489" s="243"/>
    </row>
    <row r="1490" spans="1:26">
      <c r="A1490" s="150">
        <v>46019</v>
      </c>
      <c r="B1490" s="350" t="s">
        <v>36</v>
      </c>
      <c r="C1490" s="42"/>
      <c r="D1490" s="353"/>
      <c r="E1490" s="41"/>
      <c r="F1490" s="42"/>
      <c r="G1490" s="3"/>
      <c r="H1490" s="96"/>
      <c r="I1490" s="41"/>
      <c r="J1490" s="42"/>
      <c r="K1490" s="3"/>
      <c r="L1490" s="96"/>
      <c r="M1490" s="41"/>
      <c r="N1490" s="42"/>
      <c r="O1490" s="3"/>
      <c r="P1490" s="358"/>
      <c r="Q1490" s="42"/>
      <c r="R1490" s="3"/>
      <c r="S1490" s="358"/>
      <c r="T1490" s="42"/>
      <c r="U1490" s="3"/>
      <c r="V1490" s="41"/>
      <c r="W1490" s="42"/>
      <c r="X1490" s="3"/>
      <c r="Y1490" s="41"/>
      <c r="Z1490" s="243"/>
    </row>
    <row r="1491" spans="1:26">
      <c r="A1491" s="150">
        <v>46020</v>
      </c>
      <c r="B1491" s="350" t="s">
        <v>108</v>
      </c>
      <c r="C1491" s="42"/>
      <c r="D1491" s="353"/>
      <c r="E1491" s="41"/>
      <c r="F1491" s="42"/>
      <c r="G1491" s="3"/>
      <c r="H1491" s="96"/>
      <c r="I1491" s="41"/>
      <c r="J1491" s="42"/>
      <c r="K1491" s="3"/>
      <c r="L1491" s="96"/>
      <c r="M1491" s="41"/>
      <c r="N1491" s="42"/>
      <c r="O1491" s="3"/>
      <c r="P1491" s="358"/>
      <c r="Q1491" s="42"/>
      <c r="R1491" s="3"/>
      <c r="S1491" s="358"/>
      <c r="T1491" s="42"/>
      <c r="U1491" s="3"/>
      <c r="V1491" s="41"/>
      <c r="W1491" s="42"/>
      <c r="X1491" s="3"/>
      <c r="Y1491" s="41"/>
      <c r="Z1491" s="243"/>
    </row>
    <row r="1492" spans="1:26">
      <c r="A1492" s="150">
        <v>46021</v>
      </c>
      <c r="B1492" s="350" t="s">
        <v>109</v>
      </c>
      <c r="C1492" s="42"/>
      <c r="D1492" s="353"/>
      <c r="E1492" s="41"/>
      <c r="F1492" s="42"/>
      <c r="G1492" s="3"/>
      <c r="H1492" s="96"/>
      <c r="I1492" s="41"/>
      <c r="J1492" s="42"/>
      <c r="K1492" s="3"/>
      <c r="L1492" s="96"/>
      <c r="M1492" s="41"/>
      <c r="N1492" s="42"/>
      <c r="O1492" s="3"/>
      <c r="P1492" s="358"/>
      <c r="Q1492" s="42"/>
      <c r="R1492" s="3"/>
      <c r="S1492" s="358"/>
      <c r="T1492" s="42"/>
      <c r="U1492" s="3"/>
      <c r="V1492" s="41"/>
      <c r="W1492" s="42"/>
      <c r="X1492" s="3"/>
      <c r="Y1492" s="41"/>
      <c r="Z1492" s="243"/>
    </row>
    <row r="1493" spans="1:26">
      <c r="A1493" s="150">
        <v>46022</v>
      </c>
      <c r="B1493" s="350" t="s">
        <v>110</v>
      </c>
      <c r="C1493" s="42"/>
      <c r="D1493" s="353"/>
      <c r="E1493" s="41"/>
      <c r="F1493" s="42"/>
      <c r="G1493" s="3"/>
      <c r="H1493" s="96"/>
      <c r="I1493" s="41"/>
      <c r="J1493" s="42"/>
      <c r="K1493" s="3"/>
      <c r="L1493" s="96"/>
      <c r="M1493" s="41"/>
      <c r="N1493" s="42"/>
      <c r="O1493" s="3"/>
      <c r="P1493" s="358"/>
      <c r="Q1493" s="42"/>
      <c r="R1493" s="3"/>
      <c r="S1493" s="358"/>
      <c r="T1493" s="42"/>
      <c r="U1493" s="3"/>
      <c r="V1493" s="41"/>
      <c r="W1493" s="42"/>
      <c r="X1493" s="3"/>
      <c r="Y1493" s="41"/>
      <c r="Z1493" s="243"/>
    </row>
    <row r="1494" spans="1:26">
      <c r="A1494" s="150">
        <v>46023</v>
      </c>
      <c r="B1494" s="350" t="s">
        <v>111</v>
      </c>
      <c r="C1494" s="42"/>
      <c r="D1494" s="353"/>
      <c r="E1494" s="41"/>
      <c r="F1494" s="42"/>
      <c r="G1494" s="3"/>
      <c r="H1494" s="96"/>
      <c r="I1494" s="41"/>
      <c r="J1494" s="42"/>
      <c r="K1494" s="3"/>
      <c r="L1494" s="96"/>
      <c r="M1494" s="41"/>
      <c r="N1494" s="42"/>
      <c r="O1494" s="3"/>
      <c r="P1494" s="358"/>
      <c r="Q1494" s="42"/>
      <c r="R1494" s="3"/>
      <c r="S1494" s="358"/>
      <c r="T1494" s="42"/>
      <c r="U1494" s="3"/>
      <c r="V1494" s="41"/>
      <c r="W1494" s="42"/>
      <c r="X1494" s="3"/>
      <c r="Y1494" s="41"/>
      <c r="Z1494" s="243"/>
    </row>
    <row r="1495" spans="1:26">
      <c r="A1495" s="150">
        <v>46024</v>
      </c>
      <c r="B1495" s="350" t="s">
        <v>106</v>
      </c>
      <c r="C1495" s="42"/>
      <c r="D1495" s="353"/>
      <c r="E1495" s="41"/>
      <c r="F1495" s="42"/>
      <c r="G1495" s="3"/>
      <c r="H1495" s="96"/>
      <c r="I1495" s="41"/>
      <c r="J1495" s="42"/>
      <c r="K1495" s="3"/>
      <c r="L1495" s="96"/>
      <c r="M1495" s="41"/>
      <c r="N1495" s="42"/>
      <c r="O1495" s="3"/>
      <c r="P1495" s="358"/>
      <c r="Q1495" s="42"/>
      <c r="R1495" s="3"/>
      <c r="S1495" s="358"/>
      <c r="T1495" s="42"/>
      <c r="U1495" s="3"/>
      <c r="V1495" s="41"/>
      <c r="W1495" s="42"/>
      <c r="X1495" s="3"/>
      <c r="Y1495" s="41"/>
      <c r="Z1495" s="243"/>
    </row>
    <row r="1496" spans="1:26">
      <c r="A1496" s="150">
        <v>46025</v>
      </c>
      <c r="B1496" s="350" t="s">
        <v>107</v>
      </c>
      <c r="C1496" s="42"/>
      <c r="D1496" s="353"/>
      <c r="E1496" s="41"/>
      <c r="F1496" s="42"/>
      <c r="G1496" s="3"/>
      <c r="H1496" s="96"/>
      <c r="I1496" s="41"/>
      <c r="J1496" s="42"/>
      <c r="K1496" s="3"/>
      <c r="L1496" s="96"/>
      <c r="M1496" s="41"/>
      <c r="N1496" s="42"/>
      <c r="O1496" s="3"/>
      <c r="P1496" s="358"/>
      <c r="Q1496" s="42"/>
      <c r="R1496" s="3"/>
      <c r="S1496" s="358"/>
      <c r="T1496" s="42"/>
      <c r="U1496" s="3"/>
      <c r="V1496" s="41"/>
      <c r="W1496" s="42"/>
      <c r="X1496" s="3"/>
      <c r="Y1496" s="41"/>
      <c r="Z1496" s="243"/>
    </row>
    <row r="1497" spans="1:26">
      <c r="A1497" s="150">
        <v>46026</v>
      </c>
      <c r="B1497" s="350" t="s">
        <v>36</v>
      </c>
      <c r="C1497" s="42"/>
      <c r="D1497" s="353"/>
      <c r="E1497" s="41"/>
      <c r="F1497" s="42"/>
      <c r="G1497" s="3"/>
      <c r="H1497" s="96"/>
      <c r="I1497" s="41"/>
      <c r="J1497" s="42"/>
      <c r="K1497" s="3"/>
      <c r="L1497" s="96"/>
      <c r="M1497" s="41"/>
      <c r="N1497" s="42"/>
      <c r="O1497" s="3"/>
      <c r="P1497" s="358"/>
      <c r="Q1497" s="42"/>
      <c r="R1497" s="3"/>
      <c r="S1497" s="358"/>
      <c r="T1497" s="42"/>
      <c r="U1497" s="3"/>
      <c r="V1497" s="41"/>
      <c r="W1497" s="42"/>
      <c r="X1497" s="3"/>
      <c r="Y1497" s="41"/>
      <c r="Z1497" s="243"/>
    </row>
    <row r="1498" spans="1:26">
      <c r="A1498" s="150">
        <v>46027</v>
      </c>
      <c r="B1498" s="350" t="s">
        <v>108</v>
      </c>
      <c r="C1498" s="42"/>
      <c r="D1498" s="353"/>
      <c r="E1498" s="41"/>
      <c r="F1498" s="42"/>
      <c r="G1498" s="3"/>
      <c r="H1498" s="96"/>
      <c r="I1498" s="41"/>
      <c r="J1498" s="42"/>
      <c r="K1498" s="3"/>
      <c r="L1498" s="96"/>
      <c r="M1498" s="41"/>
      <c r="N1498" s="42"/>
      <c r="O1498" s="3"/>
      <c r="P1498" s="358"/>
      <c r="Q1498" s="42"/>
      <c r="R1498" s="3"/>
      <c r="S1498" s="358"/>
      <c r="T1498" s="42"/>
      <c r="U1498" s="3"/>
      <c r="V1498" s="41"/>
      <c r="W1498" s="42"/>
      <c r="X1498" s="3"/>
      <c r="Y1498" s="41"/>
      <c r="Z1498" s="243"/>
    </row>
    <row r="1499" spans="1:26">
      <c r="A1499" s="150">
        <v>46028</v>
      </c>
      <c r="B1499" s="350" t="s">
        <v>109</v>
      </c>
      <c r="C1499" s="42"/>
      <c r="D1499" s="353"/>
      <c r="E1499" s="41"/>
      <c r="F1499" s="42"/>
      <c r="G1499" s="3"/>
      <c r="H1499" s="96"/>
      <c r="I1499" s="41"/>
      <c r="J1499" s="42"/>
      <c r="K1499" s="3"/>
      <c r="L1499" s="96"/>
      <c r="M1499" s="41"/>
      <c r="N1499" s="42"/>
      <c r="O1499" s="3"/>
      <c r="P1499" s="358"/>
      <c r="Q1499" s="42"/>
      <c r="R1499" s="3"/>
      <c r="S1499" s="358"/>
      <c r="T1499" s="42"/>
      <c r="U1499" s="3"/>
      <c r="V1499" s="41"/>
      <c r="W1499" s="42"/>
      <c r="X1499" s="3"/>
      <c r="Y1499" s="41"/>
      <c r="Z1499" s="243"/>
    </row>
    <row r="1500" spans="1:26">
      <c r="A1500" s="150">
        <v>46029</v>
      </c>
      <c r="B1500" s="350" t="s">
        <v>110</v>
      </c>
      <c r="C1500" s="42"/>
      <c r="D1500" s="353"/>
      <c r="E1500" s="41"/>
      <c r="F1500" s="42"/>
      <c r="G1500" s="3"/>
      <c r="H1500" s="96"/>
      <c r="I1500" s="41"/>
      <c r="J1500" s="42"/>
      <c r="K1500" s="3"/>
      <c r="L1500" s="96"/>
      <c r="M1500" s="41"/>
      <c r="N1500" s="42"/>
      <c r="O1500" s="3"/>
      <c r="P1500" s="358"/>
      <c r="Q1500" s="42"/>
      <c r="R1500" s="3"/>
      <c r="S1500" s="358"/>
      <c r="T1500" s="42"/>
      <c r="U1500" s="3"/>
      <c r="V1500" s="41"/>
      <c r="W1500" s="42"/>
      <c r="X1500" s="3"/>
      <c r="Y1500" s="41"/>
      <c r="Z1500" s="243"/>
    </row>
    <row r="1501" spans="1:26">
      <c r="A1501" s="150">
        <v>46030</v>
      </c>
      <c r="B1501" s="350" t="s">
        <v>111</v>
      </c>
      <c r="C1501" s="42"/>
      <c r="D1501" s="353"/>
      <c r="E1501" s="41"/>
      <c r="F1501" s="42"/>
      <c r="G1501" s="3"/>
      <c r="H1501" s="96"/>
      <c r="I1501" s="41"/>
      <c r="J1501" s="42"/>
      <c r="K1501" s="3"/>
      <c r="L1501" s="96"/>
      <c r="M1501" s="41"/>
      <c r="N1501" s="42"/>
      <c r="O1501" s="3"/>
      <c r="P1501" s="358"/>
      <c r="Q1501" s="42"/>
      <c r="R1501" s="3"/>
      <c r="S1501" s="358"/>
      <c r="T1501" s="42"/>
      <c r="U1501" s="3"/>
      <c r="V1501" s="41"/>
      <c r="W1501" s="42"/>
      <c r="X1501" s="3"/>
      <c r="Y1501" s="41"/>
      <c r="Z1501" s="243"/>
    </row>
    <row r="1502" spans="1:26">
      <c r="A1502" s="150">
        <v>46031</v>
      </c>
      <c r="B1502" s="350" t="s">
        <v>106</v>
      </c>
      <c r="C1502" s="42"/>
      <c r="D1502" s="353"/>
      <c r="E1502" s="41"/>
      <c r="F1502" s="42"/>
      <c r="G1502" s="3"/>
      <c r="H1502" s="96"/>
      <c r="I1502" s="41"/>
      <c r="J1502" s="42"/>
      <c r="K1502" s="3"/>
      <c r="L1502" s="96"/>
      <c r="M1502" s="41"/>
      <c r="N1502" s="42"/>
      <c r="O1502" s="3"/>
      <c r="P1502" s="358"/>
      <c r="Q1502" s="42"/>
      <c r="R1502" s="3"/>
      <c r="S1502" s="358"/>
      <c r="T1502" s="42"/>
      <c r="U1502" s="3"/>
      <c r="V1502" s="41"/>
      <c r="W1502" s="42"/>
      <c r="X1502" s="3"/>
      <c r="Y1502" s="41"/>
      <c r="Z1502" s="243"/>
    </row>
    <row r="1503" spans="1:26">
      <c r="A1503" s="150">
        <v>46032</v>
      </c>
      <c r="B1503" s="350" t="s">
        <v>107</v>
      </c>
      <c r="C1503" s="42"/>
      <c r="D1503" s="353"/>
      <c r="E1503" s="41"/>
      <c r="F1503" s="42"/>
      <c r="G1503" s="3"/>
      <c r="H1503" s="96"/>
      <c r="I1503" s="41"/>
      <c r="J1503" s="42"/>
      <c r="K1503" s="3"/>
      <c r="L1503" s="96"/>
      <c r="M1503" s="41"/>
      <c r="N1503" s="42"/>
      <c r="O1503" s="3"/>
      <c r="P1503" s="358"/>
      <c r="Q1503" s="42"/>
      <c r="R1503" s="3"/>
      <c r="S1503" s="358"/>
      <c r="T1503" s="42"/>
      <c r="U1503" s="3"/>
      <c r="V1503" s="41"/>
      <c r="W1503" s="42"/>
      <c r="X1503" s="3"/>
      <c r="Y1503" s="41"/>
      <c r="Z1503" s="243"/>
    </row>
    <row r="1504" spans="1:26">
      <c r="A1504" s="150">
        <v>46033</v>
      </c>
      <c r="B1504" s="350" t="s">
        <v>36</v>
      </c>
      <c r="C1504" s="42"/>
      <c r="D1504" s="353"/>
      <c r="E1504" s="41"/>
      <c r="F1504" s="42"/>
      <c r="G1504" s="3"/>
      <c r="H1504" s="96"/>
      <c r="I1504" s="41"/>
      <c r="J1504" s="42"/>
      <c r="K1504" s="3"/>
      <c r="L1504" s="96"/>
      <c r="M1504" s="41"/>
      <c r="N1504" s="42"/>
      <c r="O1504" s="3"/>
      <c r="P1504" s="358"/>
      <c r="Q1504" s="42"/>
      <c r="R1504" s="3"/>
      <c r="S1504" s="358"/>
      <c r="T1504" s="42"/>
      <c r="U1504" s="3"/>
      <c r="V1504" s="41"/>
      <c r="W1504" s="42"/>
      <c r="X1504" s="3"/>
      <c r="Y1504" s="41"/>
      <c r="Z1504" s="243"/>
    </row>
    <row r="1505" spans="1:26">
      <c r="A1505" s="150">
        <v>46034</v>
      </c>
      <c r="B1505" s="350" t="s">
        <v>108</v>
      </c>
      <c r="C1505" s="42"/>
      <c r="D1505" s="353"/>
      <c r="E1505" s="41"/>
      <c r="F1505" s="42"/>
      <c r="G1505" s="3"/>
      <c r="H1505" s="96"/>
      <c r="I1505" s="41"/>
      <c r="J1505" s="42"/>
      <c r="K1505" s="3"/>
      <c r="L1505" s="96"/>
      <c r="M1505" s="41"/>
      <c r="N1505" s="42"/>
      <c r="O1505" s="3"/>
      <c r="P1505" s="358"/>
      <c r="Q1505" s="42"/>
      <c r="R1505" s="3"/>
      <c r="S1505" s="358"/>
      <c r="T1505" s="42"/>
      <c r="U1505" s="3"/>
      <c r="V1505" s="41"/>
      <c r="W1505" s="42"/>
      <c r="X1505" s="3"/>
      <c r="Y1505" s="41"/>
      <c r="Z1505" s="243"/>
    </row>
    <row r="1506" spans="1:26">
      <c r="A1506" s="150">
        <v>46035</v>
      </c>
      <c r="B1506" s="350" t="s">
        <v>109</v>
      </c>
      <c r="C1506" s="42"/>
      <c r="D1506" s="353"/>
      <c r="E1506" s="41"/>
      <c r="F1506" s="42"/>
      <c r="G1506" s="3"/>
      <c r="H1506" s="96"/>
      <c r="I1506" s="41"/>
      <c r="J1506" s="42"/>
      <c r="K1506" s="3"/>
      <c r="L1506" s="96"/>
      <c r="M1506" s="41"/>
      <c r="N1506" s="42"/>
      <c r="O1506" s="3"/>
      <c r="P1506" s="358"/>
      <c r="Q1506" s="42"/>
      <c r="R1506" s="3"/>
      <c r="S1506" s="358"/>
      <c r="T1506" s="42"/>
      <c r="U1506" s="3"/>
      <c r="V1506" s="41"/>
      <c r="W1506" s="42"/>
      <c r="X1506" s="3"/>
      <c r="Y1506" s="41"/>
      <c r="Z1506" s="243"/>
    </row>
    <row r="1507" spans="1:26">
      <c r="A1507" s="150">
        <v>46036</v>
      </c>
      <c r="B1507" s="350" t="s">
        <v>110</v>
      </c>
      <c r="C1507" s="42"/>
      <c r="D1507" s="353"/>
      <c r="E1507" s="41"/>
      <c r="F1507" s="42"/>
      <c r="G1507" s="3"/>
      <c r="H1507" s="96"/>
      <c r="I1507" s="41"/>
      <c r="J1507" s="42"/>
      <c r="K1507" s="3"/>
      <c r="L1507" s="96"/>
      <c r="M1507" s="41"/>
      <c r="N1507" s="42"/>
      <c r="O1507" s="3"/>
      <c r="P1507" s="358"/>
      <c r="Q1507" s="42"/>
      <c r="R1507" s="3"/>
      <c r="S1507" s="358"/>
      <c r="T1507" s="42"/>
      <c r="U1507" s="3"/>
      <c r="V1507" s="41"/>
      <c r="W1507" s="42"/>
      <c r="X1507" s="3"/>
      <c r="Y1507" s="41"/>
      <c r="Z1507" s="243"/>
    </row>
    <row r="1508" spans="1:26">
      <c r="A1508" s="150">
        <v>46037</v>
      </c>
      <c r="B1508" s="350" t="s">
        <v>111</v>
      </c>
      <c r="C1508" s="42"/>
      <c r="D1508" s="353"/>
      <c r="E1508" s="41"/>
      <c r="F1508" s="42"/>
      <c r="G1508" s="3"/>
      <c r="H1508" s="96"/>
      <c r="I1508" s="41"/>
      <c r="J1508" s="42"/>
      <c r="K1508" s="3"/>
      <c r="L1508" s="96"/>
      <c r="M1508" s="41"/>
      <c r="N1508" s="42"/>
      <c r="O1508" s="3"/>
      <c r="P1508" s="358"/>
      <c r="Q1508" s="42"/>
      <c r="R1508" s="3"/>
      <c r="S1508" s="358"/>
      <c r="T1508" s="42"/>
      <c r="U1508" s="3"/>
      <c r="V1508" s="41"/>
      <c r="W1508" s="42"/>
      <c r="X1508" s="3"/>
      <c r="Y1508" s="41"/>
      <c r="Z1508" s="243"/>
    </row>
    <row r="1509" spans="1:26">
      <c r="A1509" s="150">
        <v>46038</v>
      </c>
      <c r="B1509" s="350" t="s">
        <v>106</v>
      </c>
      <c r="C1509" s="42"/>
      <c r="D1509" s="353"/>
      <c r="E1509" s="41"/>
      <c r="F1509" s="42"/>
      <c r="G1509" s="3"/>
      <c r="H1509" s="96"/>
      <c r="I1509" s="41"/>
      <c r="J1509" s="42"/>
      <c r="K1509" s="3"/>
      <c r="L1509" s="96"/>
      <c r="M1509" s="41"/>
      <c r="N1509" s="42"/>
      <c r="O1509" s="3"/>
      <c r="P1509" s="358"/>
      <c r="Q1509" s="42"/>
      <c r="R1509" s="3"/>
      <c r="S1509" s="358"/>
      <c r="T1509" s="42"/>
      <c r="U1509" s="3"/>
      <c r="V1509" s="41"/>
      <c r="W1509" s="42"/>
      <c r="X1509" s="3"/>
      <c r="Y1509" s="41"/>
      <c r="Z1509" s="243"/>
    </row>
    <row r="1510" spans="1:26">
      <c r="A1510" s="150">
        <v>46039</v>
      </c>
      <c r="B1510" s="350" t="s">
        <v>107</v>
      </c>
      <c r="C1510" s="42"/>
      <c r="D1510" s="353"/>
      <c r="E1510" s="41"/>
      <c r="F1510" s="42"/>
      <c r="G1510" s="3"/>
      <c r="H1510" s="96"/>
      <c r="I1510" s="41"/>
      <c r="J1510" s="42"/>
      <c r="K1510" s="3"/>
      <c r="L1510" s="96"/>
      <c r="M1510" s="41"/>
      <c r="N1510" s="42"/>
      <c r="O1510" s="3"/>
      <c r="P1510" s="358"/>
      <c r="Q1510" s="42"/>
      <c r="R1510" s="3"/>
      <c r="S1510" s="358"/>
      <c r="T1510" s="42"/>
      <c r="U1510" s="3"/>
      <c r="V1510" s="41"/>
      <c r="W1510" s="42"/>
      <c r="X1510" s="3"/>
      <c r="Y1510" s="41"/>
      <c r="Z1510" s="243"/>
    </row>
    <row r="1511" spans="1:26">
      <c r="A1511" s="150">
        <v>46040</v>
      </c>
      <c r="B1511" s="350" t="s">
        <v>36</v>
      </c>
      <c r="C1511" s="42"/>
      <c r="D1511" s="353"/>
      <c r="E1511" s="41"/>
      <c r="F1511" s="42"/>
      <c r="G1511" s="3"/>
      <c r="H1511" s="96"/>
      <c r="I1511" s="41"/>
      <c r="J1511" s="42"/>
      <c r="K1511" s="3"/>
      <c r="L1511" s="96"/>
      <c r="M1511" s="41"/>
      <c r="N1511" s="42"/>
      <c r="O1511" s="3"/>
      <c r="P1511" s="358"/>
      <c r="Q1511" s="42"/>
      <c r="R1511" s="3"/>
      <c r="S1511" s="358"/>
      <c r="T1511" s="42"/>
      <c r="U1511" s="3"/>
      <c r="V1511" s="41"/>
      <c r="W1511" s="42"/>
      <c r="X1511" s="3"/>
      <c r="Y1511" s="41"/>
      <c r="Z1511" s="243"/>
    </row>
    <row r="1512" spans="1:26">
      <c r="A1512" s="150">
        <v>46041</v>
      </c>
      <c r="B1512" s="350" t="s">
        <v>108</v>
      </c>
      <c r="C1512" s="42"/>
      <c r="D1512" s="353"/>
      <c r="E1512" s="41"/>
      <c r="F1512" s="42"/>
      <c r="G1512" s="3"/>
      <c r="H1512" s="96"/>
      <c r="I1512" s="41"/>
      <c r="J1512" s="42"/>
      <c r="K1512" s="3"/>
      <c r="L1512" s="96"/>
      <c r="M1512" s="41"/>
      <c r="N1512" s="42"/>
      <c r="O1512" s="3"/>
      <c r="P1512" s="358"/>
      <c r="Q1512" s="42"/>
      <c r="R1512" s="3"/>
      <c r="S1512" s="358"/>
      <c r="T1512" s="42"/>
      <c r="U1512" s="3"/>
      <c r="V1512" s="41"/>
      <c r="W1512" s="42"/>
      <c r="X1512" s="3"/>
      <c r="Y1512" s="41"/>
      <c r="Z1512" s="243"/>
    </row>
    <row r="1513" spans="1:26">
      <c r="A1513" s="150">
        <v>46042</v>
      </c>
      <c r="B1513" s="350" t="s">
        <v>109</v>
      </c>
      <c r="C1513" s="42"/>
      <c r="D1513" s="353"/>
      <c r="E1513" s="41"/>
      <c r="F1513" s="42"/>
      <c r="G1513" s="3"/>
      <c r="H1513" s="96"/>
      <c r="I1513" s="41"/>
      <c r="J1513" s="42"/>
      <c r="K1513" s="3"/>
      <c r="L1513" s="96"/>
      <c r="M1513" s="41"/>
      <c r="N1513" s="42"/>
      <c r="O1513" s="3"/>
      <c r="P1513" s="358"/>
      <c r="Q1513" s="42"/>
      <c r="R1513" s="3"/>
      <c r="S1513" s="358"/>
      <c r="T1513" s="42"/>
      <c r="U1513" s="3"/>
      <c r="V1513" s="41"/>
      <c r="W1513" s="42"/>
      <c r="X1513" s="3"/>
      <c r="Y1513" s="41"/>
      <c r="Z1513" s="243"/>
    </row>
    <row r="1514" spans="1:26">
      <c r="A1514" s="150">
        <v>46043</v>
      </c>
      <c r="B1514" s="350" t="s">
        <v>110</v>
      </c>
      <c r="C1514" s="42"/>
      <c r="D1514" s="353"/>
      <c r="E1514" s="41"/>
      <c r="F1514" s="42"/>
      <c r="G1514" s="3"/>
      <c r="H1514" s="96"/>
      <c r="I1514" s="41"/>
      <c r="J1514" s="42"/>
      <c r="K1514" s="3"/>
      <c r="L1514" s="96"/>
      <c r="M1514" s="41"/>
      <c r="N1514" s="42"/>
      <c r="O1514" s="3"/>
      <c r="P1514" s="358"/>
      <c r="Q1514" s="42"/>
      <c r="R1514" s="3"/>
      <c r="S1514" s="358"/>
      <c r="T1514" s="42"/>
      <c r="U1514" s="3"/>
      <c r="V1514" s="41"/>
      <c r="W1514" s="42"/>
      <c r="X1514" s="3"/>
      <c r="Y1514" s="41"/>
      <c r="Z1514" s="243"/>
    </row>
    <row r="1515" spans="1:26">
      <c r="A1515" s="150">
        <v>46044</v>
      </c>
      <c r="B1515" s="350" t="s">
        <v>111</v>
      </c>
      <c r="C1515" s="42"/>
      <c r="D1515" s="353"/>
      <c r="E1515" s="41"/>
      <c r="F1515" s="42"/>
      <c r="G1515" s="3"/>
      <c r="H1515" s="96"/>
      <c r="I1515" s="41"/>
      <c r="J1515" s="42"/>
      <c r="K1515" s="3"/>
      <c r="L1515" s="96"/>
      <c r="M1515" s="41"/>
      <c r="N1515" s="42"/>
      <c r="O1515" s="3"/>
      <c r="P1515" s="358"/>
      <c r="Q1515" s="42"/>
      <c r="R1515" s="3"/>
      <c r="S1515" s="358"/>
      <c r="T1515" s="42"/>
      <c r="U1515" s="3"/>
      <c r="V1515" s="41"/>
      <c r="W1515" s="42"/>
      <c r="X1515" s="3"/>
      <c r="Y1515" s="41"/>
      <c r="Z1515" s="243"/>
    </row>
    <row r="1516" spans="1:26">
      <c r="A1516" s="150">
        <v>46045</v>
      </c>
      <c r="B1516" s="350" t="s">
        <v>106</v>
      </c>
      <c r="C1516" s="42"/>
      <c r="D1516" s="353"/>
      <c r="E1516" s="41"/>
      <c r="F1516" s="42"/>
      <c r="G1516" s="3"/>
      <c r="H1516" s="96"/>
      <c r="I1516" s="41"/>
      <c r="J1516" s="42"/>
      <c r="K1516" s="3"/>
      <c r="L1516" s="96"/>
      <c r="M1516" s="41"/>
      <c r="N1516" s="42"/>
      <c r="O1516" s="3"/>
      <c r="P1516" s="358"/>
      <c r="Q1516" s="42"/>
      <c r="R1516" s="3"/>
      <c r="S1516" s="358"/>
      <c r="T1516" s="42"/>
      <c r="U1516" s="3"/>
      <c r="V1516" s="41"/>
      <c r="W1516" s="42"/>
      <c r="X1516" s="3"/>
      <c r="Y1516" s="41"/>
      <c r="Z1516" s="243"/>
    </row>
    <row r="1517" spans="1:26">
      <c r="A1517" s="150">
        <v>46046</v>
      </c>
      <c r="B1517" s="350" t="s">
        <v>107</v>
      </c>
      <c r="C1517" s="42"/>
      <c r="D1517" s="353"/>
      <c r="E1517" s="41"/>
      <c r="F1517" s="42"/>
      <c r="G1517" s="3"/>
      <c r="H1517" s="96"/>
      <c r="I1517" s="41"/>
      <c r="J1517" s="42"/>
      <c r="K1517" s="3"/>
      <c r="L1517" s="96"/>
      <c r="M1517" s="41"/>
      <c r="N1517" s="42"/>
      <c r="O1517" s="3"/>
      <c r="P1517" s="358"/>
      <c r="Q1517" s="42"/>
      <c r="R1517" s="3"/>
      <c r="S1517" s="358"/>
      <c r="T1517" s="42"/>
      <c r="U1517" s="3"/>
      <c r="V1517" s="41"/>
      <c r="W1517" s="42"/>
      <c r="X1517" s="3"/>
      <c r="Y1517" s="41"/>
      <c r="Z1517" s="243"/>
    </row>
    <row r="1518" spans="1:26">
      <c r="A1518" s="150">
        <v>46047</v>
      </c>
      <c r="B1518" s="350" t="s">
        <v>36</v>
      </c>
      <c r="C1518" s="42"/>
      <c r="D1518" s="353"/>
      <c r="E1518" s="41"/>
      <c r="F1518" s="42"/>
      <c r="G1518" s="3"/>
      <c r="H1518" s="96"/>
      <c r="I1518" s="41"/>
      <c r="J1518" s="42"/>
      <c r="K1518" s="3"/>
      <c r="L1518" s="96"/>
      <c r="M1518" s="41"/>
      <c r="N1518" s="42"/>
      <c r="O1518" s="3"/>
      <c r="P1518" s="358"/>
      <c r="Q1518" s="42"/>
      <c r="R1518" s="3"/>
      <c r="S1518" s="358"/>
      <c r="T1518" s="42"/>
      <c r="U1518" s="3"/>
      <c r="V1518" s="41"/>
      <c r="W1518" s="42"/>
      <c r="X1518" s="3"/>
      <c r="Y1518" s="41"/>
      <c r="Z1518" s="243"/>
    </row>
    <row r="1519" spans="1:26">
      <c r="A1519" s="150">
        <v>46048</v>
      </c>
      <c r="B1519" s="350" t="s">
        <v>108</v>
      </c>
      <c r="C1519" s="42"/>
      <c r="D1519" s="353"/>
      <c r="E1519" s="41"/>
      <c r="F1519" s="42"/>
      <c r="G1519" s="3"/>
      <c r="H1519" s="96"/>
      <c r="I1519" s="41"/>
      <c r="J1519" s="42"/>
      <c r="K1519" s="3"/>
      <c r="L1519" s="96"/>
      <c r="M1519" s="41"/>
      <c r="N1519" s="42"/>
      <c r="O1519" s="3"/>
      <c r="P1519" s="358"/>
      <c r="Q1519" s="42"/>
      <c r="R1519" s="3"/>
      <c r="S1519" s="358"/>
      <c r="T1519" s="42"/>
      <c r="U1519" s="3"/>
      <c r="V1519" s="41"/>
      <c r="W1519" s="42"/>
      <c r="X1519" s="3"/>
      <c r="Y1519" s="41"/>
      <c r="Z1519" s="243"/>
    </row>
    <row r="1520" spans="1:26">
      <c r="A1520" s="150">
        <v>46049</v>
      </c>
      <c r="B1520" s="350" t="s">
        <v>109</v>
      </c>
      <c r="C1520" s="42"/>
      <c r="D1520" s="353"/>
      <c r="E1520" s="41"/>
      <c r="F1520" s="42"/>
      <c r="G1520" s="3"/>
      <c r="H1520" s="96"/>
      <c r="I1520" s="41"/>
      <c r="J1520" s="42"/>
      <c r="K1520" s="3"/>
      <c r="L1520" s="96"/>
      <c r="M1520" s="41"/>
      <c r="N1520" s="42"/>
      <c r="O1520" s="3"/>
      <c r="P1520" s="358"/>
      <c r="Q1520" s="42"/>
      <c r="R1520" s="3"/>
      <c r="S1520" s="358"/>
      <c r="T1520" s="42"/>
      <c r="U1520" s="3"/>
      <c r="V1520" s="41"/>
      <c r="W1520" s="42"/>
      <c r="X1520" s="3"/>
      <c r="Y1520" s="41"/>
      <c r="Z1520" s="243"/>
    </row>
    <row r="1521" spans="1:26">
      <c r="A1521" s="150">
        <v>46050</v>
      </c>
      <c r="B1521" s="350" t="s">
        <v>110</v>
      </c>
      <c r="C1521" s="42"/>
      <c r="D1521" s="353"/>
      <c r="E1521" s="41"/>
      <c r="F1521" s="42"/>
      <c r="G1521" s="3"/>
      <c r="H1521" s="96"/>
      <c r="I1521" s="41"/>
      <c r="J1521" s="42"/>
      <c r="K1521" s="3"/>
      <c r="L1521" s="96"/>
      <c r="M1521" s="41"/>
      <c r="N1521" s="42"/>
      <c r="O1521" s="3"/>
      <c r="P1521" s="358"/>
      <c r="Q1521" s="42"/>
      <c r="R1521" s="3"/>
      <c r="S1521" s="358"/>
      <c r="T1521" s="42"/>
      <c r="U1521" s="3"/>
      <c r="V1521" s="41"/>
      <c r="W1521" s="42"/>
      <c r="X1521" s="3"/>
      <c r="Y1521" s="41"/>
      <c r="Z1521" s="243"/>
    </row>
    <row r="1522" spans="1:26">
      <c r="A1522" s="150">
        <v>46051</v>
      </c>
      <c r="B1522" s="350" t="s">
        <v>111</v>
      </c>
      <c r="C1522" s="42"/>
      <c r="D1522" s="353"/>
      <c r="E1522" s="41"/>
      <c r="F1522" s="42"/>
      <c r="G1522" s="3"/>
      <c r="H1522" s="96"/>
      <c r="I1522" s="41"/>
      <c r="J1522" s="42"/>
      <c r="K1522" s="3"/>
      <c r="L1522" s="96"/>
      <c r="M1522" s="41"/>
      <c r="N1522" s="42"/>
      <c r="O1522" s="3"/>
      <c r="P1522" s="358"/>
      <c r="Q1522" s="42"/>
      <c r="R1522" s="3"/>
      <c r="S1522" s="358"/>
      <c r="T1522" s="42"/>
      <c r="U1522" s="3"/>
      <c r="V1522" s="41"/>
      <c r="W1522" s="42"/>
      <c r="X1522" s="3"/>
      <c r="Y1522" s="41"/>
      <c r="Z1522" s="243"/>
    </row>
    <row r="1523" spans="1:26">
      <c r="A1523" s="150">
        <v>46052</v>
      </c>
      <c r="B1523" s="350" t="s">
        <v>106</v>
      </c>
      <c r="C1523" s="42"/>
      <c r="D1523" s="353"/>
      <c r="E1523" s="41"/>
      <c r="F1523" s="42"/>
      <c r="G1523" s="3"/>
      <c r="H1523" s="96"/>
      <c r="I1523" s="41"/>
      <c r="J1523" s="42"/>
      <c r="K1523" s="3"/>
      <c r="L1523" s="96"/>
      <c r="M1523" s="41"/>
      <c r="N1523" s="42"/>
      <c r="O1523" s="3"/>
      <c r="P1523" s="358"/>
      <c r="Q1523" s="42"/>
      <c r="R1523" s="3"/>
      <c r="S1523" s="358"/>
      <c r="T1523" s="42"/>
      <c r="U1523" s="3"/>
      <c r="V1523" s="41"/>
      <c r="W1523" s="42"/>
      <c r="X1523" s="3"/>
      <c r="Y1523" s="41"/>
      <c r="Z1523" s="243"/>
    </row>
    <row r="1524" spans="1:26">
      <c r="A1524" s="150">
        <v>46053</v>
      </c>
      <c r="B1524" s="350" t="s">
        <v>107</v>
      </c>
      <c r="C1524" s="42"/>
      <c r="D1524" s="353"/>
      <c r="E1524" s="41"/>
      <c r="F1524" s="42"/>
      <c r="G1524" s="3"/>
      <c r="H1524" s="96"/>
      <c r="I1524" s="41"/>
      <c r="J1524" s="42"/>
      <c r="K1524" s="3"/>
      <c r="L1524" s="96"/>
      <c r="M1524" s="41"/>
      <c r="N1524" s="42"/>
      <c r="O1524" s="3"/>
      <c r="P1524" s="358"/>
      <c r="Q1524" s="42"/>
      <c r="R1524" s="3"/>
      <c r="S1524" s="358"/>
      <c r="T1524" s="42"/>
      <c r="U1524" s="3"/>
      <c r="V1524" s="41"/>
      <c r="W1524" s="42"/>
      <c r="X1524" s="3"/>
      <c r="Y1524" s="41"/>
      <c r="Z1524" s="243"/>
    </row>
    <row r="1525" spans="1:26">
      <c r="A1525" s="150">
        <v>46054</v>
      </c>
      <c r="B1525" s="350" t="s">
        <v>36</v>
      </c>
      <c r="C1525" s="42"/>
      <c r="D1525" s="353"/>
      <c r="E1525" s="41"/>
      <c r="F1525" s="42"/>
      <c r="G1525" s="3"/>
      <c r="H1525" s="96"/>
      <c r="I1525" s="41"/>
      <c r="J1525" s="42"/>
      <c r="K1525" s="3"/>
      <c r="L1525" s="96"/>
      <c r="M1525" s="41"/>
      <c r="N1525" s="42"/>
      <c r="O1525" s="3"/>
      <c r="P1525" s="358"/>
      <c r="Q1525" s="42"/>
      <c r="R1525" s="3"/>
      <c r="S1525" s="358"/>
      <c r="T1525" s="42"/>
      <c r="U1525" s="3"/>
      <c r="V1525" s="41"/>
      <c r="W1525" s="42"/>
      <c r="X1525" s="3"/>
      <c r="Y1525" s="41"/>
      <c r="Z1525" s="243"/>
    </row>
    <row r="1526" spans="1:26">
      <c r="A1526" s="150">
        <v>46055</v>
      </c>
      <c r="B1526" s="350" t="s">
        <v>108</v>
      </c>
      <c r="C1526" s="42"/>
      <c r="D1526" s="353"/>
      <c r="E1526" s="41"/>
      <c r="F1526" s="42"/>
      <c r="G1526" s="3"/>
      <c r="H1526" s="96"/>
      <c r="I1526" s="41"/>
      <c r="J1526" s="42"/>
      <c r="K1526" s="3"/>
      <c r="L1526" s="96"/>
      <c r="M1526" s="41"/>
      <c r="N1526" s="42"/>
      <c r="O1526" s="3"/>
      <c r="P1526" s="358"/>
      <c r="Q1526" s="42"/>
      <c r="R1526" s="3"/>
      <c r="S1526" s="358"/>
      <c r="T1526" s="42"/>
      <c r="U1526" s="3"/>
      <c r="V1526" s="41"/>
      <c r="W1526" s="42"/>
      <c r="X1526" s="3"/>
      <c r="Y1526" s="41"/>
      <c r="Z1526" s="243"/>
    </row>
    <row r="1527" spans="1:26">
      <c r="A1527" s="150">
        <v>46056</v>
      </c>
      <c r="B1527" s="350" t="s">
        <v>109</v>
      </c>
      <c r="C1527" s="42"/>
      <c r="D1527" s="353"/>
      <c r="E1527" s="41"/>
      <c r="F1527" s="42"/>
      <c r="G1527" s="3"/>
      <c r="H1527" s="96"/>
      <c r="I1527" s="41"/>
      <c r="J1527" s="42"/>
      <c r="K1527" s="3"/>
      <c r="L1527" s="96"/>
      <c r="M1527" s="41"/>
      <c r="N1527" s="42"/>
      <c r="O1527" s="3"/>
      <c r="P1527" s="358"/>
      <c r="Q1527" s="42"/>
      <c r="R1527" s="3"/>
      <c r="S1527" s="358"/>
      <c r="T1527" s="42"/>
      <c r="U1527" s="3"/>
      <c r="V1527" s="41"/>
      <c r="W1527" s="42"/>
      <c r="X1527" s="3"/>
      <c r="Y1527" s="41"/>
      <c r="Z1527" s="243"/>
    </row>
    <row r="1528" spans="1:26">
      <c r="A1528" s="150">
        <v>46057</v>
      </c>
      <c r="B1528" s="350" t="s">
        <v>110</v>
      </c>
      <c r="C1528" s="42"/>
      <c r="D1528" s="353"/>
      <c r="E1528" s="41"/>
      <c r="F1528" s="42"/>
      <c r="G1528" s="3"/>
      <c r="H1528" s="96"/>
      <c r="I1528" s="41"/>
      <c r="J1528" s="42"/>
      <c r="K1528" s="3"/>
      <c r="L1528" s="96"/>
      <c r="M1528" s="41"/>
      <c r="N1528" s="42"/>
      <c r="O1528" s="3"/>
      <c r="P1528" s="358"/>
      <c r="Q1528" s="42"/>
      <c r="R1528" s="3"/>
      <c r="S1528" s="358"/>
      <c r="T1528" s="42"/>
      <c r="U1528" s="3"/>
      <c r="V1528" s="41"/>
      <c r="W1528" s="42"/>
      <c r="X1528" s="3"/>
      <c r="Y1528" s="41"/>
      <c r="Z1528" s="243"/>
    </row>
    <row r="1529" spans="1:26">
      <c r="A1529" s="150">
        <v>46058</v>
      </c>
      <c r="B1529" s="350" t="s">
        <v>111</v>
      </c>
      <c r="C1529" s="42"/>
      <c r="D1529" s="353"/>
      <c r="E1529" s="41"/>
      <c r="F1529" s="42"/>
      <c r="G1529" s="3"/>
      <c r="H1529" s="96"/>
      <c r="I1529" s="41"/>
      <c r="J1529" s="42"/>
      <c r="K1529" s="3"/>
      <c r="L1529" s="96"/>
      <c r="M1529" s="41"/>
      <c r="N1529" s="42"/>
      <c r="O1529" s="3"/>
      <c r="P1529" s="358"/>
      <c r="Q1529" s="42"/>
      <c r="R1529" s="3"/>
      <c r="S1529" s="358"/>
      <c r="T1529" s="42"/>
      <c r="U1529" s="3"/>
      <c r="V1529" s="41"/>
      <c r="W1529" s="42"/>
      <c r="X1529" s="3"/>
      <c r="Y1529" s="41"/>
      <c r="Z1529" s="243"/>
    </row>
    <row r="1530" spans="1:26">
      <c r="A1530" s="150">
        <v>46059</v>
      </c>
      <c r="B1530" s="350" t="s">
        <v>106</v>
      </c>
      <c r="C1530" s="42"/>
      <c r="D1530" s="353"/>
      <c r="E1530" s="41"/>
      <c r="F1530" s="42"/>
      <c r="G1530" s="3"/>
      <c r="H1530" s="96"/>
      <c r="I1530" s="41"/>
      <c r="J1530" s="42"/>
      <c r="K1530" s="3"/>
      <c r="L1530" s="96"/>
      <c r="M1530" s="41"/>
      <c r="N1530" s="42"/>
      <c r="O1530" s="3"/>
      <c r="P1530" s="358"/>
      <c r="Q1530" s="42"/>
      <c r="R1530" s="3"/>
      <c r="S1530" s="358"/>
      <c r="T1530" s="42"/>
      <c r="U1530" s="3"/>
      <c r="V1530" s="41"/>
      <c r="W1530" s="42"/>
      <c r="X1530" s="3"/>
      <c r="Y1530" s="41"/>
      <c r="Z1530" s="243"/>
    </row>
    <row r="1531" spans="1:26">
      <c r="A1531" s="150">
        <v>46060</v>
      </c>
      <c r="B1531" s="350" t="s">
        <v>107</v>
      </c>
      <c r="C1531" s="42"/>
      <c r="D1531" s="353"/>
      <c r="E1531" s="41"/>
      <c r="F1531" s="42"/>
      <c r="G1531" s="3"/>
      <c r="H1531" s="96"/>
      <c r="I1531" s="41"/>
      <c r="J1531" s="42"/>
      <c r="K1531" s="3"/>
      <c r="L1531" s="96"/>
      <c r="M1531" s="41"/>
      <c r="N1531" s="42"/>
      <c r="O1531" s="3"/>
      <c r="P1531" s="358"/>
      <c r="Q1531" s="42"/>
      <c r="R1531" s="3"/>
      <c r="S1531" s="358"/>
      <c r="T1531" s="42"/>
      <c r="U1531" s="3"/>
      <c r="V1531" s="41"/>
      <c r="W1531" s="42"/>
      <c r="X1531" s="3"/>
      <c r="Y1531" s="41"/>
      <c r="Z1531" s="243"/>
    </row>
    <row r="1532" spans="1:26">
      <c r="A1532" s="150">
        <v>46061</v>
      </c>
      <c r="B1532" s="350" t="s">
        <v>36</v>
      </c>
      <c r="C1532" s="42"/>
      <c r="D1532" s="353"/>
      <c r="E1532" s="41"/>
      <c r="F1532" s="42"/>
      <c r="G1532" s="3"/>
      <c r="H1532" s="96"/>
      <c r="I1532" s="41"/>
      <c r="J1532" s="42"/>
      <c r="K1532" s="3"/>
      <c r="L1532" s="96"/>
      <c r="M1532" s="41"/>
      <c r="N1532" s="42"/>
      <c r="O1532" s="3"/>
      <c r="P1532" s="358"/>
      <c r="Q1532" s="42"/>
      <c r="R1532" s="3"/>
      <c r="S1532" s="358"/>
      <c r="T1532" s="42"/>
      <c r="U1532" s="3"/>
      <c r="V1532" s="41"/>
      <c r="W1532" s="42"/>
      <c r="X1532" s="3"/>
      <c r="Y1532" s="41"/>
      <c r="Z1532" s="243"/>
    </row>
    <row r="1533" spans="1:26">
      <c r="A1533" s="150">
        <v>46062</v>
      </c>
      <c r="B1533" s="350" t="s">
        <v>108</v>
      </c>
      <c r="C1533" s="42"/>
      <c r="D1533" s="353"/>
      <c r="E1533" s="41"/>
      <c r="F1533" s="42"/>
      <c r="G1533" s="3"/>
      <c r="H1533" s="96"/>
      <c r="I1533" s="41"/>
      <c r="J1533" s="42"/>
      <c r="K1533" s="3"/>
      <c r="L1533" s="96"/>
      <c r="M1533" s="41"/>
      <c r="N1533" s="42"/>
      <c r="O1533" s="3"/>
      <c r="P1533" s="358"/>
      <c r="Q1533" s="42"/>
      <c r="R1533" s="3"/>
      <c r="S1533" s="358"/>
      <c r="T1533" s="42"/>
      <c r="U1533" s="3"/>
      <c r="V1533" s="41"/>
      <c r="W1533" s="42"/>
      <c r="X1533" s="3"/>
      <c r="Y1533" s="41"/>
      <c r="Z1533" s="243"/>
    </row>
    <row r="1534" spans="1:26">
      <c r="A1534" s="150">
        <v>46063</v>
      </c>
      <c r="B1534" s="350" t="s">
        <v>109</v>
      </c>
      <c r="C1534" s="42"/>
      <c r="D1534" s="353"/>
      <c r="E1534" s="41"/>
      <c r="F1534" s="42"/>
      <c r="G1534" s="3"/>
      <c r="H1534" s="96"/>
      <c r="I1534" s="41"/>
      <c r="J1534" s="42"/>
      <c r="K1534" s="3"/>
      <c r="L1534" s="96"/>
      <c r="M1534" s="41"/>
      <c r="N1534" s="42"/>
      <c r="O1534" s="3"/>
      <c r="P1534" s="358"/>
      <c r="Q1534" s="42"/>
      <c r="R1534" s="3"/>
      <c r="S1534" s="358"/>
      <c r="T1534" s="42"/>
      <c r="U1534" s="3"/>
      <c r="V1534" s="41"/>
      <c r="W1534" s="42"/>
      <c r="X1534" s="3"/>
      <c r="Y1534" s="41"/>
      <c r="Z1534" s="243"/>
    </row>
    <row r="1535" spans="1:26">
      <c r="A1535" s="150">
        <v>46064</v>
      </c>
      <c r="B1535" s="350" t="s">
        <v>110</v>
      </c>
      <c r="C1535" s="42"/>
      <c r="D1535" s="353"/>
      <c r="E1535" s="41"/>
      <c r="F1535" s="42"/>
      <c r="G1535" s="3"/>
      <c r="H1535" s="96"/>
      <c r="I1535" s="41"/>
      <c r="J1535" s="42"/>
      <c r="K1535" s="3"/>
      <c r="L1535" s="96"/>
      <c r="M1535" s="41"/>
      <c r="N1535" s="42"/>
      <c r="O1535" s="3"/>
      <c r="P1535" s="358"/>
      <c r="Q1535" s="42"/>
      <c r="R1535" s="3"/>
      <c r="S1535" s="358"/>
      <c r="T1535" s="42"/>
      <c r="U1535" s="3"/>
      <c r="V1535" s="41"/>
      <c r="W1535" s="42"/>
      <c r="X1535" s="3"/>
      <c r="Y1535" s="41"/>
      <c r="Z1535" s="243"/>
    </row>
    <row r="1536" spans="1:26">
      <c r="A1536" s="150">
        <v>46065</v>
      </c>
      <c r="B1536" s="350" t="s">
        <v>111</v>
      </c>
      <c r="C1536" s="42"/>
      <c r="D1536" s="353"/>
      <c r="E1536" s="41"/>
      <c r="F1536" s="42"/>
      <c r="G1536" s="3"/>
      <c r="H1536" s="96"/>
      <c r="I1536" s="41"/>
      <c r="J1536" s="42"/>
      <c r="K1536" s="3"/>
      <c r="L1536" s="96"/>
      <c r="M1536" s="41"/>
      <c r="N1536" s="42"/>
      <c r="O1536" s="3"/>
      <c r="P1536" s="358"/>
      <c r="Q1536" s="42"/>
      <c r="R1536" s="3"/>
      <c r="S1536" s="358"/>
      <c r="T1536" s="42"/>
      <c r="U1536" s="3"/>
      <c r="V1536" s="41"/>
      <c r="W1536" s="42"/>
      <c r="X1536" s="3"/>
      <c r="Y1536" s="41"/>
      <c r="Z1536" s="243"/>
    </row>
    <row r="1537" spans="1:26">
      <c r="A1537" s="150">
        <v>46066</v>
      </c>
      <c r="B1537" s="350" t="s">
        <v>106</v>
      </c>
      <c r="C1537" s="42"/>
      <c r="D1537" s="353"/>
      <c r="E1537" s="41"/>
      <c r="F1537" s="42"/>
      <c r="G1537" s="3"/>
      <c r="H1537" s="96"/>
      <c r="I1537" s="41"/>
      <c r="J1537" s="42"/>
      <c r="K1537" s="3"/>
      <c r="L1537" s="96"/>
      <c r="M1537" s="41"/>
      <c r="N1537" s="42"/>
      <c r="O1537" s="3"/>
      <c r="P1537" s="358"/>
      <c r="Q1537" s="42"/>
      <c r="R1537" s="3"/>
      <c r="S1537" s="358"/>
      <c r="T1537" s="42"/>
      <c r="U1537" s="3"/>
      <c r="V1537" s="41"/>
      <c r="W1537" s="42"/>
      <c r="X1537" s="3"/>
      <c r="Y1537" s="41"/>
      <c r="Z1537" s="243"/>
    </row>
    <row r="1538" spans="1:26">
      <c r="A1538" s="150">
        <v>46067</v>
      </c>
      <c r="B1538" s="350" t="s">
        <v>107</v>
      </c>
      <c r="C1538" s="42"/>
      <c r="D1538" s="353"/>
      <c r="E1538" s="41"/>
      <c r="F1538" s="42"/>
      <c r="G1538" s="3"/>
      <c r="H1538" s="96"/>
      <c r="I1538" s="41"/>
      <c r="J1538" s="42"/>
      <c r="K1538" s="3"/>
      <c r="L1538" s="96"/>
      <c r="M1538" s="41"/>
      <c r="N1538" s="42"/>
      <c r="O1538" s="3"/>
      <c r="P1538" s="358"/>
      <c r="Q1538" s="42"/>
      <c r="R1538" s="3"/>
      <c r="S1538" s="358"/>
      <c r="T1538" s="42"/>
      <c r="U1538" s="3"/>
      <c r="V1538" s="41"/>
      <c r="W1538" s="42"/>
      <c r="X1538" s="3"/>
      <c r="Y1538" s="41"/>
      <c r="Z1538" s="243"/>
    </row>
    <row r="1539" spans="1:26">
      <c r="A1539" s="150">
        <v>46068</v>
      </c>
      <c r="B1539" s="350" t="s">
        <v>36</v>
      </c>
      <c r="C1539" s="42"/>
      <c r="D1539" s="353"/>
      <c r="E1539" s="41"/>
      <c r="F1539" s="42"/>
      <c r="G1539" s="3"/>
      <c r="H1539" s="96"/>
      <c r="I1539" s="41"/>
      <c r="J1539" s="42"/>
      <c r="K1539" s="3"/>
      <c r="L1539" s="96"/>
      <c r="M1539" s="41"/>
      <c r="N1539" s="42"/>
      <c r="O1539" s="3"/>
      <c r="P1539" s="358"/>
      <c r="Q1539" s="42"/>
      <c r="R1539" s="3"/>
      <c r="S1539" s="358"/>
      <c r="T1539" s="42"/>
      <c r="U1539" s="3"/>
      <c r="V1539" s="41"/>
      <c r="W1539" s="42"/>
      <c r="X1539" s="3"/>
      <c r="Y1539" s="41"/>
      <c r="Z1539" s="243"/>
    </row>
    <row r="1540" spans="1:26">
      <c r="A1540" s="150">
        <v>46069</v>
      </c>
      <c r="B1540" s="350" t="s">
        <v>108</v>
      </c>
      <c r="C1540" s="42"/>
      <c r="D1540" s="353"/>
      <c r="E1540" s="41"/>
      <c r="F1540" s="42"/>
      <c r="G1540" s="3"/>
      <c r="H1540" s="96"/>
      <c r="I1540" s="41"/>
      <c r="J1540" s="42"/>
      <c r="K1540" s="3"/>
      <c r="L1540" s="96"/>
      <c r="M1540" s="41"/>
      <c r="N1540" s="42"/>
      <c r="O1540" s="3"/>
      <c r="P1540" s="358"/>
      <c r="Q1540" s="42"/>
      <c r="R1540" s="3"/>
      <c r="S1540" s="358"/>
      <c r="T1540" s="42"/>
      <c r="U1540" s="3"/>
      <c r="V1540" s="41"/>
      <c r="W1540" s="42"/>
      <c r="X1540" s="3"/>
      <c r="Y1540" s="41"/>
      <c r="Z1540" s="243"/>
    </row>
    <row r="1541" spans="1:26">
      <c r="A1541" s="150">
        <v>46070</v>
      </c>
      <c r="B1541" s="350" t="s">
        <v>109</v>
      </c>
      <c r="C1541" s="42"/>
      <c r="D1541" s="353"/>
      <c r="E1541" s="41"/>
      <c r="F1541" s="42"/>
      <c r="G1541" s="3"/>
      <c r="H1541" s="96"/>
      <c r="I1541" s="41"/>
      <c r="J1541" s="42"/>
      <c r="K1541" s="3"/>
      <c r="L1541" s="96"/>
      <c r="M1541" s="41"/>
      <c r="N1541" s="42"/>
      <c r="O1541" s="3"/>
      <c r="P1541" s="358"/>
      <c r="Q1541" s="42"/>
      <c r="R1541" s="3"/>
      <c r="S1541" s="358"/>
      <c r="T1541" s="42"/>
      <c r="U1541" s="3"/>
      <c r="V1541" s="41"/>
      <c r="W1541" s="42"/>
      <c r="X1541" s="3"/>
      <c r="Y1541" s="41"/>
      <c r="Z1541" s="243"/>
    </row>
    <row r="1542" spans="1:26">
      <c r="A1542" s="150">
        <v>46071</v>
      </c>
      <c r="B1542" s="350" t="s">
        <v>110</v>
      </c>
      <c r="C1542" s="42"/>
      <c r="D1542" s="353"/>
      <c r="E1542" s="41"/>
      <c r="F1542" s="42"/>
      <c r="G1542" s="3"/>
      <c r="H1542" s="96"/>
      <c r="I1542" s="41"/>
      <c r="J1542" s="42"/>
      <c r="K1542" s="3"/>
      <c r="L1542" s="96"/>
      <c r="M1542" s="41"/>
      <c r="N1542" s="42"/>
      <c r="O1542" s="3"/>
      <c r="P1542" s="358"/>
      <c r="Q1542" s="42"/>
      <c r="R1542" s="3"/>
      <c r="S1542" s="358"/>
      <c r="T1542" s="42"/>
      <c r="U1542" s="3"/>
      <c r="V1542" s="41"/>
      <c r="W1542" s="42"/>
      <c r="X1542" s="3"/>
      <c r="Y1542" s="41"/>
      <c r="Z1542" s="243"/>
    </row>
    <row r="1543" spans="1:26">
      <c r="A1543" s="150">
        <v>46072</v>
      </c>
      <c r="B1543" s="350" t="s">
        <v>111</v>
      </c>
      <c r="C1543" s="42"/>
      <c r="D1543" s="353"/>
      <c r="E1543" s="41"/>
      <c r="F1543" s="42"/>
      <c r="G1543" s="3"/>
      <c r="H1543" s="96"/>
      <c r="I1543" s="41"/>
      <c r="J1543" s="42"/>
      <c r="K1543" s="3"/>
      <c r="L1543" s="96"/>
      <c r="M1543" s="41"/>
      <c r="N1543" s="42"/>
      <c r="O1543" s="3"/>
      <c r="P1543" s="358"/>
      <c r="Q1543" s="42"/>
      <c r="R1543" s="3"/>
      <c r="S1543" s="358"/>
      <c r="T1543" s="42"/>
      <c r="U1543" s="3"/>
      <c r="V1543" s="41"/>
      <c r="W1543" s="42"/>
      <c r="X1543" s="3"/>
      <c r="Y1543" s="41"/>
      <c r="Z1543" s="243"/>
    </row>
    <row r="1544" spans="1:26">
      <c r="A1544" s="150">
        <v>46073</v>
      </c>
      <c r="B1544" s="350" t="s">
        <v>106</v>
      </c>
      <c r="C1544" s="42"/>
      <c r="D1544" s="353"/>
      <c r="E1544" s="41"/>
      <c r="F1544" s="42"/>
      <c r="G1544" s="3"/>
      <c r="H1544" s="96"/>
      <c r="I1544" s="41"/>
      <c r="J1544" s="42"/>
      <c r="K1544" s="3"/>
      <c r="L1544" s="96"/>
      <c r="M1544" s="41"/>
      <c r="N1544" s="42"/>
      <c r="O1544" s="3"/>
      <c r="P1544" s="358"/>
      <c r="Q1544" s="42"/>
      <c r="R1544" s="3"/>
      <c r="S1544" s="358"/>
      <c r="T1544" s="42"/>
      <c r="U1544" s="3"/>
      <c r="V1544" s="41"/>
      <c r="W1544" s="42"/>
      <c r="X1544" s="3"/>
      <c r="Y1544" s="41"/>
      <c r="Z1544" s="243"/>
    </row>
    <row r="1545" spans="1:26">
      <c r="A1545" s="150">
        <v>46074</v>
      </c>
      <c r="B1545" s="350" t="s">
        <v>107</v>
      </c>
      <c r="C1545" s="42"/>
      <c r="D1545" s="353"/>
      <c r="E1545" s="41"/>
      <c r="F1545" s="42"/>
      <c r="G1545" s="3"/>
      <c r="H1545" s="96"/>
      <c r="I1545" s="41"/>
      <c r="J1545" s="42"/>
      <c r="K1545" s="3"/>
      <c r="L1545" s="96"/>
      <c r="M1545" s="41"/>
      <c r="N1545" s="42"/>
      <c r="O1545" s="3"/>
      <c r="P1545" s="358"/>
      <c r="Q1545" s="42"/>
      <c r="R1545" s="3"/>
      <c r="S1545" s="358"/>
      <c r="T1545" s="42"/>
      <c r="U1545" s="3"/>
      <c r="V1545" s="41"/>
      <c r="W1545" s="42"/>
      <c r="X1545" s="3"/>
      <c r="Y1545" s="41"/>
      <c r="Z1545" s="243"/>
    </row>
    <row r="1546" spans="1:26">
      <c r="A1546" s="150">
        <v>46075</v>
      </c>
      <c r="B1546" s="350" t="s">
        <v>36</v>
      </c>
      <c r="C1546" s="42"/>
      <c r="D1546" s="353"/>
      <c r="E1546" s="41"/>
      <c r="F1546" s="42"/>
      <c r="G1546" s="3"/>
      <c r="H1546" s="96"/>
      <c r="I1546" s="41"/>
      <c r="J1546" s="42"/>
      <c r="K1546" s="3"/>
      <c r="L1546" s="96"/>
      <c r="M1546" s="41"/>
      <c r="N1546" s="42"/>
      <c r="O1546" s="3"/>
      <c r="P1546" s="358"/>
      <c r="Q1546" s="42"/>
      <c r="R1546" s="3"/>
      <c r="S1546" s="358"/>
      <c r="T1546" s="42"/>
      <c r="U1546" s="3"/>
      <c r="V1546" s="41"/>
      <c r="W1546" s="42"/>
      <c r="X1546" s="3"/>
      <c r="Y1546" s="41"/>
      <c r="Z1546" s="243"/>
    </row>
    <row r="1547" spans="1:26">
      <c r="A1547" s="150">
        <v>46076</v>
      </c>
      <c r="B1547" s="350" t="s">
        <v>108</v>
      </c>
      <c r="C1547" s="42"/>
      <c r="D1547" s="353"/>
      <c r="E1547" s="41"/>
      <c r="F1547" s="42"/>
      <c r="G1547" s="3"/>
      <c r="H1547" s="96"/>
      <c r="I1547" s="41"/>
      <c r="J1547" s="42"/>
      <c r="K1547" s="3"/>
      <c r="L1547" s="96"/>
      <c r="M1547" s="41"/>
      <c r="N1547" s="42"/>
      <c r="O1547" s="3"/>
      <c r="P1547" s="358"/>
      <c r="Q1547" s="42"/>
      <c r="R1547" s="3"/>
      <c r="S1547" s="358"/>
      <c r="T1547" s="42"/>
      <c r="U1547" s="3"/>
      <c r="V1547" s="41"/>
      <c r="W1547" s="42"/>
      <c r="X1547" s="3"/>
      <c r="Y1547" s="41"/>
      <c r="Z1547" s="243"/>
    </row>
    <row r="1548" spans="1:26">
      <c r="A1548" s="150">
        <v>46077</v>
      </c>
      <c r="B1548" s="350" t="s">
        <v>109</v>
      </c>
      <c r="C1548" s="42"/>
      <c r="D1548" s="353"/>
      <c r="E1548" s="41"/>
      <c r="F1548" s="42"/>
      <c r="G1548" s="3"/>
      <c r="H1548" s="96"/>
      <c r="I1548" s="41"/>
      <c r="J1548" s="42"/>
      <c r="K1548" s="3"/>
      <c r="L1548" s="96"/>
      <c r="M1548" s="41"/>
      <c r="N1548" s="42"/>
      <c r="O1548" s="3"/>
      <c r="P1548" s="358"/>
      <c r="Q1548" s="42"/>
      <c r="R1548" s="3"/>
      <c r="S1548" s="358"/>
      <c r="T1548" s="42"/>
      <c r="U1548" s="3"/>
      <c r="V1548" s="41"/>
      <c r="W1548" s="42"/>
      <c r="X1548" s="3"/>
      <c r="Y1548" s="41"/>
      <c r="Z1548" s="243"/>
    </row>
    <row r="1549" spans="1:26">
      <c r="A1549" s="150">
        <v>46078</v>
      </c>
      <c r="B1549" s="350" t="s">
        <v>110</v>
      </c>
      <c r="C1549" s="42"/>
      <c r="D1549" s="353"/>
      <c r="E1549" s="41"/>
      <c r="F1549" s="42"/>
      <c r="G1549" s="3"/>
      <c r="H1549" s="96"/>
      <c r="I1549" s="41"/>
      <c r="J1549" s="42"/>
      <c r="K1549" s="3"/>
      <c r="L1549" s="96"/>
      <c r="M1549" s="41"/>
      <c r="N1549" s="42"/>
      <c r="O1549" s="3"/>
      <c r="P1549" s="358"/>
      <c r="Q1549" s="42"/>
      <c r="R1549" s="3"/>
      <c r="S1549" s="358"/>
      <c r="T1549" s="42"/>
      <c r="U1549" s="3"/>
      <c r="V1549" s="41"/>
      <c r="W1549" s="42"/>
      <c r="X1549" s="3"/>
      <c r="Y1549" s="41"/>
      <c r="Z1549" s="243"/>
    </row>
    <row r="1550" spans="1:26">
      <c r="A1550" s="150">
        <v>46079</v>
      </c>
      <c r="B1550" s="350" t="s">
        <v>111</v>
      </c>
      <c r="C1550" s="42"/>
      <c r="D1550" s="353"/>
      <c r="E1550" s="41"/>
      <c r="F1550" s="42"/>
      <c r="G1550" s="3"/>
      <c r="H1550" s="96"/>
      <c r="I1550" s="41"/>
      <c r="J1550" s="42"/>
      <c r="K1550" s="3"/>
      <c r="L1550" s="96"/>
      <c r="M1550" s="41"/>
      <c r="N1550" s="42"/>
      <c r="O1550" s="3"/>
      <c r="P1550" s="358"/>
      <c r="Q1550" s="42"/>
      <c r="R1550" s="3"/>
      <c r="S1550" s="358"/>
      <c r="T1550" s="42"/>
      <c r="U1550" s="3"/>
      <c r="V1550" s="41"/>
      <c r="W1550" s="42"/>
      <c r="X1550" s="3"/>
      <c r="Y1550" s="41"/>
      <c r="Z1550" s="243"/>
    </row>
    <row r="1551" spans="1:26">
      <c r="A1551" s="150">
        <v>46080</v>
      </c>
      <c r="B1551" s="350" t="s">
        <v>106</v>
      </c>
      <c r="C1551" s="42"/>
      <c r="D1551" s="353"/>
      <c r="E1551" s="41"/>
      <c r="F1551" s="42"/>
      <c r="G1551" s="3"/>
      <c r="H1551" s="96"/>
      <c r="I1551" s="41"/>
      <c r="J1551" s="42"/>
      <c r="K1551" s="3"/>
      <c r="L1551" s="96"/>
      <c r="M1551" s="41"/>
      <c r="N1551" s="42"/>
      <c r="O1551" s="3"/>
      <c r="P1551" s="358"/>
      <c r="Q1551" s="42"/>
      <c r="R1551" s="3"/>
      <c r="S1551" s="358"/>
      <c r="T1551" s="42"/>
      <c r="U1551" s="3"/>
      <c r="V1551" s="41"/>
      <c r="W1551" s="42"/>
      <c r="X1551" s="3"/>
      <c r="Y1551" s="41"/>
      <c r="Z1551" s="243"/>
    </row>
    <row r="1552" spans="1:26">
      <c r="A1552" s="150">
        <v>46081</v>
      </c>
      <c r="B1552" s="350" t="s">
        <v>107</v>
      </c>
      <c r="C1552" s="42"/>
      <c r="D1552" s="353"/>
      <c r="E1552" s="41"/>
      <c r="F1552" s="42"/>
      <c r="G1552" s="3"/>
      <c r="H1552" s="96"/>
      <c r="I1552" s="41"/>
      <c r="J1552" s="42"/>
      <c r="K1552" s="3"/>
      <c r="L1552" s="96"/>
      <c r="M1552" s="41"/>
      <c r="N1552" s="42"/>
      <c r="O1552" s="3"/>
      <c r="P1552" s="358"/>
      <c r="Q1552" s="42"/>
      <c r="R1552" s="3"/>
      <c r="S1552" s="358"/>
      <c r="T1552" s="42"/>
      <c r="U1552" s="3"/>
      <c r="V1552" s="41"/>
      <c r="W1552" s="42"/>
      <c r="X1552" s="3"/>
      <c r="Y1552" s="41"/>
      <c r="Z1552" s="243"/>
    </row>
    <row r="1553" spans="1:26">
      <c r="A1553" s="150">
        <v>46082</v>
      </c>
      <c r="B1553" s="350" t="s">
        <v>36</v>
      </c>
      <c r="C1553" s="42"/>
      <c r="D1553" s="353"/>
      <c r="E1553" s="41"/>
      <c r="F1553" s="42"/>
      <c r="G1553" s="3"/>
      <c r="H1553" s="96"/>
      <c r="I1553" s="41"/>
      <c r="J1553" s="42"/>
      <c r="K1553" s="3"/>
      <c r="L1553" s="96"/>
      <c r="M1553" s="41"/>
      <c r="N1553" s="42"/>
      <c r="O1553" s="3"/>
      <c r="P1553" s="358"/>
      <c r="Q1553" s="42"/>
      <c r="R1553" s="3"/>
      <c r="S1553" s="358"/>
      <c r="T1553" s="42"/>
      <c r="U1553" s="3"/>
      <c r="V1553" s="41"/>
      <c r="W1553" s="42"/>
      <c r="X1553" s="3"/>
      <c r="Y1553" s="41"/>
      <c r="Z1553" s="243"/>
    </row>
    <row r="1554" spans="1:26">
      <c r="A1554" s="150">
        <v>46083</v>
      </c>
      <c r="B1554" s="350" t="s">
        <v>108</v>
      </c>
      <c r="C1554" s="42"/>
      <c r="D1554" s="353"/>
      <c r="E1554" s="41"/>
      <c r="F1554" s="42"/>
      <c r="G1554" s="3"/>
      <c r="H1554" s="96"/>
      <c r="I1554" s="41"/>
      <c r="J1554" s="42"/>
      <c r="K1554" s="3"/>
      <c r="L1554" s="96"/>
      <c r="M1554" s="41"/>
      <c r="N1554" s="42"/>
      <c r="O1554" s="3"/>
      <c r="P1554" s="358"/>
      <c r="Q1554" s="42"/>
      <c r="R1554" s="3"/>
      <c r="S1554" s="358"/>
      <c r="T1554" s="42"/>
      <c r="U1554" s="3"/>
      <c r="V1554" s="41"/>
      <c r="W1554" s="42"/>
      <c r="X1554" s="3"/>
      <c r="Y1554" s="41"/>
      <c r="Z1554" s="243"/>
    </row>
    <row r="1555" spans="1:26">
      <c r="A1555" s="150">
        <v>46084</v>
      </c>
      <c r="B1555" s="350" t="s">
        <v>109</v>
      </c>
      <c r="C1555" s="42"/>
      <c r="D1555" s="353"/>
      <c r="E1555" s="41"/>
      <c r="F1555" s="42"/>
      <c r="G1555" s="3"/>
      <c r="H1555" s="96"/>
      <c r="I1555" s="41"/>
      <c r="J1555" s="42"/>
      <c r="K1555" s="3"/>
      <c r="L1555" s="96"/>
      <c r="M1555" s="41"/>
      <c r="N1555" s="42"/>
      <c r="O1555" s="3"/>
      <c r="P1555" s="358"/>
      <c r="Q1555" s="42"/>
      <c r="R1555" s="3"/>
      <c r="S1555" s="358"/>
      <c r="T1555" s="42"/>
      <c r="U1555" s="3"/>
      <c r="V1555" s="41"/>
      <c r="W1555" s="42"/>
      <c r="X1555" s="3"/>
      <c r="Y1555" s="41"/>
      <c r="Z1555" s="243"/>
    </row>
    <row r="1556" spans="1:26">
      <c r="A1556" s="150">
        <v>46085</v>
      </c>
      <c r="B1556" s="350" t="s">
        <v>110</v>
      </c>
      <c r="C1556" s="42"/>
      <c r="D1556" s="353"/>
      <c r="E1556" s="41"/>
      <c r="F1556" s="42"/>
      <c r="G1556" s="3"/>
      <c r="H1556" s="96"/>
      <c r="I1556" s="41"/>
      <c r="J1556" s="42"/>
      <c r="K1556" s="3"/>
      <c r="L1556" s="96"/>
      <c r="M1556" s="41"/>
      <c r="N1556" s="42"/>
      <c r="O1556" s="3"/>
      <c r="P1556" s="358"/>
      <c r="Q1556" s="42"/>
      <c r="R1556" s="3"/>
      <c r="S1556" s="358"/>
      <c r="T1556" s="42"/>
      <c r="U1556" s="3"/>
      <c r="V1556" s="41"/>
      <c r="W1556" s="42"/>
      <c r="X1556" s="3"/>
      <c r="Y1556" s="41"/>
      <c r="Z1556" s="243"/>
    </row>
    <row r="1557" spans="1:26">
      <c r="A1557" s="150">
        <v>46086</v>
      </c>
      <c r="B1557" s="350" t="s">
        <v>111</v>
      </c>
      <c r="C1557" s="42"/>
      <c r="D1557" s="353"/>
      <c r="E1557" s="41"/>
      <c r="F1557" s="42"/>
      <c r="G1557" s="3"/>
      <c r="H1557" s="96"/>
      <c r="I1557" s="41"/>
      <c r="J1557" s="42"/>
      <c r="K1557" s="3"/>
      <c r="L1557" s="96"/>
      <c r="M1557" s="41"/>
      <c r="N1557" s="42"/>
      <c r="O1557" s="3"/>
      <c r="P1557" s="358"/>
      <c r="Q1557" s="42"/>
      <c r="R1557" s="3"/>
      <c r="S1557" s="358"/>
      <c r="T1557" s="42"/>
      <c r="U1557" s="3"/>
      <c r="V1557" s="41"/>
      <c r="W1557" s="42"/>
      <c r="X1557" s="3"/>
      <c r="Y1557" s="41"/>
      <c r="Z1557" s="243"/>
    </row>
    <row r="1558" spans="1:26">
      <c r="A1558" s="150">
        <v>46087</v>
      </c>
      <c r="B1558" s="350" t="s">
        <v>106</v>
      </c>
      <c r="C1558" s="42"/>
      <c r="D1558" s="353"/>
      <c r="E1558" s="41"/>
      <c r="F1558" s="42"/>
      <c r="G1558" s="3"/>
      <c r="H1558" s="96"/>
      <c r="I1558" s="41"/>
      <c r="J1558" s="42"/>
      <c r="K1558" s="3"/>
      <c r="L1558" s="96"/>
      <c r="M1558" s="41"/>
      <c r="N1558" s="42"/>
      <c r="O1558" s="3"/>
      <c r="P1558" s="358"/>
      <c r="Q1558" s="42"/>
      <c r="R1558" s="3"/>
      <c r="S1558" s="358"/>
      <c r="T1558" s="42"/>
      <c r="U1558" s="3"/>
      <c r="V1558" s="41"/>
      <c r="W1558" s="42"/>
      <c r="X1558" s="3"/>
      <c r="Y1558" s="41"/>
      <c r="Z1558" s="243"/>
    </row>
    <row r="1559" spans="1:26">
      <c r="A1559" s="150">
        <v>46088</v>
      </c>
      <c r="B1559" s="350" t="s">
        <v>107</v>
      </c>
      <c r="C1559" s="42"/>
      <c r="D1559" s="353"/>
      <c r="E1559" s="41"/>
      <c r="F1559" s="42"/>
      <c r="G1559" s="3"/>
      <c r="H1559" s="96"/>
      <c r="I1559" s="41"/>
      <c r="J1559" s="42"/>
      <c r="K1559" s="3"/>
      <c r="L1559" s="96"/>
      <c r="M1559" s="41"/>
      <c r="N1559" s="42"/>
      <c r="O1559" s="3"/>
      <c r="P1559" s="358"/>
      <c r="Q1559" s="42"/>
      <c r="R1559" s="3"/>
      <c r="S1559" s="358"/>
      <c r="T1559" s="42"/>
      <c r="U1559" s="3"/>
      <c r="V1559" s="41"/>
      <c r="W1559" s="42"/>
      <c r="X1559" s="3"/>
      <c r="Y1559" s="41"/>
      <c r="Z1559" s="243"/>
    </row>
    <row r="1560" spans="1:26">
      <c r="A1560" s="150">
        <v>46089</v>
      </c>
      <c r="B1560" s="350" t="s">
        <v>36</v>
      </c>
      <c r="C1560" s="42"/>
      <c r="D1560" s="353"/>
      <c r="E1560" s="41"/>
      <c r="F1560" s="42"/>
      <c r="G1560" s="3"/>
      <c r="H1560" s="96"/>
      <c r="I1560" s="41"/>
      <c r="J1560" s="42"/>
      <c r="K1560" s="3"/>
      <c r="L1560" s="96"/>
      <c r="M1560" s="41"/>
      <c r="N1560" s="42"/>
      <c r="O1560" s="3"/>
      <c r="P1560" s="358"/>
      <c r="Q1560" s="42"/>
      <c r="R1560" s="3"/>
      <c r="S1560" s="358"/>
      <c r="T1560" s="42"/>
      <c r="U1560" s="3"/>
      <c r="V1560" s="41"/>
      <c r="W1560" s="42"/>
      <c r="X1560" s="3"/>
      <c r="Y1560" s="41"/>
      <c r="Z1560" s="243"/>
    </row>
    <row r="1561" spans="1:26">
      <c r="A1561" s="150">
        <v>46090</v>
      </c>
      <c r="B1561" s="350" t="s">
        <v>108</v>
      </c>
      <c r="C1561" s="42"/>
      <c r="D1561" s="353"/>
      <c r="E1561" s="41"/>
      <c r="F1561" s="42"/>
      <c r="G1561" s="3"/>
      <c r="H1561" s="96"/>
      <c r="I1561" s="41"/>
      <c r="J1561" s="42"/>
      <c r="K1561" s="3"/>
      <c r="L1561" s="96"/>
      <c r="M1561" s="41"/>
      <c r="N1561" s="42"/>
      <c r="O1561" s="3"/>
      <c r="P1561" s="358"/>
      <c r="Q1561" s="42"/>
      <c r="R1561" s="3"/>
      <c r="S1561" s="358"/>
      <c r="T1561" s="42"/>
      <c r="U1561" s="3"/>
      <c r="V1561" s="41"/>
      <c r="W1561" s="42"/>
      <c r="X1561" s="3"/>
      <c r="Y1561" s="41"/>
      <c r="Z1561" s="243"/>
    </row>
    <row r="1562" spans="1:26">
      <c r="A1562" s="150">
        <v>46091</v>
      </c>
      <c r="B1562" s="350" t="s">
        <v>109</v>
      </c>
      <c r="C1562" s="42"/>
      <c r="D1562" s="353"/>
      <c r="E1562" s="41"/>
      <c r="F1562" s="42"/>
      <c r="G1562" s="3"/>
      <c r="H1562" s="96"/>
      <c r="I1562" s="41"/>
      <c r="J1562" s="42"/>
      <c r="K1562" s="3"/>
      <c r="L1562" s="96"/>
      <c r="M1562" s="41"/>
      <c r="N1562" s="42"/>
      <c r="O1562" s="3"/>
      <c r="P1562" s="358"/>
      <c r="Q1562" s="42"/>
      <c r="R1562" s="3"/>
      <c r="S1562" s="358"/>
      <c r="T1562" s="42"/>
      <c r="U1562" s="3"/>
      <c r="V1562" s="41"/>
      <c r="W1562" s="42"/>
      <c r="X1562" s="3"/>
      <c r="Y1562" s="41"/>
      <c r="Z1562" s="243"/>
    </row>
    <row r="1563" spans="1:26">
      <c r="A1563" s="150">
        <v>46092</v>
      </c>
      <c r="B1563" s="350" t="s">
        <v>110</v>
      </c>
      <c r="C1563" s="42"/>
      <c r="D1563" s="353"/>
      <c r="E1563" s="41"/>
      <c r="F1563" s="42"/>
      <c r="G1563" s="3"/>
      <c r="H1563" s="96"/>
      <c r="I1563" s="41"/>
      <c r="J1563" s="42"/>
      <c r="K1563" s="3"/>
      <c r="L1563" s="96"/>
      <c r="M1563" s="41"/>
      <c r="N1563" s="42"/>
      <c r="O1563" s="3"/>
      <c r="P1563" s="358"/>
      <c r="Q1563" s="42"/>
      <c r="R1563" s="3"/>
      <c r="S1563" s="358"/>
      <c r="T1563" s="42"/>
      <c r="U1563" s="3"/>
      <c r="V1563" s="41"/>
      <c r="W1563" s="42"/>
      <c r="X1563" s="3"/>
      <c r="Y1563" s="41"/>
      <c r="Z1563" s="243"/>
    </row>
    <row r="1564" spans="1:26">
      <c r="A1564" s="150">
        <v>46093</v>
      </c>
      <c r="B1564" s="350" t="s">
        <v>111</v>
      </c>
      <c r="C1564" s="42"/>
      <c r="D1564" s="353"/>
      <c r="E1564" s="41"/>
      <c r="F1564" s="42"/>
      <c r="G1564" s="3"/>
      <c r="H1564" s="96"/>
      <c r="I1564" s="41"/>
      <c r="J1564" s="42"/>
      <c r="K1564" s="3"/>
      <c r="L1564" s="96"/>
      <c r="M1564" s="41"/>
      <c r="N1564" s="42"/>
      <c r="O1564" s="3"/>
      <c r="P1564" s="358"/>
      <c r="Q1564" s="42"/>
      <c r="R1564" s="3"/>
      <c r="S1564" s="358"/>
      <c r="T1564" s="42"/>
      <c r="U1564" s="3"/>
      <c r="V1564" s="41"/>
      <c r="W1564" s="42"/>
      <c r="X1564" s="3"/>
      <c r="Y1564" s="41"/>
      <c r="Z1564" s="243"/>
    </row>
    <row r="1565" spans="1:26">
      <c r="A1565" s="150">
        <v>46094</v>
      </c>
      <c r="B1565" s="350" t="s">
        <v>106</v>
      </c>
      <c r="C1565" s="42"/>
      <c r="D1565" s="353"/>
      <c r="E1565" s="41"/>
      <c r="F1565" s="42"/>
      <c r="G1565" s="3"/>
      <c r="H1565" s="96"/>
      <c r="I1565" s="41"/>
      <c r="J1565" s="42"/>
      <c r="K1565" s="3"/>
      <c r="L1565" s="96"/>
      <c r="M1565" s="41"/>
      <c r="N1565" s="42"/>
      <c r="O1565" s="3"/>
      <c r="P1565" s="358"/>
      <c r="Q1565" s="42"/>
      <c r="R1565" s="3"/>
      <c r="S1565" s="358"/>
      <c r="T1565" s="42"/>
      <c r="U1565" s="3"/>
      <c r="V1565" s="41"/>
      <c r="W1565" s="42"/>
      <c r="X1565" s="3"/>
      <c r="Y1565" s="41"/>
      <c r="Z1565" s="243"/>
    </row>
    <row r="1566" spans="1:26">
      <c r="A1566" s="150">
        <v>46095</v>
      </c>
      <c r="B1566" s="350" t="s">
        <v>107</v>
      </c>
      <c r="C1566" s="42"/>
      <c r="D1566" s="353"/>
      <c r="E1566" s="41"/>
      <c r="F1566" s="42"/>
      <c r="G1566" s="3"/>
      <c r="H1566" s="96"/>
      <c r="I1566" s="41"/>
      <c r="J1566" s="42"/>
      <c r="K1566" s="3"/>
      <c r="L1566" s="96"/>
      <c r="M1566" s="41"/>
      <c r="N1566" s="42"/>
      <c r="O1566" s="3"/>
      <c r="P1566" s="358"/>
      <c r="Q1566" s="42"/>
      <c r="R1566" s="3"/>
      <c r="S1566" s="358"/>
      <c r="T1566" s="42"/>
      <c r="U1566" s="3"/>
      <c r="V1566" s="41"/>
      <c r="W1566" s="42"/>
      <c r="X1566" s="3"/>
      <c r="Y1566" s="41"/>
      <c r="Z1566" s="243"/>
    </row>
    <row r="1567" spans="1:26">
      <c r="A1567" s="150">
        <v>46096</v>
      </c>
      <c r="B1567" s="350" t="s">
        <v>36</v>
      </c>
      <c r="C1567" s="42"/>
      <c r="D1567" s="353"/>
      <c r="E1567" s="41"/>
      <c r="F1567" s="42"/>
      <c r="G1567" s="3"/>
      <c r="H1567" s="96"/>
      <c r="I1567" s="41"/>
      <c r="J1567" s="42"/>
      <c r="K1567" s="3"/>
      <c r="L1567" s="96"/>
      <c r="M1567" s="41"/>
      <c r="N1567" s="42"/>
      <c r="O1567" s="3"/>
      <c r="P1567" s="358"/>
      <c r="Q1567" s="42"/>
      <c r="R1567" s="3"/>
      <c r="S1567" s="358"/>
      <c r="T1567" s="42"/>
      <c r="U1567" s="3"/>
      <c r="V1567" s="41"/>
      <c r="W1567" s="42"/>
      <c r="X1567" s="3"/>
      <c r="Y1567" s="41"/>
      <c r="Z1567" s="243"/>
    </row>
    <row r="1568" spans="1:26">
      <c r="A1568" s="150">
        <v>46097</v>
      </c>
      <c r="B1568" s="350" t="s">
        <v>108</v>
      </c>
      <c r="C1568" s="42"/>
      <c r="D1568" s="353"/>
      <c r="E1568" s="41"/>
      <c r="F1568" s="42"/>
      <c r="G1568" s="3"/>
      <c r="H1568" s="96"/>
      <c r="I1568" s="41"/>
      <c r="J1568" s="42"/>
      <c r="K1568" s="3"/>
      <c r="L1568" s="96"/>
      <c r="M1568" s="41"/>
      <c r="N1568" s="42"/>
      <c r="O1568" s="3"/>
      <c r="P1568" s="358"/>
      <c r="Q1568" s="42"/>
      <c r="R1568" s="3"/>
      <c r="S1568" s="358"/>
      <c r="T1568" s="42"/>
      <c r="U1568" s="3"/>
      <c r="V1568" s="41"/>
      <c r="W1568" s="42"/>
      <c r="X1568" s="3"/>
      <c r="Y1568" s="41"/>
      <c r="Z1568" s="243"/>
    </row>
    <row r="1569" spans="1:26">
      <c r="A1569" s="150">
        <v>46098</v>
      </c>
      <c r="B1569" s="350" t="s">
        <v>109</v>
      </c>
      <c r="C1569" s="42"/>
      <c r="D1569" s="353"/>
      <c r="E1569" s="41"/>
      <c r="F1569" s="42"/>
      <c r="G1569" s="3"/>
      <c r="H1569" s="96"/>
      <c r="I1569" s="41"/>
      <c r="J1569" s="42"/>
      <c r="K1569" s="3"/>
      <c r="L1569" s="96"/>
      <c r="M1569" s="41"/>
      <c r="N1569" s="42"/>
      <c r="O1569" s="3"/>
      <c r="P1569" s="358"/>
      <c r="Q1569" s="42"/>
      <c r="R1569" s="3"/>
      <c r="S1569" s="358"/>
      <c r="T1569" s="42"/>
      <c r="U1569" s="3"/>
      <c r="V1569" s="41"/>
      <c r="W1569" s="42"/>
      <c r="X1569" s="3"/>
      <c r="Y1569" s="41"/>
      <c r="Z1569" s="243"/>
    </row>
    <row r="1570" spans="1:26">
      <c r="A1570" s="150">
        <v>46099</v>
      </c>
      <c r="B1570" s="350" t="s">
        <v>110</v>
      </c>
      <c r="C1570" s="42"/>
      <c r="D1570" s="353"/>
      <c r="E1570" s="41"/>
      <c r="F1570" s="42"/>
      <c r="G1570" s="3"/>
      <c r="H1570" s="96"/>
      <c r="I1570" s="41"/>
      <c r="J1570" s="42"/>
      <c r="K1570" s="3"/>
      <c r="L1570" s="96"/>
      <c r="M1570" s="41"/>
      <c r="N1570" s="42"/>
      <c r="O1570" s="3"/>
      <c r="P1570" s="358"/>
      <c r="Q1570" s="42"/>
      <c r="R1570" s="3"/>
      <c r="S1570" s="358"/>
      <c r="T1570" s="42"/>
      <c r="U1570" s="3"/>
      <c r="V1570" s="41"/>
      <c r="W1570" s="42"/>
      <c r="X1570" s="3"/>
      <c r="Y1570" s="41"/>
      <c r="Z1570" s="243"/>
    </row>
    <row r="1571" spans="1:26">
      <c r="A1571" s="150">
        <v>46100</v>
      </c>
      <c r="B1571" s="350" t="s">
        <v>111</v>
      </c>
      <c r="C1571" s="42"/>
      <c r="D1571" s="353"/>
      <c r="E1571" s="41"/>
      <c r="F1571" s="42"/>
      <c r="G1571" s="3"/>
      <c r="H1571" s="96"/>
      <c r="I1571" s="41"/>
      <c r="J1571" s="42"/>
      <c r="K1571" s="3"/>
      <c r="L1571" s="96"/>
      <c r="M1571" s="41"/>
      <c r="N1571" s="42"/>
      <c r="O1571" s="3"/>
      <c r="P1571" s="358"/>
      <c r="Q1571" s="42"/>
      <c r="R1571" s="3"/>
      <c r="S1571" s="358"/>
      <c r="T1571" s="42"/>
      <c r="U1571" s="3"/>
      <c r="V1571" s="41"/>
      <c r="W1571" s="42"/>
      <c r="X1571" s="3"/>
      <c r="Y1571" s="41"/>
      <c r="Z1571" s="243"/>
    </row>
    <row r="1572" spans="1:26">
      <c r="A1572" s="150">
        <v>46101</v>
      </c>
      <c r="B1572" s="350" t="s">
        <v>106</v>
      </c>
      <c r="C1572" s="42"/>
      <c r="D1572" s="353"/>
      <c r="E1572" s="41"/>
      <c r="F1572" s="42"/>
      <c r="G1572" s="3"/>
      <c r="H1572" s="96"/>
      <c r="I1572" s="41"/>
      <c r="J1572" s="42"/>
      <c r="K1572" s="3"/>
      <c r="L1572" s="96"/>
      <c r="M1572" s="41"/>
      <c r="N1572" s="42"/>
      <c r="O1572" s="3"/>
      <c r="P1572" s="358"/>
      <c r="Q1572" s="42"/>
      <c r="R1572" s="3"/>
      <c r="S1572" s="358"/>
      <c r="T1572" s="42"/>
      <c r="U1572" s="3"/>
      <c r="V1572" s="41"/>
      <c r="W1572" s="42"/>
      <c r="X1572" s="3"/>
      <c r="Y1572" s="41"/>
      <c r="Z1572" s="243"/>
    </row>
    <row r="1573" spans="1:26">
      <c r="A1573" s="150">
        <v>46102</v>
      </c>
      <c r="B1573" s="350" t="s">
        <v>107</v>
      </c>
      <c r="C1573" s="42"/>
      <c r="D1573" s="353"/>
      <c r="E1573" s="41"/>
      <c r="F1573" s="42"/>
      <c r="G1573" s="3"/>
      <c r="H1573" s="96"/>
      <c r="I1573" s="41"/>
      <c r="J1573" s="42"/>
      <c r="K1573" s="3"/>
      <c r="L1573" s="96"/>
      <c r="M1573" s="41"/>
      <c r="N1573" s="42"/>
      <c r="O1573" s="3"/>
      <c r="P1573" s="358"/>
      <c r="Q1573" s="42"/>
      <c r="R1573" s="3"/>
      <c r="S1573" s="358"/>
      <c r="T1573" s="42"/>
      <c r="U1573" s="3"/>
      <c r="V1573" s="41"/>
      <c r="W1573" s="42"/>
      <c r="X1573" s="3"/>
      <c r="Y1573" s="41"/>
      <c r="Z1573" s="243"/>
    </row>
    <row r="1574" spans="1:26">
      <c r="A1574" s="150">
        <v>46103</v>
      </c>
      <c r="B1574" s="350" t="s">
        <v>36</v>
      </c>
      <c r="C1574" s="42"/>
      <c r="D1574" s="353"/>
      <c r="E1574" s="41"/>
      <c r="F1574" s="42"/>
      <c r="G1574" s="3"/>
      <c r="H1574" s="96"/>
      <c r="I1574" s="41"/>
      <c r="J1574" s="42"/>
      <c r="K1574" s="3"/>
      <c r="L1574" s="96"/>
      <c r="M1574" s="41"/>
      <c r="N1574" s="42"/>
      <c r="O1574" s="3"/>
      <c r="P1574" s="358"/>
      <c r="Q1574" s="42"/>
      <c r="R1574" s="3"/>
      <c r="S1574" s="358"/>
      <c r="T1574" s="42"/>
      <c r="U1574" s="3"/>
      <c r="V1574" s="41"/>
      <c r="W1574" s="42"/>
      <c r="X1574" s="3"/>
      <c r="Y1574" s="41"/>
      <c r="Z1574" s="243"/>
    </row>
    <row r="1575" spans="1:26">
      <c r="A1575" s="150">
        <v>46104</v>
      </c>
      <c r="B1575" s="350" t="s">
        <v>108</v>
      </c>
      <c r="C1575" s="42"/>
      <c r="D1575" s="353"/>
      <c r="E1575" s="41"/>
      <c r="F1575" s="42"/>
      <c r="G1575" s="3"/>
      <c r="H1575" s="96"/>
      <c r="I1575" s="41"/>
      <c r="J1575" s="42"/>
      <c r="K1575" s="3"/>
      <c r="L1575" s="96"/>
      <c r="M1575" s="41"/>
      <c r="N1575" s="42"/>
      <c r="O1575" s="3"/>
      <c r="P1575" s="358"/>
      <c r="Q1575" s="42"/>
      <c r="R1575" s="3"/>
      <c r="S1575" s="358"/>
      <c r="T1575" s="42"/>
      <c r="U1575" s="3"/>
      <c r="V1575" s="41"/>
      <c r="W1575" s="42"/>
      <c r="X1575" s="3"/>
      <c r="Y1575" s="41"/>
      <c r="Z1575" s="243"/>
    </row>
    <row r="1576" spans="1:26">
      <c r="A1576" s="150">
        <v>46105</v>
      </c>
      <c r="B1576" s="350" t="s">
        <v>109</v>
      </c>
      <c r="C1576" s="42"/>
      <c r="D1576" s="353"/>
      <c r="E1576" s="41"/>
      <c r="F1576" s="42"/>
      <c r="G1576" s="3"/>
      <c r="H1576" s="96"/>
      <c r="I1576" s="41"/>
      <c r="J1576" s="42"/>
      <c r="K1576" s="3"/>
      <c r="L1576" s="96"/>
      <c r="M1576" s="41"/>
      <c r="N1576" s="42"/>
      <c r="O1576" s="3"/>
      <c r="P1576" s="358"/>
      <c r="Q1576" s="42"/>
      <c r="R1576" s="3"/>
      <c r="S1576" s="358"/>
      <c r="T1576" s="42"/>
      <c r="U1576" s="3"/>
      <c r="V1576" s="41"/>
      <c r="W1576" s="42"/>
      <c r="X1576" s="3"/>
      <c r="Y1576" s="41"/>
      <c r="Z1576" s="243"/>
    </row>
    <row r="1577" spans="1:26">
      <c r="A1577" s="150">
        <v>46106</v>
      </c>
      <c r="B1577" s="350" t="s">
        <v>110</v>
      </c>
      <c r="C1577" s="42"/>
      <c r="D1577" s="353"/>
      <c r="E1577" s="41"/>
      <c r="F1577" s="42"/>
      <c r="G1577" s="3"/>
      <c r="H1577" s="96"/>
      <c r="I1577" s="41"/>
      <c r="J1577" s="42"/>
      <c r="K1577" s="3"/>
      <c r="L1577" s="96"/>
      <c r="M1577" s="41"/>
      <c r="N1577" s="42"/>
      <c r="O1577" s="3"/>
      <c r="P1577" s="358"/>
      <c r="Q1577" s="42"/>
      <c r="R1577" s="3"/>
      <c r="S1577" s="358"/>
      <c r="T1577" s="42"/>
      <c r="U1577" s="3"/>
      <c r="V1577" s="41"/>
      <c r="W1577" s="42"/>
      <c r="X1577" s="3"/>
      <c r="Y1577" s="41"/>
      <c r="Z1577" s="243"/>
    </row>
    <row r="1578" spans="1:26">
      <c r="A1578" s="150">
        <v>46107</v>
      </c>
      <c r="B1578" s="350" t="s">
        <v>111</v>
      </c>
      <c r="C1578" s="42"/>
      <c r="D1578" s="353"/>
      <c r="E1578" s="41"/>
      <c r="F1578" s="42"/>
      <c r="G1578" s="3"/>
      <c r="H1578" s="96"/>
      <c r="I1578" s="41"/>
      <c r="J1578" s="42"/>
      <c r="K1578" s="3"/>
      <c r="L1578" s="96"/>
      <c r="M1578" s="41"/>
      <c r="N1578" s="42"/>
      <c r="O1578" s="3"/>
      <c r="P1578" s="358"/>
      <c r="Q1578" s="42"/>
      <c r="R1578" s="3"/>
      <c r="S1578" s="358"/>
      <c r="T1578" s="42"/>
      <c r="U1578" s="3"/>
      <c r="V1578" s="41"/>
      <c r="W1578" s="42"/>
      <c r="X1578" s="3"/>
      <c r="Y1578" s="41"/>
      <c r="Z1578" s="243"/>
    </row>
    <row r="1579" spans="1:26">
      <c r="A1579" s="150">
        <v>46108</v>
      </c>
      <c r="B1579" s="350" t="s">
        <v>106</v>
      </c>
      <c r="C1579" s="42"/>
      <c r="D1579" s="353"/>
      <c r="E1579" s="41"/>
      <c r="F1579" s="42"/>
      <c r="G1579" s="3"/>
      <c r="H1579" s="96"/>
      <c r="I1579" s="41"/>
      <c r="J1579" s="42"/>
      <c r="K1579" s="3"/>
      <c r="L1579" s="96"/>
      <c r="M1579" s="41"/>
      <c r="N1579" s="42"/>
      <c r="O1579" s="3"/>
      <c r="P1579" s="358"/>
      <c r="Q1579" s="42"/>
      <c r="R1579" s="3"/>
      <c r="S1579" s="358"/>
      <c r="T1579" s="42"/>
      <c r="U1579" s="3"/>
      <c r="V1579" s="41"/>
      <c r="W1579" s="42"/>
      <c r="X1579" s="3"/>
      <c r="Y1579" s="41"/>
      <c r="Z1579" s="243"/>
    </row>
    <row r="1580" spans="1:26">
      <c r="A1580" s="150">
        <v>46109</v>
      </c>
      <c r="B1580" s="350" t="s">
        <v>107</v>
      </c>
      <c r="C1580" s="42"/>
      <c r="D1580" s="353"/>
      <c r="E1580" s="41"/>
      <c r="F1580" s="42"/>
      <c r="G1580" s="3"/>
      <c r="H1580" s="96"/>
      <c r="I1580" s="41"/>
      <c r="J1580" s="42"/>
      <c r="K1580" s="3"/>
      <c r="L1580" s="96"/>
      <c r="M1580" s="41"/>
      <c r="N1580" s="42"/>
      <c r="O1580" s="3"/>
      <c r="P1580" s="358"/>
      <c r="Q1580" s="42"/>
      <c r="R1580" s="3"/>
      <c r="S1580" s="358"/>
      <c r="T1580" s="42"/>
      <c r="U1580" s="3"/>
      <c r="V1580" s="41"/>
      <c r="W1580" s="42"/>
      <c r="X1580" s="3"/>
      <c r="Y1580" s="41"/>
      <c r="Z1580" s="243"/>
    </row>
    <row r="1581" spans="1:26">
      <c r="A1581" s="150">
        <v>46110</v>
      </c>
      <c r="B1581" s="350" t="s">
        <v>36</v>
      </c>
      <c r="C1581" s="42"/>
      <c r="D1581" s="353"/>
      <c r="E1581" s="41"/>
      <c r="F1581" s="42"/>
      <c r="G1581" s="3"/>
      <c r="H1581" s="96"/>
      <c r="I1581" s="41"/>
      <c r="J1581" s="42"/>
      <c r="K1581" s="3"/>
      <c r="L1581" s="96"/>
      <c r="M1581" s="41"/>
      <c r="N1581" s="42"/>
      <c r="O1581" s="3"/>
      <c r="P1581" s="358"/>
      <c r="Q1581" s="42"/>
      <c r="R1581" s="3"/>
      <c r="S1581" s="358"/>
      <c r="T1581" s="42"/>
      <c r="U1581" s="3"/>
      <c r="V1581" s="41"/>
      <c r="W1581" s="42"/>
      <c r="X1581" s="3"/>
      <c r="Y1581" s="41"/>
      <c r="Z1581" s="243"/>
    </row>
    <row r="1582" spans="1:26">
      <c r="A1582" s="150">
        <v>46111</v>
      </c>
      <c r="B1582" s="350" t="s">
        <v>108</v>
      </c>
      <c r="C1582" s="42"/>
      <c r="D1582" s="353"/>
      <c r="E1582" s="41"/>
      <c r="F1582" s="42"/>
      <c r="G1582" s="3"/>
      <c r="H1582" s="96"/>
      <c r="I1582" s="41"/>
      <c r="J1582" s="42"/>
      <c r="K1582" s="3"/>
      <c r="L1582" s="96"/>
      <c r="M1582" s="41"/>
      <c r="N1582" s="42"/>
      <c r="O1582" s="3"/>
      <c r="P1582" s="358"/>
      <c r="Q1582" s="42"/>
      <c r="R1582" s="3"/>
      <c r="S1582" s="358"/>
      <c r="T1582" s="42"/>
      <c r="U1582" s="3"/>
      <c r="V1582" s="41"/>
      <c r="W1582" s="42"/>
      <c r="X1582" s="3"/>
      <c r="Y1582" s="41"/>
      <c r="Z1582" s="243"/>
    </row>
    <row r="1583" spans="1:26">
      <c r="A1583" s="150">
        <v>46112</v>
      </c>
      <c r="B1583" s="350" t="s">
        <v>109</v>
      </c>
      <c r="C1583" s="42"/>
      <c r="D1583" s="353"/>
      <c r="E1583" s="41"/>
      <c r="F1583" s="42"/>
      <c r="G1583" s="3"/>
      <c r="H1583" s="96"/>
      <c r="I1583" s="41"/>
      <c r="J1583" s="42"/>
      <c r="K1583" s="3"/>
      <c r="L1583" s="96"/>
      <c r="M1583" s="41"/>
      <c r="N1583" s="42"/>
      <c r="O1583" s="3"/>
      <c r="P1583" s="358"/>
      <c r="Q1583" s="42"/>
      <c r="R1583" s="3"/>
      <c r="S1583" s="358"/>
      <c r="T1583" s="42"/>
      <c r="U1583" s="3"/>
      <c r="V1583" s="41"/>
      <c r="W1583" s="42"/>
      <c r="X1583" s="3"/>
      <c r="Y1583" s="41"/>
      <c r="Z1583" s="243"/>
    </row>
    <row r="1584" spans="1:26">
      <c r="A1584" s="150">
        <v>46113</v>
      </c>
      <c r="B1584" s="350" t="s">
        <v>110</v>
      </c>
      <c r="C1584" s="42"/>
      <c r="D1584" s="353"/>
      <c r="E1584" s="41"/>
      <c r="F1584" s="42"/>
      <c r="G1584" s="3"/>
      <c r="H1584" s="96"/>
      <c r="I1584" s="41"/>
      <c r="J1584" s="42"/>
      <c r="K1584" s="3"/>
      <c r="L1584" s="96"/>
      <c r="M1584" s="41"/>
      <c r="N1584" s="42"/>
      <c r="O1584" s="3"/>
      <c r="P1584" s="358"/>
      <c r="Q1584" s="42"/>
      <c r="R1584" s="3"/>
      <c r="S1584" s="358"/>
      <c r="T1584" s="42"/>
      <c r="U1584" s="3"/>
      <c r="V1584" s="41"/>
      <c r="W1584" s="42"/>
      <c r="X1584" s="3"/>
      <c r="Y1584" s="41"/>
      <c r="Z1584" s="243"/>
    </row>
    <row r="1585" spans="1:26">
      <c r="A1585" s="150">
        <v>46114</v>
      </c>
      <c r="B1585" s="350" t="s">
        <v>111</v>
      </c>
      <c r="C1585" s="42"/>
      <c r="D1585" s="353"/>
      <c r="E1585" s="41"/>
      <c r="F1585" s="42"/>
      <c r="G1585" s="3"/>
      <c r="H1585" s="96"/>
      <c r="I1585" s="41"/>
      <c r="J1585" s="42"/>
      <c r="K1585" s="3"/>
      <c r="L1585" s="96"/>
      <c r="M1585" s="41"/>
      <c r="N1585" s="42"/>
      <c r="O1585" s="3"/>
      <c r="P1585" s="358"/>
      <c r="Q1585" s="42"/>
      <c r="R1585" s="3"/>
      <c r="S1585" s="358"/>
      <c r="T1585" s="42"/>
      <c r="U1585" s="3"/>
      <c r="V1585" s="41"/>
      <c r="W1585" s="42"/>
      <c r="X1585" s="3"/>
      <c r="Y1585" s="41"/>
      <c r="Z1585" s="243"/>
    </row>
    <row r="1586" spans="1:26">
      <c r="A1586" s="150">
        <v>46115</v>
      </c>
      <c r="B1586" s="350" t="s">
        <v>106</v>
      </c>
      <c r="C1586" s="42"/>
      <c r="D1586" s="353"/>
      <c r="E1586" s="41"/>
      <c r="F1586" s="42"/>
      <c r="G1586" s="3"/>
      <c r="H1586" s="96"/>
      <c r="I1586" s="41"/>
      <c r="J1586" s="42"/>
      <c r="K1586" s="3"/>
      <c r="L1586" s="96"/>
      <c r="M1586" s="41"/>
      <c r="N1586" s="42"/>
      <c r="O1586" s="3"/>
      <c r="P1586" s="358"/>
      <c r="Q1586" s="42"/>
      <c r="R1586" s="3"/>
      <c r="S1586" s="358"/>
      <c r="T1586" s="42"/>
      <c r="U1586" s="3"/>
      <c r="V1586" s="41"/>
      <c r="W1586" s="42"/>
      <c r="X1586" s="3"/>
      <c r="Y1586" s="41"/>
      <c r="Z1586" s="243"/>
    </row>
    <row r="1587" spans="1:26">
      <c r="A1587" s="150">
        <v>46116</v>
      </c>
      <c r="B1587" s="350" t="s">
        <v>107</v>
      </c>
      <c r="C1587" s="42"/>
      <c r="D1587" s="353"/>
      <c r="E1587" s="41"/>
      <c r="F1587" s="42"/>
      <c r="G1587" s="3"/>
      <c r="H1587" s="96"/>
      <c r="I1587" s="41"/>
      <c r="J1587" s="42"/>
      <c r="K1587" s="3"/>
      <c r="L1587" s="96"/>
      <c r="M1587" s="41"/>
      <c r="N1587" s="42"/>
      <c r="O1587" s="3"/>
      <c r="P1587" s="358"/>
      <c r="Q1587" s="42"/>
      <c r="R1587" s="3"/>
      <c r="S1587" s="358"/>
      <c r="T1587" s="42"/>
      <c r="U1587" s="3"/>
      <c r="V1587" s="41"/>
      <c r="W1587" s="42"/>
      <c r="X1587" s="3"/>
      <c r="Y1587" s="41"/>
      <c r="Z1587" s="243"/>
    </row>
    <row r="1588" spans="1:26">
      <c r="A1588" s="150">
        <v>46117</v>
      </c>
      <c r="B1588" s="350" t="s">
        <v>36</v>
      </c>
      <c r="C1588" s="42"/>
      <c r="D1588" s="353"/>
      <c r="E1588" s="41"/>
      <c r="F1588" s="42"/>
      <c r="G1588" s="3"/>
      <c r="H1588" s="96"/>
      <c r="I1588" s="41"/>
      <c r="J1588" s="42"/>
      <c r="K1588" s="3"/>
      <c r="L1588" s="96"/>
      <c r="M1588" s="41"/>
      <c r="N1588" s="42"/>
      <c r="O1588" s="3"/>
      <c r="P1588" s="358"/>
      <c r="Q1588" s="42"/>
      <c r="R1588" s="3"/>
      <c r="S1588" s="358"/>
      <c r="T1588" s="42"/>
      <c r="U1588" s="3"/>
      <c r="V1588" s="41"/>
      <c r="W1588" s="42"/>
      <c r="X1588" s="3"/>
      <c r="Y1588" s="41"/>
      <c r="Z1588" s="243"/>
    </row>
    <row r="1589" spans="1:26">
      <c r="A1589" s="150">
        <v>46118</v>
      </c>
      <c r="B1589" s="350" t="s">
        <v>108</v>
      </c>
      <c r="C1589" s="42"/>
      <c r="D1589" s="353"/>
      <c r="E1589" s="41"/>
      <c r="F1589" s="42"/>
      <c r="G1589" s="3"/>
      <c r="H1589" s="96"/>
      <c r="I1589" s="41"/>
      <c r="J1589" s="42"/>
      <c r="K1589" s="3"/>
      <c r="L1589" s="96"/>
      <c r="M1589" s="41"/>
      <c r="N1589" s="42"/>
      <c r="O1589" s="3"/>
      <c r="P1589" s="358"/>
      <c r="Q1589" s="42"/>
      <c r="R1589" s="3"/>
      <c r="S1589" s="358"/>
      <c r="T1589" s="42"/>
      <c r="U1589" s="3"/>
      <c r="V1589" s="41"/>
      <c r="W1589" s="42"/>
      <c r="X1589" s="3"/>
      <c r="Y1589" s="41"/>
      <c r="Z1589" s="243"/>
    </row>
    <row r="1590" spans="1:26">
      <c r="A1590" s="150">
        <v>46119</v>
      </c>
      <c r="B1590" s="350" t="s">
        <v>109</v>
      </c>
      <c r="C1590" s="42"/>
      <c r="D1590" s="353"/>
      <c r="E1590" s="41"/>
      <c r="F1590" s="42"/>
      <c r="G1590" s="3"/>
      <c r="H1590" s="96"/>
      <c r="I1590" s="41"/>
      <c r="J1590" s="42"/>
      <c r="K1590" s="3"/>
      <c r="L1590" s="96"/>
      <c r="M1590" s="41"/>
      <c r="N1590" s="42"/>
      <c r="O1590" s="3"/>
      <c r="P1590" s="358"/>
      <c r="Q1590" s="42"/>
      <c r="R1590" s="3"/>
      <c r="S1590" s="358"/>
      <c r="T1590" s="42"/>
      <c r="U1590" s="3"/>
      <c r="V1590" s="41"/>
      <c r="W1590" s="42"/>
      <c r="X1590" s="3"/>
      <c r="Y1590" s="41"/>
      <c r="Z1590" s="243"/>
    </row>
    <row r="1591" spans="1:26">
      <c r="A1591" s="150">
        <v>46120</v>
      </c>
      <c r="B1591" s="350" t="s">
        <v>110</v>
      </c>
      <c r="C1591" s="42"/>
      <c r="D1591" s="353"/>
      <c r="E1591" s="41"/>
      <c r="F1591" s="42"/>
      <c r="G1591" s="3"/>
      <c r="H1591" s="96"/>
      <c r="I1591" s="41"/>
      <c r="J1591" s="42"/>
      <c r="K1591" s="3"/>
      <c r="L1591" s="96"/>
      <c r="M1591" s="41"/>
      <c r="N1591" s="42"/>
      <c r="O1591" s="3"/>
      <c r="P1591" s="358"/>
      <c r="Q1591" s="42"/>
      <c r="R1591" s="3"/>
      <c r="S1591" s="358"/>
      <c r="T1591" s="42"/>
      <c r="U1591" s="3"/>
      <c r="V1591" s="41"/>
      <c r="W1591" s="42"/>
      <c r="X1591" s="3"/>
      <c r="Y1591" s="41"/>
      <c r="Z1591" s="243"/>
    </row>
    <row r="1592" spans="1:26">
      <c r="A1592" s="150">
        <v>46121</v>
      </c>
      <c r="B1592" s="350" t="s">
        <v>111</v>
      </c>
      <c r="C1592" s="42"/>
      <c r="D1592" s="353"/>
      <c r="E1592" s="41"/>
      <c r="F1592" s="42"/>
      <c r="G1592" s="3"/>
      <c r="H1592" s="96"/>
      <c r="I1592" s="41"/>
      <c r="J1592" s="42"/>
      <c r="K1592" s="3"/>
      <c r="L1592" s="96"/>
      <c r="M1592" s="41"/>
      <c r="N1592" s="42"/>
      <c r="O1592" s="3"/>
      <c r="P1592" s="358"/>
      <c r="Q1592" s="42"/>
      <c r="R1592" s="3"/>
      <c r="S1592" s="358"/>
      <c r="T1592" s="42"/>
      <c r="U1592" s="3"/>
      <c r="V1592" s="41"/>
      <c r="W1592" s="42"/>
      <c r="X1592" s="3"/>
      <c r="Y1592" s="41"/>
      <c r="Z1592" s="243"/>
    </row>
    <row r="1593" spans="1:26">
      <c r="A1593" s="150">
        <v>46122</v>
      </c>
      <c r="B1593" s="350" t="s">
        <v>106</v>
      </c>
      <c r="C1593" s="42"/>
      <c r="D1593" s="353"/>
      <c r="E1593" s="41"/>
      <c r="F1593" s="42"/>
      <c r="G1593" s="3"/>
      <c r="H1593" s="96"/>
      <c r="I1593" s="41"/>
      <c r="J1593" s="42"/>
      <c r="K1593" s="3"/>
      <c r="L1593" s="96"/>
      <c r="M1593" s="41"/>
      <c r="N1593" s="42"/>
      <c r="O1593" s="3"/>
      <c r="P1593" s="358"/>
      <c r="Q1593" s="42"/>
      <c r="R1593" s="3"/>
      <c r="S1593" s="358"/>
      <c r="T1593" s="42"/>
      <c r="U1593" s="3"/>
      <c r="V1593" s="41"/>
      <c r="W1593" s="42"/>
      <c r="X1593" s="3"/>
      <c r="Y1593" s="41"/>
      <c r="Z1593" s="243"/>
    </row>
    <row r="1594" spans="1:26">
      <c r="A1594" s="150">
        <v>46123</v>
      </c>
      <c r="B1594" s="350" t="s">
        <v>107</v>
      </c>
      <c r="C1594" s="42"/>
      <c r="D1594" s="353"/>
      <c r="E1594" s="41"/>
      <c r="F1594" s="42"/>
      <c r="G1594" s="3"/>
      <c r="H1594" s="96"/>
      <c r="I1594" s="41"/>
      <c r="J1594" s="42"/>
      <c r="K1594" s="3"/>
      <c r="L1594" s="96"/>
      <c r="M1594" s="41"/>
      <c r="N1594" s="42"/>
      <c r="O1594" s="3"/>
      <c r="P1594" s="358"/>
      <c r="Q1594" s="42"/>
      <c r="R1594" s="3"/>
      <c r="S1594" s="358"/>
      <c r="T1594" s="42"/>
      <c r="U1594" s="3"/>
      <c r="V1594" s="41"/>
      <c r="W1594" s="42"/>
      <c r="X1594" s="3"/>
      <c r="Y1594" s="41"/>
      <c r="Z1594" s="243"/>
    </row>
    <row r="1595" spans="1:26">
      <c r="A1595" s="150">
        <v>46124</v>
      </c>
      <c r="B1595" s="350" t="s">
        <v>36</v>
      </c>
      <c r="C1595" s="42"/>
      <c r="D1595" s="353"/>
      <c r="E1595" s="41"/>
      <c r="F1595" s="42"/>
      <c r="G1595" s="3"/>
      <c r="H1595" s="96"/>
      <c r="I1595" s="41"/>
      <c r="J1595" s="42"/>
      <c r="K1595" s="3"/>
      <c r="L1595" s="96"/>
      <c r="M1595" s="41"/>
      <c r="N1595" s="42"/>
      <c r="O1595" s="3"/>
      <c r="P1595" s="358"/>
      <c r="Q1595" s="42"/>
      <c r="R1595" s="3"/>
      <c r="S1595" s="358"/>
      <c r="T1595" s="42"/>
      <c r="U1595" s="3"/>
      <c r="V1595" s="41"/>
      <c r="W1595" s="42"/>
      <c r="X1595" s="3"/>
      <c r="Y1595" s="41"/>
      <c r="Z1595" s="243"/>
    </row>
    <row r="1596" spans="1:26">
      <c r="A1596" s="150">
        <v>46125</v>
      </c>
      <c r="B1596" s="350" t="s">
        <v>108</v>
      </c>
      <c r="C1596" s="42"/>
      <c r="D1596" s="353"/>
      <c r="E1596" s="41"/>
      <c r="F1596" s="42"/>
      <c r="G1596" s="3"/>
      <c r="H1596" s="96"/>
      <c r="I1596" s="41"/>
      <c r="J1596" s="42"/>
      <c r="K1596" s="3"/>
      <c r="L1596" s="96"/>
      <c r="M1596" s="41"/>
      <c r="N1596" s="42"/>
      <c r="O1596" s="3"/>
      <c r="P1596" s="358"/>
      <c r="Q1596" s="42"/>
      <c r="R1596" s="3"/>
      <c r="S1596" s="358"/>
      <c r="T1596" s="42"/>
      <c r="U1596" s="3"/>
      <c r="V1596" s="41"/>
      <c r="W1596" s="42"/>
      <c r="X1596" s="3"/>
      <c r="Y1596" s="41"/>
      <c r="Z1596" s="243"/>
    </row>
    <row r="1597" spans="1:26">
      <c r="A1597" s="150">
        <v>46126</v>
      </c>
      <c r="B1597" s="350" t="s">
        <v>109</v>
      </c>
      <c r="C1597" s="42"/>
      <c r="D1597" s="353"/>
      <c r="E1597" s="41"/>
      <c r="F1597" s="42"/>
      <c r="G1597" s="3"/>
      <c r="H1597" s="96"/>
      <c r="I1597" s="41"/>
      <c r="J1597" s="42"/>
      <c r="K1597" s="3"/>
      <c r="L1597" s="96"/>
      <c r="M1597" s="41"/>
      <c r="N1597" s="42"/>
      <c r="O1597" s="3"/>
      <c r="P1597" s="358"/>
      <c r="Q1597" s="42"/>
      <c r="R1597" s="3"/>
      <c r="S1597" s="358"/>
      <c r="T1597" s="42"/>
      <c r="U1597" s="3"/>
      <c r="V1597" s="41"/>
      <c r="W1597" s="42"/>
      <c r="X1597" s="3"/>
      <c r="Y1597" s="41"/>
      <c r="Z1597" s="243"/>
    </row>
    <row r="1598" spans="1:26">
      <c r="A1598" s="150">
        <v>46127</v>
      </c>
      <c r="B1598" s="350" t="s">
        <v>110</v>
      </c>
      <c r="C1598" s="42"/>
      <c r="D1598" s="353"/>
      <c r="E1598" s="41"/>
      <c r="F1598" s="42"/>
      <c r="G1598" s="3"/>
      <c r="H1598" s="96"/>
      <c r="I1598" s="41"/>
      <c r="J1598" s="42"/>
      <c r="K1598" s="3"/>
      <c r="L1598" s="96"/>
      <c r="M1598" s="41"/>
      <c r="N1598" s="42"/>
      <c r="O1598" s="3"/>
      <c r="P1598" s="358"/>
      <c r="Q1598" s="42"/>
      <c r="R1598" s="3"/>
      <c r="S1598" s="358"/>
      <c r="T1598" s="42"/>
      <c r="U1598" s="3"/>
      <c r="V1598" s="41"/>
      <c r="W1598" s="42"/>
      <c r="X1598" s="3"/>
      <c r="Y1598" s="41"/>
      <c r="Z1598" s="243"/>
    </row>
    <row r="1599" spans="1:26">
      <c r="A1599" s="150">
        <v>46128</v>
      </c>
      <c r="B1599" s="350" t="s">
        <v>111</v>
      </c>
      <c r="C1599" s="42"/>
      <c r="D1599" s="353"/>
      <c r="E1599" s="41"/>
      <c r="F1599" s="42"/>
      <c r="G1599" s="3"/>
      <c r="H1599" s="96"/>
      <c r="I1599" s="41"/>
      <c r="J1599" s="42"/>
      <c r="K1599" s="3"/>
      <c r="L1599" s="96"/>
      <c r="M1599" s="41"/>
      <c r="N1599" s="42"/>
      <c r="O1599" s="3"/>
      <c r="P1599" s="358"/>
      <c r="Q1599" s="42"/>
      <c r="R1599" s="3"/>
      <c r="S1599" s="358"/>
      <c r="T1599" s="42"/>
      <c r="U1599" s="3"/>
      <c r="V1599" s="41"/>
      <c r="W1599" s="42"/>
      <c r="X1599" s="3"/>
      <c r="Y1599" s="41"/>
      <c r="Z1599" s="243"/>
    </row>
    <row r="1600" spans="1:26">
      <c r="A1600" s="150">
        <v>46129</v>
      </c>
      <c r="B1600" s="350" t="s">
        <v>106</v>
      </c>
      <c r="C1600" s="42"/>
      <c r="D1600" s="353"/>
      <c r="E1600" s="41"/>
      <c r="F1600" s="42"/>
      <c r="G1600" s="3"/>
      <c r="H1600" s="96"/>
      <c r="I1600" s="41"/>
      <c r="J1600" s="42"/>
      <c r="K1600" s="3"/>
      <c r="L1600" s="96"/>
      <c r="M1600" s="41"/>
      <c r="N1600" s="42"/>
      <c r="O1600" s="3"/>
      <c r="P1600" s="358"/>
      <c r="Q1600" s="42"/>
      <c r="R1600" s="3"/>
      <c r="S1600" s="358"/>
      <c r="T1600" s="42"/>
      <c r="U1600" s="3"/>
      <c r="V1600" s="41"/>
      <c r="W1600" s="42"/>
      <c r="X1600" s="3"/>
      <c r="Y1600" s="41"/>
      <c r="Z1600" s="243"/>
    </row>
    <row r="1601" spans="1:26">
      <c r="A1601" s="150">
        <v>46130</v>
      </c>
      <c r="B1601" s="350" t="s">
        <v>107</v>
      </c>
      <c r="C1601" s="42"/>
      <c r="D1601" s="353"/>
      <c r="E1601" s="41"/>
      <c r="F1601" s="42"/>
      <c r="G1601" s="3"/>
      <c r="H1601" s="96"/>
      <c r="I1601" s="41"/>
      <c r="J1601" s="42"/>
      <c r="K1601" s="3"/>
      <c r="L1601" s="96"/>
      <c r="M1601" s="41"/>
      <c r="N1601" s="42"/>
      <c r="O1601" s="3"/>
      <c r="P1601" s="358"/>
      <c r="Q1601" s="42"/>
      <c r="R1601" s="3"/>
      <c r="S1601" s="358"/>
      <c r="T1601" s="42"/>
      <c r="U1601" s="3"/>
      <c r="V1601" s="41"/>
      <c r="W1601" s="42"/>
      <c r="X1601" s="3"/>
      <c r="Y1601" s="41"/>
      <c r="Z1601" s="243"/>
    </row>
    <row r="1602" spans="1:26">
      <c r="A1602" s="150">
        <v>46131</v>
      </c>
      <c r="B1602" s="350" t="s">
        <v>36</v>
      </c>
      <c r="C1602" s="42"/>
      <c r="D1602" s="353"/>
      <c r="E1602" s="41"/>
      <c r="F1602" s="42"/>
      <c r="G1602" s="3"/>
      <c r="H1602" s="96"/>
      <c r="I1602" s="41"/>
      <c r="J1602" s="42"/>
      <c r="K1602" s="3"/>
      <c r="L1602" s="96"/>
      <c r="M1602" s="41"/>
      <c r="N1602" s="42"/>
      <c r="O1602" s="3"/>
      <c r="P1602" s="358"/>
      <c r="Q1602" s="42"/>
      <c r="R1602" s="3"/>
      <c r="S1602" s="358"/>
      <c r="T1602" s="42"/>
      <c r="U1602" s="3"/>
      <c r="V1602" s="41"/>
      <c r="W1602" s="42"/>
      <c r="X1602" s="3"/>
      <c r="Y1602" s="41"/>
      <c r="Z1602" s="243"/>
    </row>
    <row r="1603" spans="1:26">
      <c r="A1603" s="150">
        <v>46132</v>
      </c>
      <c r="B1603" s="350" t="s">
        <v>108</v>
      </c>
      <c r="C1603" s="42"/>
      <c r="D1603" s="353"/>
      <c r="E1603" s="41"/>
      <c r="F1603" s="42"/>
      <c r="G1603" s="3"/>
      <c r="H1603" s="96"/>
      <c r="I1603" s="41"/>
      <c r="J1603" s="42"/>
      <c r="K1603" s="3"/>
      <c r="L1603" s="96"/>
      <c r="M1603" s="41"/>
      <c r="N1603" s="42"/>
      <c r="O1603" s="3"/>
      <c r="P1603" s="358"/>
      <c r="Q1603" s="42"/>
      <c r="R1603" s="3"/>
      <c r="S1603" s="358"/>
      <c r="T1603" s="42"/>
      <c r="U1603" s="3"/>
      <c r="V1603" s="41"/>
      <c r="W1603" s="42"/>
      <c r="X1603" s="3"/>
      <c r="Y1603" s="41"/>
      <c r="Z1603" s="243"/>
    </row>
    <row r="1604" spans="1:26">
      <c r="A1604" s="150">
        <v>46133</v>
      </c>
      <c r="B1604" s="350" t="s">
        <v>109</v>
      </c>
      <c r="C1604" s="42"/>
      <c r="D1604" s="353"/>
      <c r="E1604" s="41"/>
      <c r="F1604" s="42"/>
      <c r="G1604" s="3"/>
      <c r="H1604" s="96"/>
      <c r="I1604" s="41"/>
      <c r="J1604" s="42"/>
      <c r="K1604" s="3"/>
      <c r="L1604" s="96"/>
      <c r="M1604" s="41"/>
      <c r="N1604" s="42"/>
      <c r="O1604" s="3"/>
      <c r="P1604" s="358"/>
      <c r="Q1604" s="42"/>
      <c r="R1604" s="3"/>
      <c r="S1604" s="358"/>
      <c r="T1604" s="42"/>
      <c r="U1604" s="3"/>
      <c r="V1604" s="41"/>
      <c r="W1604" s="42"/>
      <c r="X1604" s="3"/>
      <c r="Y1604" s="41"/>
      <c r="Z1604" s="243"/>
    </row>
    <row r="1605" spans="1:26">
      <c r="A1605" s="150">
        <v>46134</v>
      </c>
      <c r="B1605" s="350" t="s">
        <v>110</v>
      </c>
      <c r="C1605" s="42"/>
      <c r="D1605" s="353"/>
      <c r="E1605" s="41"/>
      <c r="F1605" s="42"/>
      <c r="G1605" s="3"/>
      <c r="H1605" s="96"/>
      <c r="I1605" s="41"/>
      <c r="J1605" s="42"/>
      <c r="K1605" s="3"/>
      <c r="L1605" s="96"/>
      <c r="M1605" s="41"/>
      <c r="N1605" s="42"/>
      <c r="O1605" s="3"/>
      <c r="P1605" s="358"/>
      <c r="Q1605" s="42"/>
      <c r="R1605" s="3"/>
      <c r="S1605" s="358"/>
      <c r="T1605" s="42"/>
      <c r="U1605" s="3"/>
      <c r="V1605" s="41"/>
      <c r="W1605" s="42"/>
      <c r="X1605" s="3"/>
      <c r="Y1605" s="41"/>
      <c r="Z1605" s="243"/>
    </row>
    <row r="1606" spans="1:26">
      <c r="A1606" s="150">
        <v>46135</v>
      </c>
      <c r="B1606" s="350" t="s">
        <v>111</v>
      </c>
      <c r="C1606" s="42"/>
      <c r="D1606" s="353"/>
      <c r="E1606" s="41"/>
      <c r="F1606" s="42"/>
      <c r="G1606" s="3"/>
      <c r="H1606" s="96"/>
      <c r="I1606" s="41"/>
      <c r="J1606" s="42"/>
      <c r="K1606" s="3"/>
      <c r="L1606" s="96"/>
      <c r="M1606" s="41"/>
      <c r="N1606" s="42"/>
      <c r="O1606" s="3"/>
      <c r="P1606" s="358"/>
      <c r="Q1606" s="42"/>
      <c r="R1606" s="3"/>
      <c r="S1606" s="358"/>
      <c r="T1606" s="42"/>
      <c r="U1606" s="3"/>
      <c r="V1606" s="41"/>
      <c r="W1606" s="42"/>
      <c r="X1606" s="3"/>
      <c r="Y1606" s="41"/>
      <c r="Z1606" s="243"/>
    </row>
    <row r="1607" spans="1:26">
      <c r="A1607" s="150">
        <v>46136</v>
      </c>
      <c r="B1607" s="350" t="s">
        <v>106</v>
      </c>
      <c r="C1607" s="42"/>
      <c r="D1607" s="353"/>
      <c r="E1607" s="41"/>
      <c r="F1607" s="42"/>
      <c r="G1607" s="3"/>
      <c r="H1607" s="96"/>
      <c r="I1607" s="41"/>
      <c r="J1607" s="42"/>
      <c r="K1607" s="3"/>
      <c r="L1607" s="96"/>
      <c r="M1607" s="41"/>
      <c r="N1607" s="42"/>
      <c r="O1607" s="3"/>
      <c r="P1607" s="358"/>
      <c r="Q1607" s="42"/>
      <c r="R1607" s="3"/>
      <c r="S1607" s="358"/>
      <c r="T1607" s="42"/>
      <c r="U1607" s="3"/>
      <c r="V1607" s="41"/>
      <c r="W1607" s="42"/>
      <c r="X1607" s="3"/>
      <c r="Y1607" s="41"/>
      <c r="Z1607" s="243"/>
    </row>
    <row r="1608" spans="1:26">
      <c r="A1608" s="150">
        <v>46137</v>
      </c>
      <c r="B1608" s="350" t="s">
        <v>107</v>
      </c>
      <c r="C1608" s="42"/>
      <c r="D1608" s="353"/>
      <c r="E1608" s="41"/>
      <c r="F1608" s="42"/>
      <c r="G1608" s="3"/>
      <c r="H1608" s="96"/>
      <c r="I1608" s="41"/>
      <c r="J1608" s="42"/>
      <c r="K1608" s="3"/>
      <c r="L1608" s="96"/>
      <c r="M1608" s="41"/>
      <c r="N1608" s="42"/>
      <c r="O1608" s="3"/>
      <c r="P1608" s="358"/>
      <c r="Q1608" s="42"/>
      <c r="R1608" s="3"/>
      <c r="S1608" s="358"/>
      <c r="T1608" s="42"/>
      <c r="U1608" s="3"/>
      <c r="V1608" s="41"/>
      <c r="W1608" s="42"/>
      <c r="X1608" s="3"/>
      <c r="Y1608" s="41"/>
      <c r="Z1608" s="243"/>
    </row>
    <row r="1609" spans="1:26">
      <c r="A1609" s="150">
        <v>46138</v>
      </c>
      <c r="B1609" s="350" t="s">
        <v>36</v>
      </c>
      <c r="C1609" s="42"/>
      <c r="D1609" s="353"/>
      <c r="E1609" s="41"/>
      <c r="F1609" s="42"/>
      <c r="G1609" s="3"/>
      <c r="H1609" s="96"/>
      <c r="I1609" s="41"/>
      <c r="J1609" s="42"/>
      <c r="K1609" s="3"/>
      <c r="L1609" s="96"/>
      <c r="M1609" s="41"/>
      <c r="N1609" s="42"/>
      <c r="O1609" s="3"/>
      <c r="P1609" s="358"/>
      <c r="Q1609" s="42"/>
      <c r="R1609" s="3"/>
      <c r="S1609" s="358"/>
      <c r="T1609" s="42"/>
      <c r="U1609" s="3"/>
      <c r="V1609" s="41"/>
      <c r="W1609" s="42"/>
      <c r="X1609" s="3"/>
      <c r="Y1609" s="41"/>
      <c r="Z1609" s="243"/>
    </row>
    <row r="1610" spans="1:26">
      <c r="A1610" s="150">
        <v>46139</v>
      </c>
      <c r="B1610" s="350" t="s">
        <v>108</v>
      </c>
      <c r="C1610" s="42"/>
      <c r="D1610" s="353"/>
      <c r="E1610" s="41"/>
      <c r="F1610" s="42"/>
      <c r="G1610" s="3"/>
      <c r="H1610" s="96"/>
      <c r="I1610" s="41"/>
      <c r="J1610" s="42"/>
      <c r="K1610" s="3"/>
      <c r="L1610" s="96"/>
      <c r="M1610" s="41"/>
      <c r="N1610" s="42"/>
      <c r="O1610" s="3"/>
      <c r="P1610" s="358"/>
      <c r="Q1610" s="42"/>
      <c r="R1610" s="3"/>
      <c r="S1610" s="358"/>
      <c r="T1610" s="42"/>
      <c r="U1610" s="3"/>
      <c r="V1610" s="41"/>
      <c r="W1610" s="42"/>
      <c r="X1610" s="3"/>
      <c r="Y1610" s="41"/>
      <c r="Z1610" s="243"/>
    </row>
    <row r="1611" spans="1:26">
      <c r="A1611" s="150">
        <v>46140</v>
      </c>
      <c r="B1611" s="350" t="s">
        <v>109</v>
      </c>
      <c r="C1611" s="42"/>
      <c r="D1611" s="353"/>
      <c r="E1611" s="41"/>
      <c r="F1611" s="42"/>
      <c r="G1611" s="3"/>
      <c r="H1611" s="96"/>
      <c r="I1611" s="41"/>
      <c r="J1611" s="42"/>
      <c r="K1611" s="3"/>
      <c r="L1611" s="96"/>
      <c r="M1611" s="41"/>
      <c r="N1611" s="42"/>
      <c r="O1611" s="3"/>
      <c r="P1611" s="358"/>
      <c r="Q1611" s="42"/>
      <c r="R1611" s="3"/>
      <c r="S1611" s="358"/>
      <c r="T1611" s="42"/>
      <c r="U1611" s="3"/>
      <c r="V1611" s="41"/>
      <c r="W1611" s="42"/>
      <c r="X1611" s="3"/>
      <c r="Y1611" s="41"/>
      <c r="Z1611" s="243"/>
    </row>
    <row r="1612" spans="1:26">
      <c r="A1612" s="150">
        <v>46141</v>
      </c>
      <c r="B1612" s="350" t="s">
        <v>110</v>
      </c>
      <c r="C1612" s="42"/>
      <c r="D1612" s="353"/>
      <c r="E1612" s="41"/>
      <c r="F1612" s="42"/>
      <c r="G1612" s="3"/>
      <c r="H1612" s="96"/>
      <c r="I1612" s="41"/>
      <c r="J1612" s="42"/>
      <c r="K1612" s="3"/>
      <c r="L1612" s="96"/>
      <c r="M1612" s="41"/>
      <c r="N1612" s="42"/>
      <c r="O1612" s="3"/>
      <c r="P1612" s="358"/>
      <c r="Q1612" s="42"/>
      <c r="R1612" s="3"/>
      <c r="S1612" s="358"/>
      <c r="T1612" s="42"/>
      <c r="U1612" s="3"/>
      <c r="V1612" s="41"/>
      <c r="W1612" s="42"/>
      <c r="X1612" s="3"/>
      <c r="Y1612" s="41"/>
      <c r="Z1612" s="243"/>
    </row>
    <row r="1613" spans="1:26">
      <c r="A1613" s="150">
        <v>46142</v>
      </c>
      <c r="B1613" s="350" t="s">
        <v>111</v>
      </c>
      <c r="C1613" s="42"/>
      <c r="D1613" s="353"/>
      <c r="E1613" s="41"/>
      <c r="F1613" s="42"/>
      <c r="G1613" s="3"/>
      <c r="H1613" s="96"/>
      <c r="I1613" s="41"/>
      <c r="J1613" s="42"/>
      <c r="K1613" s="3"/>
      <c r="L1613" s="96"/>
      <c r="M1613" s="41"/>
      <c r="N1613" s="42"/>
      <c r="O1613" s="3"/>
      <c r="P1613" s="358"/>
      <c r="Q1613" s="42"/>
      <c r="R1613" s="3"/>
      <c r="S1613" s="358"/>
      <c r="T1613" s="42"/>
      <c r="U1613" s="3"/>
      <c r="V1613" s="41"/>
      <c r="W1613" s="42"/>
      <c r="X1613" s="3"/>
      <c r="Y1613" s="41"/>
      <c r="Z1613" s="243"/>
    </row>
    <row r="1614" spans="1:26">
      <c r="A1614" s="150">
        <v>46143</v>
      </c>
      <c r="B1614" s="350" t="s">
        <v>106</v>
      </c>
      <c r="C1614" s="42"/>
      <c r="D1614" s="353"/>
      <c r="E1614" s="41"/>
      <c r="F1614" s="42"/>
      <c r="G1614" s="3"/>
      <c r="H1614" s="96"/>
      <c r="I1614" s="41"/>
      <c r="J1614" s="42"/>
      <c r="K1614" s="3"/>
      <c r="L1614" s="96"/>
      <c r="M1614" s="41"/>
      <c r="N1614" s="42"/>
      <c r="O1614" s="3"/>
      <c r="P1614" s="358"/>
      <c r="Q1614" s="42"/>
      <c r="R1614" s="3"/>
      <c r="S1614" s="358"/>
      <c r="T1614" s="42"/>
      <c r="U1614" s="3"/>
      <c r="V1614" s="41"/>
      <c r="W1614" s="42"/>
      <c r="X1614" s="3"/>
      <c r="Y1614" s="41"/>
      <c r="Z1614" s="243"/>
    </row>
    <row r="1615" spans="1:26">
      <c r="A1615" s="150">
        <v>46144</v>
      </c>
      <c r="B1615" s="350" t="s">
        <v>107</v>
      </c>
      <c r="C1615" s="42"/>
      <c r="D1615" s="353"/>
      <c r="E1615" s="41"/>
      <c r="F1615" s="42"/>
      <c r="G1615" s="3"/>
      <c r="H1615" s="96"/>
      <c r="I1615" s="41"/>
      <c r="J1615" s="42"/>
      <c r="K1615" s="3"/>
      <c r="L1615" s="96"/>
      <c r="M1615" s="41"/>
      <c r="N1615" s="42"/>
      <c r="O1615" s="3"/>
      <c r="P1615" s="358"/>
      <c r="Q1615" s="42"/>
      <c r="R1615" s="3"/>
      <c r="S1615" s="358"/>
      <c r="T1615" s="42"/>
      <c r="U1615" s="3"/>
      <c r="V1615" s="41"/>
      <c r="W1615" s="42"/>
      <c r="X1615" s="3"/>
      <c r="Y1615" s="41"/>
      <c r="Z1615" s="243"/>
    </row>
    <row r="1616" spans="1:26">
      <c r="A1616" s="150">
        <v>46145</v>
      </c>
      <c r="B1616" s="350" t="s">
        <v>36</v>
      </c>
      <c r="C1616" s="42"/>
      <c r="D1616" s="353"/>
      <c r="E1616" s="41"/>
      <c r="F1616" s="42"/>
      <c r="G1616" s="3"/>
      <c r="H1616" s="96"/>
      <c r="I1616" s="41"/>
      <c r="J1616" s="42"/>
      <c r="K1616" s="3"/>
      <c r="L1616" s="96"/>
      <c r="M1616" s="41"/>
      <c r="N1616" s="42"/>
      <c r="O1616" s="3"/>
      <c r="P1616" s="358"/>
      <c r="Q1616" s="42"/>
      <c r="R1616" s="3"/>
      <c r="S1616" s="358"/>
      <c r="T1616" s="42"/>
      <c r="U1616" s="3"/>
      <c r="V1616" s="41"/>
      <c r="W1616" s="42"/>
      <c r="X1616" s="3"/>
      <c r="Y1616" s="41"/>
      <c r="Z1616" s="243"/>
    </row>
    <row r="1617" spans="1:26">
      <c r="A1617" s="150">
        <v>46146</v>
      </c>
      <c r="B1617" s="350" t="s">
        <v>108</v>
      </c>
      <c r="C1617" s="42"/>
      <c r="D1617" s="353"/>
      <c r="E1617" s="41"/>
      <c r="F1617" s="42"/>
      <c r="G1617" s="3"/>
      <c r="H1617" s="96"/>
      <c r="I1617" s="41"/>
      <c r="J1617" s="42"/>
      <c r="K1617" s="3"/>
      <c r="L1617" s="96"/>
      <c r="M1617" s="41"/>
      <c r="N1617" s="42"/>
      <c r="O1617" s="3"/>
      <c r="P1617" s="358"/>
      <c r="Q1617" s="42"/>
      <c r="R1617" s="3"/>
      <c r="S1617" s="358"/>
      <c r="T1617" s="42"/>
      <c r="U1617" s="3"/>
      <c r="V1617" s="41"/>
      <c r="W1617" s="42"/>
      <c r="X1617" s="3"/>
      <c r="Y1617" s="41"/>
      <c r="Z1617" s="243"/>
    </row>
    <row r="1618" spans="1:26">
      <c r="A1618" s="150">
        <v>46147</v>
      </c>
      <c r="B1618" s="350" t="s">
        <v>109</v>
      </c>
      <c r="C1618" s="42"/>
      <c r="D1618" s="353"/>
      <c r="E1618" s="41"/>
      <c r="F1618" s="42"/>
      <c r="G1618" s="3"/>
      <c r="H1618" s="96"/>
      <c r="I1618" s="41"/>
      <c r="J1618" s="42"/>
      <c r="K1618" s="3"/>
      <c r="L1618" s="96"/>
      <c r="M1618" s="41"/>
      <c r="N1618" s="42"/>
      <c r="O1618" s="3"/>
      <c r="P1618" s="358"/>
      <c r="Q1618" s="42"/>
      <c r="R1618" s="3"/>
      <c r="S1618" s="358"/>
      <c r="T1618" s="42"/>
      <c r="U1618" s="3"/>
      <c r="V1618" s="41"/>
      <c r="W1618" s="42"/>
      <c r="X1618" s="3"/>
      <c r="Y1618" s="41"/>
      <c r="Z1618" s="243"/>
    </row>
    <row r="1619" spans="1:26">
      <c r="A1619" s="150">
        <v>46148</v>
      </c>
      <c r="B1619" s="350" t="s">
        <v>110</v>
      </c>
      <c r="C1619" s="42"/>
      <c r="D1619" s="353"/>
      <c r="E1619" s="41"/>
      <c r="F1619" s="42"/>
      <c r="G1619" s="3"/>
      <c r="H1619" s="96"/>
      <c r="I1619" s="41"/>
      <c r="J1619" s="42"/>
      <c r="K1619" s="3"/>
      <c r="L1619" s="96"/>
      <c r="M1619" s="41"/>
      <c r="N1619" s="42"/>
      <c r="O1619" s="3"/>
      <c r="P1619" s="358"/>
      <c r="Q1619" s="42"/>
      <c r="R1619" s="3"/>
      <c r="S1619" s="358"/>
      <c r="T1619" s="42"/>
      <c r="U1619" s="3"/>
      <c r="V1619" s="41"/>
      <c r="W1619" s="42"/>
      <c r="X1619" s="3"/>
      <c r="Y1619" s="41"/>
      <c r="Z1619" s="243"/>
    </row>
    <row r="1620" spans="1:26">
      <c r="A1620" s="150">
        <v>46149</v>
      </c>
      <c r="B1620" s="350" t="s">
        <v>111</v>
      </c>
      <c r="C1620" s="42"/>
      <c r="D1620" s="353"/>
      <c r="E1620" s="41"/>
      <c r="F1620" s="42"/>
      <c r="G1620" s="3"/>
      <c r="H1620" s="96"/>
      <c r="I1620" s="41"/>
      <c r="J1620" s="42"/>
      <c r="K1620" s="3"/>
      <c r="L1620" s="96"/>
      <c r="M1620" s="41"/>
      <c r="N1620" s="42"/>
      <c r="O1620" s="3"/>
      <c r="P1620" s="358"/>
      <c r="Q1620" s="42"/>
      <c r="R1620" s="3"/>
      <c r="S1620" s="358"/>
      <c r="T1620" s="42"/>
      <c r="U1620" s="3"/>
      <c r="V1620" s="41"/>
      <c r="W1620" s="42"/>
      <c r="X1620" s="3"/>
      <c r="Y1620" s="41"/>
      <c r="Z1620" s="243"/>
    </row>
    <row r="1621" spans="1:26">
      <c r="A1621" s="150">
        <v>46150</v>
      </c>
      <c r="B1621" s="350" t="s">
        <v>106</v>
      </c>
      <c r="C1621" s="42"/>
      <c r="D1621" s="353"/>
      <c r="E1621" s="41"/>
      <c r="F1621" s="42"/>
      <c r="G1621" s="3"/>
      <c r="H1621" s="96"/>
      <c r="I1621" s="41"/>
      <c r="J1621" s="42"/>
      <c r="K1621" s="3"/>
      <c r="L1621" s="96"/>
      <c r="M1621" s="41"/>
      <c r="N1621" s="42"/>
      <c r="O1621" s="3"/>
      <c r="P1621" s="358"/>
      <c r="Q1621" s="42"/>
      <c r="R1621" s="3"/>
      <c r="S1621" s="358"/>
      <c r="T1621" s="42"/>
      <c r="U1621" s="3"/>
      <c r="V1621" s="41"/>
      <c r="W1621" s="42"/>
      <c r="X1621" s="3"/>
      <c r="Y1621" s="41"/>
      <c r="Z1621" s="243"/>
    </row>
    <row r="1622" spans="1:26">
      <c r="A1622" s="150">
        <v>46151</v>
      </c>
      <c r="B1622" s="350" t="s">
        <v>107</v>
      </c>
      <c r="C1622" s="42"/>
      <c r="D1622" s="353"/>
      <c r="E1622" s="41"/>
      <c r="F1622" s="42"/>
      <c r="G1622" s="3"/>
      <c r="H1622" s="96"/>
      <c r="I1622" s="41"/>
      <c r="J1622" s="42"/>
      <c r="K1622" s="3"/>
      <c r="L1622" s="96"/>
      <c r="M1622" s="41"/>
      <c r="N1622" s="42"/>
      <c r="O1622" s="3"/>
      <c r="P1622" s="358"/>
      <c r="Q1622" s="42"/>
      <c r="R1622" s="3"/>
      <c r="S1622" s="358"/>
      <c r="T1622" s="42"/>
      <c r="U1622" s="3"/>
      <c r="V1622" s="41"/>
      <c r="W1622" s="42"/>
      <c r="X1622" s="3"/>
      <c r="Y1622" s="41"/>
      <c r="Z1622" s="243"/>
    </row>
    <row r="1623" spans="1:26">
      <c r="A1623" s="150">
        <v>46152</v>
      </c>
      <c r="B1623" s="350" t="s">
        <v>36</v>
      </c>
      <c r="C1623" s="42"/>
      <c r="D1623" s="353"/>
      <c r="E1623" s="41"/>
      <c r="F1623" s="42"/>
      <c r="G1623" s="3"/>
      <c r="H1623" s="96"/>
      <c r="I1623" s="41"/>
      <c r="J1623" s="42"/>
      <c r="K1623" s="3"/>
      <c r="L1623" s="96"/>
      <c r="M1623" s="41"/>
      <c r="N1623" s="42"/>
      <c r="O1623" s="3"/>
      <c r="P1623" s="358"/>
      <c r="Q1623" s="42"/>
      <c r="R1623" s="3"/>
      <c r="S1623" s="358"/>
      <c r="T1623" s="42"/>
      <c r="U1623" s="3"/>
      <c r="V1623" s="41"/>
      <c r="W1623" s="42"/>
      <c r="X1623" s="3"/>
      <c r="Y1623" s="41"/>
      <c r="Z1623" s="243"/>
    </row>
    <row r="1624" spans="1:26">
      <c r="A1624" s="150">
        <v>46153</v>
      </c>
      <c r="B1624" s="350" t="s">
        <v>108</v>
      </c>
      <c r="C1624" s="42"/>
      <c r="D1624" s="353"/>
      <c r="E1624" s="41"/>
      <c r="F1624" s="42"/>
      <c r="G1624" s="3"/>
      <c r="H1624" s="96"/>
      <c r="I1624" s="41"/>
      <c r="J1624" s="42"/>
      <c r="K1624" s="3"/>
      <c r="L1624" s="96"/>
      <c r="M1624" s="41"/>
      <c r="N1624" s="42"/>
      <c r="O1624" s="3"/>
      <c r="P1624" s="358"/>
      <c r="Q1624" s="42"/>
      <c r="R1624" s="3"/>
      <c r="S1624" s="358"/>
      <c r="T1624" s="42"/>
      <c r="U1624" s="3"/>
      <c r="V1624" s="41"/>
      <c r="W1624" s="42"/>
      <c r="X1624" s="3"/>
      <c r="Y1624" s="41"/>
      <c r="Z1624" s="243"/>
    </row>
    <row r="1625" spans="1:26">
      <c r="A1625" s="150">
        <v>46154</v>
      </c>
      <c r="B1625" s="350" t="s">
        <v>109</v>
      </c>
      <c r="C1625" s="42"/>
      <c r="D1625" s="353"/>
      <c r="E1625" s="41"/>
      <c r="F1625" s="42"/>
      <c r="G1625" s="3"/>
      <c r="H1625" s="96"/>
      <c r="I1625" s="41"/>
      <c r="J1625" s="42"/>
      <c r="K1625" s="3"/>
      <c r="L1625" s="96"/>
      <c r="M1625" s="41"/>
      <c r="N1625" s="42"/>
      <c r="O1625" s="3"/>
      <c r="P1625" s="358"/>
      <c r="Q1625" s="42"/>
      <c r="R1625" s="3"/>
      <c r="S1625" s="358"/>
      <c r="T1625" s="42"/>
      <c r="U1625" s="3"/>
      <c r="V1625" s="41"/>
      <c r="W1625" s="42"/>
      <c r="X1625" s="3"/>
      <c r="Y1625" s="41"/>
      <c r="Z1625" s="243"/>
    </row>
    <row r="1626" spans="1:26">
      <c r="A1626" s="150">
        <v>46155</v>
      </c>
      <c r="B1626" s="350" t="s">
        <v>110</v>
      </c>
      <c r="C1626" s="42"/>
      <c r="D1626" s="353"/>
      <c r="E1626" s="41"/>
      <c r="F1626" s="42"/>
      <c r="G1626" s="3"/>
      <c r="H1626" s="96"/>
      <c r="I1626" s="41"/>
      <c r="J1626" s="42"/>
      <c r="K1626" s="3"/>
      <c r="L1626" s="96"/>
      <c r="M1626" s="41"/>
      <c r="N1626" s="42"/>
      <c r="O1626" s="3"/>
      <c r="P1626" s="358"/>
      <c r="Q1626" s="42"/>
      <c r="R1626" s="3"/>
      <c r="S1626" s="358"/>
      <c r="T1626" s="42"/>
      <c r="U1626" s="3"/>
      <c r="V1626" s="41"/>
      <c r="W1626" s="42"/>
      <c r="X1626" s="3"/>
      <c r="Y1626" s="41"/>
      <c r="Z1626" s="243"/>
    </row>
    <row r="1627" spans="1:26">
      <c r="A1627" s="150">
        <v>46156</v>
      </c>
      <c r="B1627" s="350" t="s">
        <v>111</v>
      </c>
      <c r="C1627" s="42"/>
      <c r="D1627" s="353"/>
      <c r="E1627" s="41"/>
      <c r="F1627" s="42"/>
      <c r="G1627" s="3"/>
      <c r="H1627" s="96"/>
      <c r="I1627" s="41"/>
      <c r="J1627" s="42"/>
      <c r="K1627" s="3"/>
      <c r="L1627" s="96"/>
      <c r="M1627" s="41"/>
      <c r="N1627" s="42"/>
      <c r="O1627" s="3"/>
      <c r="P1627" s="358"/>
      <c r="Q1627" s="42"/>
      <c r="R1627" s="3"/>
      <c r="S1627" s="358"/>
      <c r="T1627" s="42"/>
      <c r="U1627" s="3"/>
      <c r="V1627" s="41"/>
      <c r="W1627" s="42"/>
      <c r="X1627" s="3"/>
      <c r="Y1627" s="41"/>
      <c r="Z1627" s="243"/>
    </row>
    <row r="1628" spans="1:26">
      <c r="A1628" s="150">
        <v>46157</v>
      </c>
      <c r="B1628" s="377" t="s">
        <v>106</v>
      </c>
      <c r="C1628" s="243"/>
      <c r="D1628" s="353"/>
      <c r="E1628" s="41"/>
      <c r="F1628" s="42"/>
      <c r="G1628" s="3"/>
      <c r="H1628" s="96"/>
      <c r="I1628" s="41"/>
      <c r="J1628" s="42"/>
      <c r="K1628" s="3"/>
      <c r="L1628" s="96"/>
      <c r="M1628" s="41"/>
      <c r="N1628" s="42"/>
      <c r="O1628" s="3"/>
      <c r="P1628" s="358"/>
      <c r="Q1628" s="42"/>
      <c r="R1628" s="3"/>
      <c r="S1628" s="358"/>
      <c r="T1628" s="42"/>
      <c r="U1628" s="3"/>
      <c r="V1628" s="41"/>
      <c r="W1628" s="42"/>
      <c r="X1628" s="3"/>
      <c r="Y1628" s="41"/>
      <c r="Z1628" s="243"/>
    </row>
    <row r="1629" spans="1:26">
      <c r="C1629" s="146"/>
      <c r="E1629" s="147"/>
      <c r="F1629" s="146"/>
      <c r="I1629" s="147"/>
      <c r="J1629" s="146"/>
      <c r="M1629" s="147"/>
      <c r="N1629" s="146"/>
      <c r="Q1629" s="146"/>
      <c r="T1629" s="146"/>
      <c r="V1629" s="147"/>
      <c r="W1629" s="146"/>
      <c r="Y1629" s="147"/>
    </row>
    <row r="1630" spans="1:26">
      <c r="C1630" s="146"/>
      <c r="E1630" s="147"/>
      <c r="F1630" s="146"/>
      <c r="I1630" s="147"/>
      <c r="J1630" s="146"/>
      <c r="M1630" s="147"/>
      <c r="N1630" s="146"/>
      <c r="Q1630" s="146"/>
      <c r="T1630" s="146"/>
      <c r="V1630" s="147"/>
      <c r="W1630" s="146"/>
      <c r="Y1630" s="147"/>
    </row>
    <row r="1631" spans="1:26">
      <c r="C1631" s="146"/>
      <c r="E1631" s="147"/>
      <c r="F1631" s="146"/>
      <c r="I1631" s="147"/>
      <c r="J1631" s="146"/>
      <c r="M1631" s="147"/>
      <c r="N1631" s="146"/>
      <c r="Q1631" s="146"/>
      <c r="T1631" s="146"/>
      <c r="V1631" s="147"/>
      <c r="W1631" s="146"/>
      <c r="Y1631" s="147"/>
    </row>
    <row r="1632" spans="1:26">
      <c r="C1632" s="146"/>
      <c r="E1632" s="147"/>
      <c r="F1632" s="146"/>
      <c r="I1632" s="147"/>
      <c r="J1632" s="146"/>
      <c r="M1632" s="147"/>
      <c r="N1632" s="146"/>
      <c r="Q1632" s="146"/>
      <c r="T1632" s="146"/>
      <c r="V1632" s="147"/>
      <c r="W1632" s="146"/>
      <c r="Y1632" s="147"/>
    </row>
    <row r="1633" spans="3:25">
      <c r="C1633" s="146"/>
      <c r="E1633" s="147"/>
      <c r="F1633" s="146"/>
      <c r="I1633" s="147"/>
      <c r="J1633" s="146"/>
      <c r="M1633" s="147"/>
      <c r="N1633" s="146"/>
      <c r="Q1633" s="146"/>
      <c r="T1633" s="146"/>
      <c r="V1633" s="147"/>
      <c r="W1633" s="146"/>
      <c r="Y1633" s="147"/>
    </row>
    <row r="1634" spans="3:25">
      <c r="C1634" s="146"/>
      <c r="E1634" s="147"/>
      <c r="F1634" s="146"/>
      <c r="I1634" s="147"/>
      <c r="J1634" s="146"/>
      <c r="M1634" s="147"/>
      <c r="N1634" s="146"/>
      <c r="Q1634" s="146"/>
      <c r="T1634" s="146"/>
      <c r="V1634" s="147"/>
      <c r="W1634" s="146"/>
      <c r="Y1634" s="147"/>
    </row>
    <row r="1635" spans="3:25">
      <c r="C1635" s="146"/>
      <c r="E1635" s="147"/>
      <c r="F1635" s="146"/>
      <c r="I1635" s="147"/>
      <c r="J1635" s="146"/>
      <c r="M1635" s="147"/>
      <c r="N1635" s="146"/>
      <c r="Q1635" s="146"/>
      <c r="T1635" s="146"/>
      <c r="V1635" s="147"/>
      <c r="W1635" s="146"/>
      <c r="Y1635" s="147"/>
    </row>
    <row r="1636" spans="3:25">
      <c r="C1636" s="146"/>
      <c r="E1636" s="147"/>
      <c r="F1636" s="146"/>
      <c r="I1636" s="147"/>
      <c r="J1636" s="146"/>
      <c r="M1636" s="147"/>
      <c r="N1636" s="146"/>
      <c r="Q1636" s="146"/>
      <c r="T1636" s="146"/>
      <c r="V1636" s="147"/>
      <c r="W1636" s="146"/>
      <c r="Y1636" s="147"/>
    </row>
    <row r="1637" spans="3:25">
      <c r="C1637" s="146"/>
      <c r="E1637" s="147"/>
      <c r="F1637" s="146"/>
      <c r="I1637" s="147"/>
      <c r="J1637" s="146"/>
      <c r="M1637" s="147"/>
      <c r="N1637" s="146"/>
      <c r="Q1637" s="146"/>
      <c r="T1637" s="146"/>
      <c r="V1637" s="147"/>
      <c r="W1637" s="146"/>
      <c r="Y1637" s="147"/>
    </row>
    <row r="1638" spans="3:25">
      <c r="C1638" s="146"/>
      <c r="E1638" s="147"/>
      <c r="F1638" s="146"/>
      <c r="I1638" s="147"/>
      <c r="J1638" s="146"/>
      <c r="M1638" s="147"/>
      <c r="N1638" s="146"/>
      <c r="Q1638" s="146"/>
      <c r="T1638" s="146"/>
      <c r="V1638" s="147"/>
      <c r="W1638" s="146"/>
      <c r="Y1638" s="147"/>
    </row>
    <row r="1639" spans="3:25">
      <c r="C1639" s="146"/>
      <c r="E1639" s="147"/>
      <c r="F1639" s="146"/>
      <c r="I1639" s="147"/>
      <c r="J1639" s="146"/>
      <c r="M1639" s="147"/>
      <c r="N1639" s="146"/>
      <c r="Q1639" s="146"/>
      <c r="T1639" s="146"/>
      <c r="V1639" s="147"/>
      <c r="W1639" s="146"/>
      <c r="Y1639" s="147"/>
    </row>
    <row r="1640" spans="3:25">
      <c r="C1640" s="146"/>
      <c r="E1640" s="147"/>
      <c r="F1640" s="146"/>
      <c r="I1640" s="147"/>
      <c r="J1640" s="146"/>
      <c r="M1640" s="147"/>
      <c r="N1640" s="146"/>
      <c r="Q1640" s="146"/>
      <c r="T1640" s="146"/>
      <c r="V1640" s="147"/>
      <c r="W1640" s="146"/>
      <c r="Y1640" s="147"/>
    </row>
    <row r="1641" spans="3:25">
      <c r="C1641" s="146"/>
      <c r="E1641" s="147"/>
      <c r="F1641" s="146"/>
      <c r="I1641" s="147"/>
      <c r="J1641" s="146"/>
      <c r="M1641" s="147"/>
      <c r="N1641" s="146"/>
      <c r="Q1641" s="146"/>
      <c r="T1641" s="146"/>
      <c r="V1641" s="147"/>
      <c r="W1641" s="146"/>
      <c r="Y1641" s="147"/>
    </row>
    <row r="1642" spans="3:25">
      <c r="C1642" s="146"/>
      <c r="E1642" s="147"/>
      <c r="F1642" s="146"/>
      <c r="I1642" s="147"/>
      <c r="J1642" s="146"/>
      <c r="M1642" s="147"/>
      <c r="N1642" s="146"/>
      <c r="Q1642" s="146"/>
      <c r="T1642" s="146"/>
      <c r="V1642" s="147"/>
      <c r="W1642" s="146"/>
      <c r="Y1642" s="147"/>
    </row>
    <row r="1643" spans="3:25">
      <c r="C1643" s="146"/>
      <c r="E1643" s="147"/>
      <c r="F1643" s="146"/>
      <c r="I1643" s="147"/>
      <c r="J1643" s="146"/>
      <c r="M1643" s="147"/>
      <c r="N1643" s="146"/>
      <c r="Q1643" s="146"/>
      <c r="T1643" s="146"/>
      <c r="V1643" s="147"/>
      <c r="W1643" s="146"/>
      <c r="Y1643" s="147"/>
    </row>
    <row r="1644" spans="3:25">
      <c r="C1644" s="146"/>
      <c r="E1644" s="147"/>
      <c r="F1644" s="146"/>
      <c r="I1644" s="147"/>
      <c r="J1644" s="146"/>
      <c r="M1644" s="147"/>
      <c r="N1644" s="146"/>
      <c r="Q1644" s="146"/>
      <c r="T1644" s="146"/>
      <c r="V1644" s="147"/>
      <c r="W1644" s="146"/>
      <c r="Y1644" s="147"/>
    </row>
    <row r="1645" spans="3:25">
      <c r="C1645" s="146"/>
      <c r="E1645" s="147"/>
      <c r="F1645" s="146"/>
      <c r="I1645" s="147"/>
      <c r="J1645" s="146"/>
      <c r="M1645" s="147"/>
      <c r="N1645" s="146"/>
      <c r="Q1645" s="146"/>
      <c r="T1645" s="146"/>
      <c r="V1645" s="147"/>
      <c r="W1645" s="146"/>
      <c r="Y1645" s="147"/>
    </row>
    <row r="1646" spans="3:25">
      <c r="C1646" s="146"/>
      <c r="E1646" s="147"/>
      <c r="F1646" s="146"/>
      <c r="I1646" s="147"/>
      <c r="J1646" s="146"/>
      <c r="M1646" s="147"/>
      <c r="N1646" s="146"/>
      <c r="Q1646" s="146"/>
      <c r="T1646" s="146"/>
      <c r="V1646" s="147"/>
      <c r="W1646" s="146"/>
      <c r="Y1646" s="147"/>
    </row>
    <row r="1647" spans="3:25">
      <c r="C1647" s="146"/>
      <c r="E1647" s="147"/>
      <c r="F1647" s="146"/>
      <c r="I1647" s="147"/>
      <c r="J1647" s="146"/>
      <c r="M1647" s="147"/>
      <c r="N1647" s="146"/>
      <c r="Q1647" s="146"/>
      <c r="T1647" s="146"/>
      <c r="V1647" s="147"/>
      <c r="W1647" s="146"/>
      <c r="Y1647" s="147"/>
    </row>
    <row r="1648" spans="3:25">
      <c r="C1648" s="146"/>
      <c r="E1648" s="147"/>
      <c r="F1648" s="146"/>
      <c r="I1648" s="147"/>
      <c r="J1648" s="146"/>
      <c r="M1648" s="147"/>
      <c r="N1648" s="146"/>
      <c r="Q1648" s="146"/>
      <c r="T1648" s="146"/>
      <c r="V1648" s="147"/>
      <c r="W1648" s="146"/>
      <c r="Y1648" s="147"/>
    </row>
    <row r="1649" spans="3:25">
      <c r="C1649" s="146"/>
      <c r="E1649" s="147"/>
      <c r="F1649" s="146"/>
      <c r="I1649" s="147"/>
      <c r="J1649" s="146"/>
      <c r="M1649" s="147"/>
      <c r="N1649" s="146"/>
      <c r="Q1649" s="146"/>
      <c r="T1649" s="146"/>
      <c r="V1649" s="147"/>
      <c r="W1649" s="146"/>
      <c r="Y1649" s="147"/>
    </row>
    <row r="1650" spans="3:25">
      <c r="C1650" s="146"/>
      <c r="E1650" s="147"/>
      <c r="F1650" s="146"/>
      <c r="I1650" s="147"/>
      <c r="J1650" s="146"/>
      <c r="M1650" s="147"/>
      <c r="N1650" s="146"/>
      <c r="Q1650" s="146"/>
      <c r="T1650" s="146"/>
      <c r="V1650" s="147"/>
      <c r="W1650" s="146"/>
      <c r="Y1650" s="147"/>
    </row>
    <row r="1651" spans="3:25">
      <c r="C1651" s="146"/>
      <c r="E1651" s="147"/>
      <c r="F1651" s="146"/>
      <c r="I1651" s="147"/>
      <c r="J1651" s="146"/>
      <c r="M1651" s="147"/>
      <c r="N1651" s="146"/>
      <c r="Q1651" s="146"/>
      <c r="T1651" s="146"/>
      <c r="V1651" s="147"/>
      <c r="W1651" s="146"/>
      <c r="Y1651" s="147"/>
    </row>
    <row r="1652" spans="3:25">
      <c r="C1652" s="146"/>
      <c r="E1652" s="147"/>
      <c r="F1652" s="146"/>
      <c r="I1652" s="147"/>
      <c r="J1652" s="146"/>
      <c r="M1652" s="147"/>
      <c r="N1652" s="146"/>
      <c r="Q1652" s="146"/>
      <c r="T1652" s="146"/>
      <c r="V1652" s="147"/>
      <c r="W1652" s="146"/>
      <c r="Y1652" s="147"/>
    </row>
    <row r="1653" spans="3:25">
      <c r="C1653" s="146"/>
      <c r="E1653" s="147"/>
      <c r="F1653" s="146"/>
      <c r="I1653" s="147"/>
      <c r="J1653" s="146"/>
      <c r="M1653" s="147"/>
      <c r="N1653" s="146"/>
      <c r="Q1653" s="146"/>
      <c r="T1653" s="146"/>
      <c r="V1653" s="147"/>
      <c r="W1653" s="146"/>
      <c r="Y1653" s="147"/>
    </row>
    <row r="1654" spans="3:25">
      <c r="C1654" s="146"/>
      <c r="E1654" s="147"/>
      <c r="F1654" s="146"/>
      <c r="I1654" s="147"/>
      <c r="J1654" s="146"/>
      <c r="M1654" s="147"/>
      <c r="N1654" s="146"/>
      <c r="Q1654" s="146"/>
      <c r="T1654" s="146"/>
      <c r="V1654" s="147"/>
      <c r="W1654" s="146"/>
      <c r="Y1654" s="147"/>
    </row>
    <row r="1655" spans="3:25">
      <c r="C1655" s="146"/>
      <c r="E1655" s="147"/>
      <c r="F1655" s="146"/>
      <c r="I1655" s="147"/>
      <c r="J1655" s="146"/>
      <c r="M1655" s="147"/>
      <c r="N1655" s="146"/>
      <c r="Q1655" s="146"/>
      <c r="T1655" s="146"/>
      <c r="V1655" s="147"/>
      <c r="W1655" s="146"/>
      <c r="Y1655" s="147"/>
    </row>
    <row r="1656" spans="3:25">
      <c r="C1656" s="146"/>
      <c r="E1656" s="147"/>
      <c r="F1656" s="146"/>
      <c r="I1656" s="147"/>
      <c r="J1656" s="146"/>
      <c r="M1656" s="147"/>
      <c r="N1656" s="146"/>
      <c r="Q1656" s="146"/>
      <c r="T1656" s="146"/>
      <c r="V1656" s="147"/>
      <c r="W1656" s="146"/>
      <c r="Y1656" s="147"/>
    </row>
    <row r="1657" spans="3:25">
      <c r="C1657" s="146"/>
      <c r="E1657" s="147"/>
      <c r="F1657" s="146"/>
      <c r="I1657" s="147"/>
      <c r="J1657" s="146"/>
      <c r="M1657" s="147"/>
      <c r="N1657" s="146"/>
      <c r="Q1657" s="146"/>
      <c r="T1657" s="146"/>
      <c r="V1657" s="147"/>
      <c r="W1657" s="146"/>
      <c r="Y1657" s="147"/>
    </row>
    <row r="1658" spans="3:25">
      <c r="C1658" s="146"/>
      <c r="E1658" s="147"/>
      <c r="F1658" s="146"/>
      <c r="I1658" s="147"/>
      <c r="J1658" s="146"/>
      <c r="M1658" s="147"/>
      <c r="N1658" s="146"/>
      <c r="Q1658" s="146"/>
      <c r="T1658" s="146"/>
      <c r="V1658" s="147"/>
      <c r="W1658" s="146"/>
      <c r="Y1658" s="147"/>
    </row>
    <row r="1659" spans="3:25">
      <c r="C1659" s="146"/>
      <c r="E1659" s="147"/>
      <c r="F1659" s="146"/>
      <c r="I1659" s="147"/>
      <c r="J1659" s="146"/>
      <c r="M1659" s="147"/>
      <c r="N1659" s="146"/>
      <c r="Q1659" s="146"/>
      <c r="T1659" s="146"/>
      <c r="V1659" s="147"/>
      <c r="W1659" s="146"/>
      <c r="Y1659" s="147"/>
    </row>
    <row r="1660" spans="3:25">
      <c r="C1660" s="146"/>
      <c r="E1660" s="147"/>
      <c r="F1660" s="146"/>
      <c r="I1660" s="147"/>
      <c r="J1660" s="146"/>
      <c r="M1660" s="147"/>
      <c r="N1660" s="146"/>
      <c r="Q1660" s="146"/>
      <c r="T1660" s="146"/>
      <c r="V1660" s="147"/>
      <c r="W1660" s="146"/>
      <c r="Y1660" s="147"/>
    </row>
    <row r="1661" spans="3:25">
      <c r="C1661" s="146"/>
      <c r="E1661" s="147"/>
      <c r="F1661" s="146"/>
      <c r="I1661" s="147"/>
      <c r="J1661" s="146"/>
      <c r="M1661" s="147"/>
      <c r="N1661" s="146"/>
      <c r="Q1661" s="146"/>
      <c r="T1661" s="146"/>
      <c r="V1661" s="147"/>
      <c r="W1661" s="146"/>
      <c r="Y1661" s="147"/>
    </row>
    <row r="1662" spans="3:25">
      <c r="C1662" s="146"/>
      <c r="E1662" s="147"/>
      <c r="F1662" s="146"/>
      <c r="I1662" s="147"/>
      <c r="J1662" s="146"/>
      <c r="M1662" s="147"/>
      <c r="N1662" s="146"/>
      <c r="Q1662" s="146"/>
      <c r="T1662" s="146"/>
      <c r="V1662" s="147"/>
      <c r="W1662" s="146"/>
      <c r="Y1662" s="147"/>
    </row>
    <row r="1663" spans="3:25">
      <c r="C1663" s="146"/>
      <c r="E1663" s="147"/>
      <c r="F1663" s="146"/>
      <c r="I1663" s="147"/>
      <c r="J1663" s="146"/>
      <c r="M1663" s="147"/>
      <c r="N1663" s="146"/>
      <c r="Q1663" s="146"/>
      <c r="T1663" s="146"/>
      <c r="V1663" s="147"/>
      <c r="W1663" s="146"/>
      <c r="Y1663" s="147"/>
    </row>
    <row r="1664" spans="3:25">
      <c r="C1664" s="146"/>
      <c r="E1664" s="147"/>
      <c r="F1664" s="146"/>
      <c r="I1664" s="147"/>
      <c r="J1664" s="146"/>
      <c r="M1664" s="147"/>
      <c r="N1664" s="146"/>
      <c r="Q1664" s="146"/>
      <c r="T1664" s="146"/>
      <c r="V1664" s="147"/>
      <c r="W1664" s="146"/>
      <c r="Y1664" s="147"/>
    </row>
    <row r="1665" spans="3:25">
      <c r="C1665" s="146"/>
      <c r="E1665" s="147"/>
      <c r="F1665" s="146"/>
      <c r="I1665" s="147"/>
      <c r="J1665" s="146"/>
      <c r="M1665" s="147"/>
      <c r="N1665" s="146"/>
      <c r="Q1665" s="146"/>
      <c r="T1665" s="146"/>
      <c r="V1665" s="147"/>
      <c r="W1665" s="146"/>
      <c r="Y1665" s="147"/>
    </row>
    <row r="1666" spans="3:25">
      <c r="C1666" s="146"/>
      <c r="E1666" s="147"/>
      <c r="F1666" s="146"/>
      <c r="I1666" s="147"/>
      <c r="J1666" s="146"/>
      <c r="M1666" s="147"/>
      <c r="N1666" s="146"/>
      <c r="Q1666" s="146"/>
      <c r="T1666" s="146"/>
      <c r="V1666" s="147"/>
      <c r="W1666" s="146"/>
      <c r="Y1666" s="147"/>
    </row>
    <row r="1667" spans="3:25">
      <c r="C1667" s="146"/>
      <c r="E1667" s="147"/>
      <c r="F1667" s="146"/>
      <c r="I1667" s="147"/>
      <c r="J1667" s="146"/>
      <c r="M1667" s="147"/>
      <c r="N1667" s="146"/>
      <c r="Q1667" s="146"/>
      <c r="T1667" s="146"/>
      <c r="V1667" s="147"/>
      <c r="W1667" s="146"/>
      <c r="Y1667" s="147"/>
    </row>
    <row r="1668" spans="3:25">
      <c r="C1668" s="146"/>
      <c r="E1668" s="147"/>
      <c r="F1668" s="146"/>
      <c r="I1668" s="147"/>
      <c r="J1668" s="146"/>
      <c r="M1668" s="147"/>
      <c r="N1668" s="146"/>
      <c r="Q1668" s="146"/>
      <c r="T1668" s="146"/>
      <c r="V1668" s="147"/>
      <c r="W1668" s="146"/>
      <c r="Y1668" s="147"/>
    </row>
    <row r="1669" spans="3:25">
      <c r="C1669" s="146"/>
      <c r="E1669" s="147"/>
      <c r="F1669" s="146"/>
      <c r="I1669" s="147"/>
      <c r="J1669" s="146"/>
      <c r="M1669" s="147"/>
      <c r="N1669" s="146"/>
      <c r="Q1669" s="146"/>
      <c r="T1669" s="146"/>
      <c r="V1669" s="147"/>
      <c r="W1669" s="146"/>
      <c r="Y1669" s="147"/>
    </row>
    <row r="1670" spans="3:25">
      <c r="C1670" s="146"/>
      <c r="E1670" s="147"/>
      <c r="F1670" s="146"/>
      <c r="I1670" s="147"/>
      <c r="J1670" s="146"/>
      <c r="M1670" s="147"/>
      <c r="N1670" s="146"/>
      <c r="Q1670" s="146"/>
      <c r="T1670" s="146"/>
      <c r="V1670" s="147"/>
      <c r="W1670" s="146"/>
      <c r="Y1670" s="147"/>
    </row>
    <row r="1671" spans="3:25">
      <c r="C1671" s="146"/>
      <c r="E1671" s="147"/>
      <c r="F1671" s="146"/>
      <c r="I1671" s="147"/>
      <c r="J1671" s="146"/>
      <c r="M1671" s="147"/>
      <c r="N1671" s="146"/>
      <c r="Q1671" s="146"/>
      <c r="T1671" s="146"/>
      <c r="V1671" s="147"/>
      <c r="W1671" s="146"/>
      <c r="Y1671" s="147"/>
    </row>
    <row r="1672" spans="3:25">
      <c r="C1672" s="146"/>
      <c r="E1672" s="147"/>
      <c r="F1672" s="146"/>
      <c r="I1672" s="147"/>
      <c r="J1672" s="146"/>
      <c r="M1672" s="147"/>
      <c r="N1672" s="146"/>
      <c r="Q1672" s="146"/>
      <c r="T1672" s="146"/>
      <c r="V1672" s="147"/>
      <c r="W1672" s="146"/>
      <c r="Y1672" s="147"/>
    </row>
    <row r="1673" spans="3:25">
      <c r="C1673" s="146"/>
      <c r="E1673" s="147"/>
      <c r="F1673" s="146"/>
      <c r="I1673" s="147"/>
      <c r="J1673" s="146"/>
      <c r="M1673" s="147"/>
      <c r="N1673" s="146"/>
      <c r="Q1673" s="146"/>
      <c r="T1673" s="146"/>
      <c r="V1673" s="147"/>
      <c r="W1673" s="146"/>
      <c r="Y1673" s="147"/>
    </row>
    <row r="1674" spans="3:25">
      <c r="C1674" s="146"/>
      <c r="E1674" s="147"/>
      <c r="F1674" s="146"/>
      <c r="I1674" s="147"/>
      <c r="J1674" s="146"/>
      <c r="M1674" s="147"/>
      <c r="N1674" s="146"/>
      <c r="Q1674" s="146"/>
      <c r="T1674" s="146"/>
      <c r="V1674" s="147"/>
      <c r="W1674" s="146"/>
      <c r="Y1674" s="147"/>
    </row>
    <row r="1675" spans="3:25">
      <c r="C1675" s="146"/>
      <c r="E1675" s="147"/>
      <c r="F1675" s="146"/>
      <c r="I1675" s="147"/>
      <c r="J1675" s="146"/>
      <c r="M1675" s="147"/>
      <c r="N1675" s="146"/>
      <c r="Q1675" s="146"/>
      <c r="T1675" s="146"/>
      <c r="V1675" s="147"/>
      <c r="W1675" s="146"/>
      <c r="Y1675" s="147"/>
    </row>
    <row r="1676" spans="3:25">
      <c r="C1676" s="146"/>
      <c r="E1676" s="147"/>
      <c r="F1676" s="146"/>
      <c r="I1676" s="147"/>
      <c r="J1676" s="146"/>
      <c r="M1676" s="147"/>
      <c r="N1676" s="146"/>
      <c r="Q1676" s="146"/>
      <c r="T1676" s="146"/>
      <c r="V1676" s="147"/>
      <c r="W1676" s="146"/>
      <c r="Y1676" s="147"/>
    </row>
    <row r="1677" spans="3:25">
      <c r="C1677" s="146"/>
      <c r="E1677" s="147"/>
      <c r="F1677" s="146"/>
      <c r="I1677" s="147"/>
      <c r="J1677" s="146"/>
      <c r="M1677" s="147"/>
      <c r="N1677" s="146"/>
      <c r="Q1677" s="146"/>
      <c r="T1677" s="146"/>
      <c r="V1677" s="147"/>
      <c r="W1677" s="146"/>
      <c r="Y1677" s="147"/>
    </row>
    <row r="1678" spans="3:25">
      <c r="C1678" s="146"/>
      <c r="E1678" s="147"/>
      <c r="F1678" s="146"/>
      <c r="I1678" s="147"/>
      <c r="J1678" s="146"/>
      <c r="M1678" s="147"/>
      <c r="N1678" s="146"/>
      <c r="Q1678" s="146"/>
      <c r="T1678" s="146"/>
      <c r="V1678" s="147"/>
      <c r="W1678" s="146"/>
      <c r="Y1678" s="147"/>
    </row>
    <row r="1679" spans="3:25">
      <c r="C1679" s="146"/>
      <c r="E1679" s="147"/>
      <c r="F1679" s="146"/>
      <c r="I1679" s="147"/>
      <c r="J1679" s="146"/>
      <c r="M1679" s="147"/>
      <c r="N1679" s="146"/>
      <c r="Q1679" s="146"/>
      <c r="T1679" s="146"/>
      <c r="V1679" s="147"/>
      <c r="W1679" s="146"/>
      <c r="Y1679" s="147"/>
    </row>
    <row r="1680" spans="3:25">
      <c r="C1680" s="146"/>
      <c r="E1680" s="147"/>
      <c r="F1680" s="146"/>
      <c r="I1680" s="147"/>
      <c r="J1680" s="146"/>
      <c r="M1680" s="147"/>
      <c r="N1680" s="146"/>
      <c r="Q1680" s="146"/>
      <c r="T1680" s="146"/>
      <c r="V1680" s="147"/>
      <c r="W1680" s="146"/>
      <c r="Y1680" s="147"/>
    </row>
    <row r="1681" spans="3:25">
      <c r="C1681" s="146"/>
      <c r="E1681" s="147"/>
      <c r="F1681" s="146"/>
      <c r="I1681" s="147"/>
      <c r="J1681" s="146"/>
      <c r="M1681" s="147"/>
      <c r="N1681" s="146"/>
      <c r="Q1681" s="146"/>
      <c r="T1681" s="146"/>
      <c r="V1681" s="147"/>
      <c r="W1681" s="146"/>
      <c r="Y1681" s="147"/>
    </row>
    <row r="1682" spans="3:25">
      <c r="C1682" s="146"/>
      <c r="E1682" s="147"/>
      <c r="F1682" s="146"/>
      <c r="I1682" s="147"/>
      <c r="J1682" s="146"/>
      <c r="M1682" s="147"/>
      <c r="N1682" s="146"/>
      <c r="Q1682" s="146"/>
      <c r="T1682" s="146"/>
      <c r="V1682" s="147"/>
      <c r="W1682" s="146"/>
      <c r="Y1682" s="147"/>
    </row>
    <row r="1683" spans="3:25">
      <c r="C1683" s="146"/>
      <c r="E1683" s="147"/>
      <c r="F1683" s="146"/>
      <c r="I1683" s="147"/>
      <c r="J1683" s="146"/>
      <c r="M1683" s="147"/>
      <c r="N1683" s="146"/>
      <c r="Q1683" s="146"/>
      <c r="T1683" s="146"/>
      <c r="V1683" s="147"/>
      <c r="W1683" s="146"/>
      <c r="Y1683" s="147"/>
    </row>
    <row r="1684" spans="3:25">
      <c r="C1684" s="146"/>
      <c r="E1684" s="147"/>
      <c r="F1684" s="146"/>
      <c r="I1684" s="147"/>
      <c r="J1684" s="146"/>
      <c r="M1684" s="147"/>
      <c r="N1684" s="146"/>
      <c r="Q1684" s="146"/>
      <c r="T1684" s="146"/>
      <c r="V1684" s="147"/>
      <c r="W1684" s="146"/>
      <c r="Y1684" s="147"/>
    </row>
    <row r="1685" spans="3:25">
      <c r="C1685" s="146"/>
      <c r="E1685" s="147"/>
      <c r="F1685" s="146"/>
      <c r="I1685" s="147"/>
      <c r="J1685" s="146"/>
      <c r="M1685" s="147"/>
      <c r="N1685" s="146"/>
      <c r="Q1685" s="146"/>
      <c r="T1685" s="146"/>
      <c r="V1685" s="147"/>
      <c r="W1685" s="146"/>
      <c r="Y1685" s="147"/>
    </row>
    <row r="1686" spans="3:25">
      <c r="C1686" s="146"/>
      <c r="E1686" s="147"/>
      <c r="F1686" s="146"/>
      <c r="I1686" s="147"/>
      <c r="J1686" s="146"/>
      <c r="M1686" s="147"/>
      <c r="N1686" s="146"/>
      <c r="Q1686" s="146"/>
      <c r="T1686" s="146"/>
      <c r="V1686" s="147"/>
      <c r="W1686" s="146"/>
      <c r="Y1686" s="147"/>
    </row>
    <row r="1687" spans="3:25">
      <c r="C1687" s="146"/>
      <c r="E1687" s="147"/>
      <c r="F1687" s="146"/>
      <c r="I1687" s="147"/>
      <c r="J1687" s="146"/>
      <c r="M1687" s="147"/>
      <c r="N1687" s="146"/>
      <c r="Q1687" s="146"/>
      <c r="T1687" s="146"/>
      <c r="V1687" s="147"/>
      <c r="W1687" s="146"/>
      <c r="Y1687" s="147"/>
    </row>
    <row r="1688" spans="3:25">
      <c r="C1688" s="146"/>
      <c r="E1688" s="147"/>
      <c r="F1688" s="146"/>
      <c r="I1688" s="147"/>
      <c r="J1688" s="146"/>
      <c r="M1688" s="147"/>
      <c r="N1688" s="146"/>
      <c r="Q1688" s="146"/>
      <c r="T1688" s="146"/>
      <c r="V1688" s="147"/>
      <c r="W1688" s="146"/>
      <c r="Y1688" s="147"/>
    </row>
    <row r="1689" spans="3:25">
      <c r="C1689" s="146"/>
      <c r="E1689" s="147"/>
      <c r="F1689" s="146"/>
      <c r="I1689" s="147"/>
      <c r="J1689" s="146"/>
      <c r="M1689" s="147"/>
      <c r="N1689" s="146"/>
      <c r="Q1689" s="146"/>
      <c r="T1689" s="146"/>
      <c r="V1689" s="147"/>
      <c r="W1689" s="146"/>
      <c r="Y1689" s="147"/>
    </row>
    <row r="1690" spans="3:25">
      <c r="C1690" s="146"/>
      <c r="E1690" s="147"/>
      <c r="F1690" s="146"/>
      <c r="I1690" s="147"/>
      <c r="J1690" s="146"/>
      <c r="M1690" s="147"/>
      <c r="N1690" s="146"/>
      <c r="Q1690" s="146"/>
      <c r="T1690" s="146"/>
      <c r="V1690" s="147"/>
      <c r="W1690" s="146"/>
      <c r="Y1690" s="147"/>
    </row>
    <row r="1691" spans="3:25">
      <c r="C1691" s="146"/>
      <c r="E1691" s="147"/>
      <c r="F1691" s="146"/>
      <c r="I1691" s="147"/>
      <c r="J1691" s="146"/>
      <c r="M1691" s="147"/>
      <c r="N1691" s="146"/>
      <c r="Q1691" s="146"/>
      <c r="T1691" s="146"/>
      <c r="V1691" s="147"/>
      <c r="W1691" s="146"/>
      <c r="Y1691" s="147"/>
    </row>
    <row r="1692" spans="3:25">
      <c r="C1692" s="146"/>
      <c r="E1692" s="147"/>
      <c r="F1692" s="146"/>
      <c r="I1692" s="147"/>
      <c r="J1692" s="146"/>
      <c r="M1692" s="147"/>
      <c r="N1692" s="146"/>
      <c r="Q1692" s="146"/>
      <c r="T1692" s="146"/>
      <c r="V1692" s="147"/>
      <c r="W1692" s="146"/>
      <c r="Y1692" s="147"/>
    </row>
    <row r="1693" spans="3:25">
      <c r="C1693" s="146"/>
      <c r="E1693" s="147"/>
      <c r="F1693" s="146"/>
      <c r="I1693" s="147"/>
      <c r="J1693" s="146"/>
      <c r="M1693" s="147"/>
      <c r="N1693" s="146"/>
      <c r="Q1693" s="146"/>
      <c r="T1693" s="146"/>
      <c r="V1693" s="147"/>
      <c r="W1693" s="146"/>
      <c r="Y1693" s="147"/>
    </row>
    <row r="1694" spans="3:25">
      <c r="C1694" s="146"/>
      <c r="E1694" s="147"/>
      <c r="F1694" s="146"/>
      <c r="I1694" s="147"/>
      <c r="J1694" s="146"/>
      <c r="M1694" s="147"/>
      <c r="N1694" s="146"/>
      <c r="Q1694" s="146"/>
      <c r="T1694" s="146"/>
      <c r="V1694" s="147"/>
      <c r="W1694" s="146"/>
      <c r="Y1694" s="147"/>
    </row>
    <row r="1695" spans="3:25">
      <c r="C1695" s="146"/>
      <c r="E1695" s="147"/>
      <c r="F1695" s="146"/>
      <c r="I1695" s="147"/>
      <c r="J1695" s="146"/>
      <c r="M1695" s="147"/>
      <c r="N1695" s="146"/>
      <c r="Q1695" s="146"/>
      <c r="T1695" s="146"/>
      <c r="V1695" s="147"/>
      <c r="W1695" s="146"/>
      <c r="Y1695" s="147"/>
    </row>
    <row r="1696" spans="3:25">
      <c r="C1696" s="146"/>
      <c r="E1696" s="147"/>
      <c r="F1696" s="146"/>
      <c r="I1696" s="147"/>
      <c r="J1696" s="146"/>
      <c r="M1696" s="147"/>
      <c r="N1696" s="146"/>
      <c r="Q1696" s="146"/>
      <c r="T1696" s="146"/>
      <c r="V1696" s="147"/>
      <c r="W1696" s="146"/>
      <c r="Y1696" s="147"/>
    </row>
    <row r="1697" spans="3:25">
      <c r="C1697" s="146"/>
      <c r="E1697" s="147"/>
      <c r="F1697" s="146"/>
      <c r="I1697" s="147"/>
      <c r="J1697" s="146"/>
      <c r="M1697" s="147"/>
      <c r="N1697" s="146"/>
      <c r="Q1697" s="146"/>
      <c r="T1697" s="146"/>
      <c r="V1697" s="147"/>
      <c r="W1697" s="146"/>
      <c r="Y1697" s="147"/>
    </row>
    <row r="1698" spans="3:25">
      <c r="C1698" s="146"/>
      <c r="E1698" s="147"/>
      <c r="F1698" s="146"/>
      <c r="I1698" s="147"/>
      <c r="J1698" s="146"/>
      <c r="M1698" s="147"/>
      <c r="N1698" s="146"/>
      <c r="Q1698" s="146"/>
      <c r="T1698" s="146"/>
      <c r="V1698" s="147"/>
      <c r="W1698" s="146"/>
      <c r="Y1698" s="147"/>
    </row>
    <row r="1699" spans="3:25">
      <c r="C1699" s="146"/>
      <c r="E1699" s="147"/>
      <c r="F1699" s="146"/>
      <c r="I1699" s="147"/>
      <c r="J1699" s="146"/>
      <c r="M1699" s="147"/>
      <c r="N1699" s="146"/>
      <c r="Q1699" s="146"/>
      <c r="T1699" s="146"/>
      <c r="V1699" s="147"/>
      <c r="W1699" s="146"/>
      <c r="Y1699" s="147"/>
    </row>
    <row r="1700" spans="3:25">
      <c r="C1700" s="146"/>
      <c r="E1700" s="147"/>
      <c r="F1700" s="146"/>
      <c r="I1700" s="147"/>
      <c r="J1700" s="146"/>
      <c r="M1700" s="147"/>
      <c r="N1700" s="146"/>
      <c r="Q1700" s="146"/>
      <c r="T1700" s="146"/>
      <c r="V1700" s="147"/>
      <c r="W1700" s="146"/>
      <c r="Y1700" s="147"/>
    </row>
    <row r="1701" spans="3:25">
      <c r="C1701" s="146"/>
      <c r="E1701" s="147"/>
      <c r="F1701" s="146"/>
      <c r="I1701" s="147"/>
      <c r="J1701" s="146"/>
      <c r="M1701" s="147"/>
      <c r="N1701" s="146"/>
      <c r="Q1701" s="146"/>
      <c r="T1701" s="146"/>
      <c r="V1701" s="147"/>
      <c r="W1701" s="146"/>
      <c r="Y1701" s="147"/>
    </row>
    <row r="1702" spans="3:25">
      <c r="C1702" s="146"/>
      <c r="E1702" s="147"/>
      <c r="F1702" s="146"/>
      <c r="I1702" s="147"/>
      <c r="J1702" s="146"/>
      <c r="M1702" s="147"/>
      <c r="N1702" s="146"/>
      <c r="Q1702" s="146"/>
      <c r="T1702" s="146"/>
      <c r="V1702" s="147"/>
      <c r="W1702" s="146"/>
      <c r="Y1702" s="147"/>
    </row>
    <row r="1703" spans="3:25">
      <c r="C1703" s="146"/>
      <c r="E1703" s="147"/>
      <c r="F1703" s="146"/>
      <c r="I1703" s="147"/>
      <c r="J1703" s="146"/>
      <c r="M1703" s="147"/>
      <c r="N1703" s="146"/>
      <c r="Q1703" s="146"/>
      <c r="T1703" s="146"/>
      <c r="V1703" s="147"/>
      <c r="W1703" s="146"/>
      <c r="Y1703" s="147"/>
    </row>
    <row r="1704" spans="3:25">
      <c r="C1704" s="146"/>
      <c r="E1704" s="147"/>
      <c r="F1704" s="146"/>
      <c r="I1704" s="147"/>
      <c r="J1704" s="146"/>
      <c r="M1704" s="147"/>
      <c r="N1704" s="146"/>
      <c r="Q1704" s="146"/>
      <c r="T1704" s="146"/>
      <c r="V1704" s="147"/>
      <c r="W1704" s="146"/>
      <c r="Y1704" s="147"/>
    </row>
    <row r="1705" spans="3:25">
      <c r="C1705" s="146"/>
      <c r="E1705" s="147"/>
      <c r="F1705" s="146"/>
      <c r="I1705" s="147"/>
      <c r="J1705" s="146"/>
      <c r="M1705" s="147"/>
      <c r="N1705" s="146"/>
      <c r="Q1705" s="146"/>
      <c r="T1705" s="146"/>
      <c r="V1705" s="147"/>
      <c r="W1705" s="146"/>
      <c r="Y1705" s="147"/>
    </row>
    <row r="1706" spans="3:25">
      <c r="C1706" s="146"/>
      <c r="E1706" s="147"/>
      <c r="F1706" s="146"/>
      <c r="I1706" s="147"/>
      <c r="J1706" s="146"/>
      <c r="M1706" s="147"/>
      <c r="N1706" s="146"/>
      <c r="Q1706" s="146"/>
      <c r="T1706" s="146"/>
      <c r="V1706" s="147"/>
      <c r="W1706" s="146"/>
      <c r="Y1706" s="147"/>
    </row>
    <row r="1707" spans="3:25">
      <c r="C1707" s="146"/>
      <c r="E1707" s="147"/>
      <c r="F1707" s="146"/>
      <c r="I1707" s="147"/>
      <c r="J1707" s="146"/>
      <c r="M1707" s="147"/>
      <c r="N1707" s="146"/>
      <c r="Q1707" s="146"/>
      <c r="T1707" s="146"/>
      <c r="V1707" s="147"/>
      <c r="W1707" s="146"/>
      <c r="Y1707" s="147"/>
    </row>
    <row r="1708" spans="3:25">
      <c r="C1708" s="146"/>
      <c r="E1708" s="147"/>
      <c r="F1708" s="146"/>
      <c r="I1708" s="147"/>
      <c r="J1708" s="146"/>
      <c r="M1708" s="147"/>
      <c r="N1708" s="146"/>
      <c r="Q1708" s="146"/>
      <c r="T1708" s="146"/>
      <c r="V1708" s="147"/>
      <c r="W1708" s="146"/>
      <c r="Y1708" s="147"/>
    </row>
    <row r="1709" spans="3:25">
      <c r="C1709" s="146"/>
      <c r="E1709" s="147"/>
      <c r="F1709" s="146"/>
      <c r="I1709" s="147"/>
      <c r="J1709" s="146"/>
      <c r="M1709" s="147"/>
      <c r="N1709" s="146"/>
      <c r="Q1709" s="146"/>
      <c r="T1709" s="146"/>
      <c r="V1709" s="147"/>
      <c r="W1709" s="146"/>
      <c r="Y1709" s="147"/>
    </row>
    <row r="1710" spans="3:25">
      <c r="C1710" s="146"/>
      <c r="E1710" s="147"/>
      <c r="F1710" s="146"/>
      <c r="I1710" s="147"/>
      <c r="J1710" s="146"/>
      <c r="M1710" s="147"/>
      <c r="N1710" s="146"/>
      <c r="Q1710" s="146"/>
      <c r="T1710" s="146"/>
      <c r="V1710" s="147"/>
      <c r="W1710" s="146"/>
      <c r="Y1710" s="147"/>
    </row>
    <row r="1711" spans="3:25">
      <c r="C1711" s="146"/>
      <c r="E1711" s="147"/>
      <c r="F1711" s="146"/>
      <c r="I1711" s="147"/>
      <c r="J1711" s="146"/>
      <c r="M1711" s="147"/>
      <c r="N1711" s="146"/>
      <c r="Q1711" s="146"/>
      <c r="T1711" s="146"/>
      <c r="V1711" s="147"/>
      <c r="W1711" s="146"/>
      <c r="Y1711" s="147"/>
    </row>
    <row r="1712" spans="3:25">
      <c r="C1712" s="146"/>
      <c r="E1712" s="147"/>
      <c r="F1712" s="146"/>
      <c r="I1712" s="147"/>
      <c r="J1712" s="146"/>
      <c r="M1712" s="147"/>
      <c r="N1712" s="146"/>
      <c r="Q1712" s="146"/>
      <c r="T1712" s="146"/>
      <c r="V1712" s="147"/>
      <c r="W1712" s="146"/>
      <c r="Y1712" s="147"/>
    </row>
    <row r="1713" spans="3:25">
      <c r="C1713" s="146"/>
      <c r="E1713" s="147"/>
      <c r="F1713" s="146"/>
      <c r="I1713" s="147"/>
      <c r="J1713" s="146"/>
      <c r="M1713" s="147"/>
      <c r="N1713" s="146"/>
      <c r="Q1713" s="146"/>
      <c r="T1713" s="146"/>
      <c r="V1713" s="147"/>
      <c r="W1713" s="146"/>
      <c r="Y1713" s="147"/>
    </row>
    <row r="1714" spans="3:25">
      <c r="C1714" s="146"/>
      <c r="E1714" s="147"/>
      <c r="F1714" s="146"/>
      <c r="I1714" s="147"/>
      <c r="J1714" s="146"/>
      <c r="M1714" s="147"/>
      <c r="N1714" s="146"/>
      <c r="Q1714" s="146"/>
      <c r="T1714" s="146"/>
      <c r="V1714" s="147"/>
      <c r="W1714" s="146"/>
      <c r="Y1714" s="147"/>
    </row>
    <row r="1715" spans="3:25">
      <c r="C1715" s="146"/>
      <c r="E1715" s="147"/>
      <c r="F1715" s="146"/>
      <c r="I1715" s="147"/>
      <c r="J1715" s="146"/>
      <c r="M1715" s="147"/>
      <c r="N1715" s="146"/>
      <c r="Q1715" s="146"/>
      <c r="T1715" s="146"/>
      <c r="V1715" s="147"/>
      <c r="W1715" s="146"/>
      <c r="Y1715" s="147"/>
    </row>
    <row r="1716" spans="3:25">
      <c r="C1716" s="146"/>
      <c r="E1716" s="147"/>
      <c r="F1716" s="146"/>
      <c r="I1716" s="147"/>
      <c r="J1716" s="146"/>
      <c r="M1716" s="147"/>
      <c r="N1716" s="146"/>
      <c r="Q1716" s="146"/>
      <c r="T1716" s="146"/>
      <c r="V1716" s="147"/>
      <c r="W1716" s="146"/>
      <c r="Y1716" s="147"/>
    </row>
    <row r="1717" spans="3:25">
      <c r="C1717" s="146"/>
      <c r="E1717" s="147"/>
      <c r="F1717" s="146"/>
      <c r="I1717" s="147"/>
      <c r="J1717" s="146"/>
      <c r="M1717" s="147"/>
      <c r="N1717" s="146"/>
      <c r="Q1717" s="146"/>
      <c r="T1717" s="146"/>
      <c r="V1717" s="147"/>
      <c r="W1717" s="146"/>
      <c r="Y1717" s="147"/>
    </row>
    <row r="1718" spans="3:25">
      <c r="C1718" s="146"/>
      <c r="E1718" s="147"/>
      <c r="F1718" s="146"/>
      <c r="I1718" s="147"/>
      <c r="J1718" s="146"/>
      <c r="M1718" s="147"/>
      <c r="N1718" s="146"/>
      <c r="Q1718" s="146"/>
      <c r="T1718" s="146"/>
      <c r="V1718" s="147"/>
      <c r="W1718" s="146"/>
      <c r="Y1718" s="147"/>
    </row>
    <row r="1719" spans="3:25">
      <c r="C1719" s="146"/>
      <c r="E1719" s="147"/>
      <c r="F1719" s="146"/>
      <c r="I1719" s="147"/>
      <c r="J1719" s="146"/>
      <c r="M1719" s="147"/>
      <c r="N1719" s="146"/>
      <c r="Q1719" s="146"/>
      <c r="T1719" s="146"/>
      <c r="V1719" s="147"/>
      <c r="W1719" s="146"/>
      <c r="Y1719" s="147"/>
    </row>
    <row r="1720" spans="3:25">
      <c r="C1720" s="146"/>
      <c r="E1720" s="147"/>
      <c r="F1720" s="146"/>
      <c r="I1720" s="147"/>
      <c r="J1720" s="146"/>
      <c r="M1720" s="147"/>
      <c r="N1720" s="146"/>
      <c r="Q1720" s="146"/>
      <c r="T1720" s="146"/>
      <c r="V1720" s="147"/>
      <c r="W1720" s="146"/>
      <c r="Y1720" s="147"/>
    </row>
    <row r="1721" spans="3:25">
      <c r="C1721" s="146"/>
      <c r="E1721" s="147"/>
      <c r="F1721" s="146"/>
      <c r="I1721" s="147"/>
      <c r="J1721" s="146"/>
      <c r="M1721" s="147"/>
      <c r="N1721" s="146"/>
      <c r="Q1721" s="146"/>
      <c r="T1721" s="146"/>
      <c r="V1721" s="147"/>
      <c r="W1721" s="146"/>
      <c r="Y1721" s="147"/>
    </row>
    <row r="1722" spans="3:25">
      <c r="C1722" s="146"/>
      <c r="E1722" s="147"/>
      <c r="F1722" s="146"/>
      <c r="I1722" s="147"/>
      <c r="J1722" s="146"/>
      <c r="M1722" s="147"/>
      <c r="N1722" s="146"/>
      <c r="Q1722" s="146"/>
      <c r="T1722" s="146"/>
      <c r="V1722" s="147"/>
      <c r="W1722" s="146"/>
      <c r="Y1722" s="147"/>
    </row>
    <row r="1723" spans="3:25">
      <c r="C1723" s="146"/>
      <c r="E1723" s="147"/>
      <c r="F1723" s="146"/>
      <c r="I1723" s="147"/>
      <c r="J1723" s="146"/>
      <c r="M1723" s="147"/>
      <c r="N1723" s="146"/>
      <c r="Q1723" s="146"/>
      <c r="T1723" s="146"/>
      <c r="V1723" s="147"/>
      <c r="W1723" s="146"/>
      <c r="Y1723" s="147"/>
    </row>
    <row r="1724" spans="3:25">
      <c r="C1724" s="146"/>
      <c r="E1724" s="147"/>
      <c r="F1724" s="146"/>
      <c r="I1724" s="147"/>
      <c r="J1724" s="146"/>
      <c r="M1724" s="147"/>
      <c r="N1724" s="146"/>
      <c r="Q1724" s="146"/>
      <c r="T1724" s="146"/>
      <c r="V1724" s="147"/>
      <c r="W1724" s="146"/>
      <c r="Y1724" s="147"/>
    </row>
    <row r="1725" spans="3:25">
      <c r="C1725" s="146"/>
      <c r="E1725" s="147"/>
      <c r="F1725" s="146"/>
      <c r="I1725" s="147"/>
      <c r="J1725" s="146"/>
      <c r="M1725" s="147"/>
      <c r="N1725" s="146"/>
      <c r="Q1725" s="146"/>
      <c r="T1725" s="146"/>
      <c r="V1725" s="147"/>
      <c r="W1725" s="146"/>
      <c r="Y1725" s="147"/>
    </row>
    <row r="1726" spans="3:25">
      <c r="C1726" s="146"/>
      <c r="E1726" s="147"/>
      <c r="F1726" s="146"/>
      <c r="I1726" s="147"/>
      <c r="J1726" s="146"/>
      <c r="M1726" s="147"/>
      <c r="N1726" s="146"/>
      <c r="Q1726" s="146"/>
      <c r="T1726" s="146"/>
      <c r="V1726" s="147"/>
      <c r="W1726" s="146"/>
      <c r="Y1726" s="147"/>
    </row>
    <row r="1727" spans="3:25">
      <c r="C1727" s="146"/>
      <c r="E1727" s="147"/>
      <c r="F1727" s="146"/>
      <c r="I1727" s="147"/>
      <c r="J1727" s="146"/>
      <c r="M1727" s="147"/>
      <c r="N1727" s="146"/>
      <c r="Q1727" s="146"/>
      <c r="T1727" s="146"/>
      <c r="V1727" s="147"/>
      <c r="W1727" s="146"/>
      <c r="Y1727" s="147"/>
    </row>
    <row r="1728" spans="3:25">
      <c r="C1728" s="146"/>
      <c r="E1728" s="147"/>
      <c r="F1728" s="146"/>
      <c r="I1728" s="147"/>
      <c r="J1728" s="146"/>
      <c r="M1728" s="147"/>
      <c r="N1728" s="146"/>
      <c r="Q1728" s="146"/>
      <c r="T1728" s="146"/>
      <c r="V1728" s="147"/>
      <c r="W1728" s="146"/>
      <c r="Y1728" s="147"/>
    </row>
    <row r="1729" spans="3:25">
      <c r="C1729" s="146"/>
      <c r="E1729" s="147"/>
      <c r="F1729" s="146"/>
      <c r="I1729" s="147"/>
      <c r="J1729" s="146"/>
      <c r="M1729" s="147"/>
      <c r="N1729" s="146"/>
      <c r="Q1729" s="146"/>
      <c r="T1729" s="146"/>
      <c r="V1729" s="147"/>
      <c r="W1729" s="146"/>
      <c r="Y1729" s="147"/>
    </row>
    <row r="1730" spans="3:25">
      <c r="C1730" s="146"/>
      <c r="E1730" s="147"/>
      <c r="F1730" s="146"/>
      <c r="I1730" s="147"/>
      <c r="J1730" s="146"/>
      <c r="M1730" s="147"/>
      <c r="N1730" s="146"/>
      <c r="Q1730" s="146"/>
      <c r="T1730" s="146"/>
      <c r="V1730" s="147"/>
      <c r="W1730" s="146"/>
      <c r="Y1730" s="147"/>
    </row>
    <row r="1731" spans="3:25">
      <c r="C1731" s="146"/>
      <c r="E1731" s="147"/>
      <c r="F1731" s="146"/>
      <c r="I1731" s="147"/>
      <c r="J1731" s="146"/>
      <c r="M1731" s="147"/>
      <c r="N1731" s="146"/>
      <c r="Q1731" s="146"/>
      <c r="T1731" s="146"/>
      <c r="V1731" s="147"/>
      <c r="W1731" s="146"/>
      <c r="Y1731" s="147"/>
    </row>
    <row r="1732" spans="3:25">
      <c r="C1732" s="146"/>
      <c r="E1732" s="147"/>
      <c r="F1732" s="146"/>
      <c r="I1732" s="147"/>
      <c r="J1732" s="146"/>
      <c r="M1732" s="147"/>
      <c r="N1732" s="146"/>
      <c r="Q1732" s="146"/>
      <c r="T1732" s="146"/>
      <c r="V1732" s="147"/>
      <c r="W1732" s="146"/>
      <c r="Y1732" s="147"/>
    </row>
    <row r="1733" spans="3:25">
      <c r="C1733" s="146"/>
      <c r="E1733" s="147"/>
      <c r="F1733" s="146"/>
      <c r="I1733" s="147"/>
      <c r="J1733" s="146"/>
      <c r="M1733" s="147"/>
      <c r="N1733" s="146"/>
      <c r="Q1733" s="146"/>
      <c r="T1733" s="146"/>
      <c r="V1733" s="147"/>
      <c r="W1733" s="146"/>
      <c r="Y1733" s="147"/>
    </row>
    <row r="1734" spans="3:25">
      <c r="C1734" s="146"/>
      <c r="E1734" s="147"/>
      <c r="F1734" s="146"/>
      <c r="I1734" s="147"/>
      <c r="J1734" s="146"/>
      <c r="M1734" s="147"/>
      <c r="N1734" s="146"/>
      <c r="Q1734" s="146"/>
      <c r="T1734" s="146"/>
      <c r="V1734" s="147"/>
      <c r="W1734" s="146"/>
      <c r="Y1734" s="147"/>
    </row>
    <row r="1735" spans="3:25">
      <c r="C1735" s="146"/>
      <c r="E1735" s="147"/>
      <c r="F1735" s="146"/>
      <c r="I1735" s="147"/>
      <c r="J1735" s="146"/>
      <c r="M1735" s="147"/>
      <c r="N1735" s="146"/>
      <c r="Q1735" s="146"/>
      <c r="T1735" s="146"/>
      <c r="V1735" s="147"/>
      <c r="W1735" s="146"/>
      <c r="Y1735" s="147"/>
    </row>
    <row r="1736" spans="3:25">
      <c r="C1736" s="146"/>
      <c r="E1736" s="147"/>
      <c r="F1736" s="146"/>
      <c r="I1736" s="147"/>
      <c r="J1736" s="146"/>
      <c r="M1736" s="147"/>
      <c r="N1736" s="146"/>
      <c r="Q1736" s="146"/>
      <c r="T1736" s="146"/>
      <c r="V1736" s="147"/>
      <c r="W1736" s="146"/>
      <c r="Y1736" s="147"/>
    </row>
    <row r="1737" spans="3:25">
      <c r="C1737" s="146"/>
      <c r="E1737" s="147"/>
      <c r="F1737" s="146"/>
      <c r="I1737" s="147"/>
      <c r="J1737" s="146"/>
      <c r="M1737" s="147"/>
      <c r="N1737" s="146"/>
      <c r="Q1737" s="146"/>
      <c r="T1737" s="146"/>
      <c r="V1737" s="147"/>
      <c r="W1737" s="146"/>
      <c r="Y1737" s="147"/>
    </row>
    <row r="1738" spans="3:25">
      <c r="C1738" s="146"/>
      <c r="E1738" s="147"/>
      <c r="F1738" s="146"/>
      <c r="I1738" s="147"/>
      <c r="J1738" s="146"/>
      <c r="M1738" s="147"/>
      <c r="N1738" s="146"/>
      <c r="Q1738" s="146"/>
      <c r="T1738" s="146"/>
      <c r="V1738" s="147"/>
      <c r="W1738" s="146"/>
      <c r="Y1738" s="147"/>
    </row>
    <row r="1739" spans="3:25">
      <c r="C1739" s="146"/>
      <c r="E1739" s="147"/>
      <c r="F1739" s="146"/>
      <c r="I1739" s="147"/>
      <c r="J1739" s="146"/>
      <c r="M1739" s="147"/>
      <c r="N1739" s="146"/>
      <c r="Q1739" s="146"/>
      <c r="T1739" s="146"/>
      <c r="V1739" s="147"/>
      <c r="W1739" s="146"/>
      <c r="Y1739" s="147"/>
    </row>
    <row r="1740" spans="3:25">
      <c r="C1740" s="146"/>
      <c r="E1740" s="147"/>
      <c r="F1740" s="146"/>
      <c r="I1740" s="147"/>
      <c r="J1740" s="146"/>
      <c r="M1740" s="147"/>
      <c r="N1740" s="146"/>
      <c r="Q1740" s="146"/>
      <c r="T1740" s="146"/>
      <c r="V1740" s="147"/>
      <c r="W1740" s="146"/>
      <c r="Y1740" s="147"/>
    </row>
    <row r="1741" spans="3:25">
      <c r="C1741" s="146"/>
      <c r="E1741" s="147"/>
      <c r="F1741" s="146"/>
      <c r="I1741" s="147"/>
      <c r="J1741" s="146"/>
      <c r="M1741" s="147"/>
      <c r="N1741" s="146"/>
      <c r="Q1741" s="146"/>
      <c r="T1741" s="146"/>
      <c r="V1741" s="147"/>
      <c r="W1741" s="146"/>
      <c r="Y1741" s="147"/>
    </row>
    <row r="1742" spans="3:25">
      <c r="C1742" s="146"/>
      <c r="E1742" s="147"/>
      <c r="F1742" s="146"/>
      <c r="I1742" s="147"/>
      <c r="J1742" s="146"/>
      <c r="M1742" s="147"/>
      <c r="N1742" s="146"/>
      <c r="Q1742" s="146"/>
      <c r="T1742" s="146"/>
      <c r="V1742" s="147"/>
      <c r="W1742" s="146"/>
      <c r="Y1742" s="147"/>
    </row>
    <row r="1743" spans="3:25">
      <c r="C1743" s="146"/>
      <c r="E1743" s="147"/>
      <c r="F1743" s="146"/>
      <c r="I1743" s="147"/>
      <c r="J1743" s="146"/>
      <c r="M1743" s="147"/>
      <c r="N1743" s="146"/>
      <c r="Q1743" s="146"/>
      <c r="T1743" s="146"/>
      <c r="V1743" s="147"/>
      <c r="W1743" s="146"/>
      <c r="Y1743" s="147"/>
    </row>
    <row r="1744" spans="3:25">
      <c r="C1744" s="146"/>
      <c r="E1744" s="147"/>
      <c r="F1744" s="146"/>
      <c r="I1744" s="147"/>
      <c r="J1744" s="146"/>
      <c r="M1744" s="147"/>
      <c r="N1744" s="146"/>
      <c r="Q1744" s="146"/>
      <c r="T1744" s="146"/>
      <c r="V1744" s="147"/>
      <c r="W1744" s="146"/>
      <c r="Y1744" s="147"/>
    </row>
    <row r="1745" spans="3:25">
      <c r="C1745" s="146"/>
      <c r="E1745" s="147"/>
      <c r="F1745" s="146"/>
      <c r="I1745" s="147"/>
      <c r="J1745" s="146"/>
      <c r="M1745" s="147"/>
      <c r="N1745" s="146"/>
      <c r="Q1745" s="146"/>
      <c r="T1745" s="146"/>
      <c r="V1745" s="147"/>
      <c r="W1745" s="146"/>
      <c r="Y1745" s="147"/>
    </row>
    <row r="1746" spans="3:25">
      <c r="C1746" s="146"/>
      <c r="E1746" s="147"/>
      <c r="F1746" s="146"/>
      <c r="I1746" s="147"/>
      <c r="J1746" s="146"/>
      <c r="M1746" s="147"/>
      <c r="N1746" s="146"/>
      <c r="Q1746" s="146"/>
      <c r="T1746" s="146"/>
      <c r="V1746" s="147"/>
      <c r="W1746" s="146"/>
      <c r="Y1746" s="147"/>
    </row>
    <row r="1747" spans="3:25">
      <c r="C1747" s="146"/>
      <c r="E1747" s="147"/>
      <c r="F1747" s="146"/>
      <c r="I1747" s="147"/>
      <c r="J1747" s="146"/>
      <c r="M1747" s="147"/>
      <c r="N1747" s="146"/>
      <c r="Q1747" s="146"/>
      <c r="T1747" s="146"/>
      <c r="V1747" s="147"/>
      <c r="W1747" s="146"/>
      <c r="Y1747" s="147"/>
    </row>
    <row r="1748" spans="3:25">
      <c r="C1748" s="146"/>
      <c r="E1748" s="147"/>
      <c r="F1748" s="146"/>
      <c r="I1748" s="147"/>
      <c r="J1748" s="146"/>
      <c r="M1748" s="147"/>
      <c r="N1748" s="146"/>
      <c r="Q1748" s="146"/>
      <c r="T1748" s="146"/>
      <c r="V1748" s="147"/>
      <c r="W1748" s="146"/>
      <c r="Y1748" s="147"/>
    </row>
    <row r="1749" spans="3:25">
      <c r="C1749" s="146"/>
      <c r="E1749" s="147"/>
      <c r="F1749" s="146"/>
      <c r="I1749" s="147"/>
      <c r="J1749" s="146"/>
      <c r="M1749" s="147"/>
      <c r="N1749" s="146"/>
      <c r="Q1749" s="146"/>
      <c r="T1749" s="146"/>
      <c r="V1749" s="147"/>
      <c r="W1749" s="146"/>
      <c r="Y1749" s="147"/>
    </row>
    <row r="1750" spans="3:25">
      <c r="C1750" s="146"/>
      <c r="E1750" s="147"/>
      <c r="F1750" s="146"/>
      <c r="I1750" s="147"/>
      <c r="J1750" s="146"/>
      <c r="M1750" s="147"/>
      <c r="N1750" s="146"/>
      <c r="Q1750" s="146"/>
      <c r="T1750" s="146"/>
      <c r="V1750" s="147"/>
      <c r="W1750" s="146"/>
      <c r="Y1750" s="147"/>
    </row>
    <row r="1751" spans="3:25">
      <c r="C1751" s="146"/>
      <c r="E1751" s="147"/>
      <c r="F1751" s="146"/>
      <c r="I1751" s="147"/>
      <c r="J1751" s="146"/>
      <c r="M1751" s="147"/>
      <c r="N1751" s="146"/>
      <c r="Q1751" s="146"/>
      <c r="T1751" s="146"/>
      <c r="V1751" s="147"/>
      <c r="W1751" s="146"/>
      <c r="Y1751" s="147"/>
    </row>
    <row r="1752" spans="3:25">
      <c r="C1752" s="146"/>
      <c r="E1752" s="147"/>
      <c r="F1752" s="146"/>
      <c r="I1752" s="147"/>
      <c r="J1752" s="146"/>
      <c r="M1752" s="147"/>
      <c r="N1752" s="146"/>
      <c r="Q1752" s="146"/>
      <c r="T1752" s="146"/>
      <c r="V1752" s="147"/>
      <c r="W1752" s="146"/>
      <c r="Y1752" s="147"/>
    </row>
    <row r="1753" spans="3:25">
      <c r="C1753" s="146"/>
      <c r="E1753" s="147"/>
      <c r="F1753" s="146"/>
      <c r="I1753" s="147"/>
      <c r="J1753" s="146"/>
      <c r="M1753" s="147"/>
      <c r="N1753" s="146"/>
      <c r="Q1753" s="146"/>
      <c r="T1753" s="146"/>
      <c r="V1753" s="147"/>
      <c r="W1753" s="146"/>
      <c r="Y1753" s="147"/>
    </row>
    <row r="1754" spans="3:25">
      <c r="C1754" s="146"/>
      <c r="E1754" s="147"/>
      <c r="F1754" s="146"/>
      <c r="I1754" s="147"/>
      <c r="J1754" s="146"/>
      <c r="M1754" s="147"/>
      <c r="N1754" s="146"/>
      <c r="Q1754" s="146"/>
      <c r="T1754" s="146"/>
      <c r="V1754" s="147"/>
      <c r="W1754" s="146"/>
      <c r="Y1754" s="147"/>
    </row>
    <row r="1755" spans="3:25">
      <c r="C1755" s="146"/>
      <c r="E1755" s="147"/>
      <c r="F1755" s="146"/>
      <c r="I1755" s="147"/>
      <c r="J1755" s="146"/>
      <c r="M1755" s="147"/>
      <c r="N1755" s="146"/>
      <c r="Q1755" s="146"/>
      <c r="T1755" s="146"/>
      <c r="V1755" s="147"/>
      <c r="W1755" s="146"/>
      <c r="Y1755" s="147"/>
    </row>
    <row r="1756" spans="3:25">
      <c r="C1756" s="146"/>
      <c r="E1756" s="147"/>
      <c r="F1756" s="146"/>
      <c r="I1756" s="147"/>
      <c r="J1756" s="146"/>
      <c r="M1756" s="147"/>
      <c r="N1756" s="146"/>
      <c r="Q1756" s="146"/>
      <c r="T1756" s="146"/>
      <c r="V1756" s="147"/>
      <c r="W1756" s="146"/>
      <c r="Y1756" s="147"/>
    </row>
    <row r="1757" spans="3:25" ht="16.5" thickBot="1">
      <c r="C1757" s="146"/>
      <c r="E1757" s="147"/>
      <c r="F1757" s="146"/>
      <c r="I1757" s="147"/>
      <c r="J1757" s="146"/>
      <c r="M1757" s="147"/>
      <c r="N1757" s="359"/>
      <c r="O1757" s="362"/>
      <c r="P1757" s="362"/>
      <c r="Q1757" s="146"/>
      <c r="T1757" s="146"/>
      <c r="V1757" s="147"/>
      <c r="W1757" s="146"/>
      <c r="Y1757" s="147"/>
    </row>
    <row r="1758" spans="3:25">
      <c r="C1758" s="146"/>
      <c r="E1758" s="147"/>
      <c r="F1758" s="146"/>
      <c r="I1758" s="147"/>
      <c r="J1758" s="146"/>
      <c r="M1758" s="147"/>
      <c r="Q1758" s="146"/>
      <c r="T1758" s="146"/>
      <c r="V1758" s="147"/>
      <c r="W1758" s="146"/>
      <c r="Y1758" s="147"/>
    </row>
    <row r="1759" spans="3:25">
      <c r="C1759" s="146"/>
      <c r="E1759" s="147"/>
      <c r="F1759" s="146"/>
      <c r="I1759" s="147"/>
      <c r="J1759" s="146"/>
      <c r="M1759" s="147"/>
      <c r="Q1759" s="146"/>
      <c r="T1759" s="146"/>
      <c r="V1759" s="147"/>
      <c r="W1759" s="146"/>
      <c r="Y1759" s="147"/>
    </row>
    <row r="1760" spans="3:25">
      <c r="C1760" s="146"/>
      <c r="E1760" s="147"/>
      <c r="F1760" s="146"/>
      <c r="I1760" s="147"/>
      <c r="J1760" s="146"/>
      <c r="M1760" s="147"/>
      <c r="Q1760" s="146"/>
      <c r="T1760" s="146"/>
      <c r="V1760" s="147"/>
      <c r="W1760" s="146"/>
      <c r="Y1760" s="147"/>
    </row>
    <row r="1761" spans="3:25">
      <c r="C1761" s="146"/>
      <c r="E1761" s="147"/>
      <c r="F1761" s="146"/>
      <c r="I1761" s="147"/>
      <c r="J1761" s="146"/>
      <c r="M1761" s="147"/>
      <c r="Q1761" s="146"/>
      <c r="T1761" s="146"/>
      <c r="V1761" s="147"/>
      <c r="W1761" s="146"/>
      <c r="Y1761" s="147"/>
    </row>
    <row r="1762" spans="3:25">
      <c r="C1762" s="146"/>
      <c r="E1762" s="147"/>
      <c r="F1762" s="146"/>
      <c r="I1762" s="147"/>
      <c r="J1762" s="146"/>
      <c r="M1762" s="147"/>
      <c r="Q1762" s="146"/>
      <c r="T1762" s="146"/>
      <c r="V1762" s="147"/>
      <c r="W1762" s="146"/>
      <c r="Y1762" s="147"/>
    </row>
    <row r="1763" spans="3:25">
      <c r="C1763" s="146"/>
      <c r="E1763" s="147"/>
      <c r="F1763" s="146"/>
      <c r="I1763" s="147"/>
      <c r="J1763" s="146"/>
      <c r="M1763" s="147"/>
      <c r="Q1763" s="146"/>
      <c r="T1763" s="146"/>
      <c r="V1763" s="147"/>
      <c r="W1763" s="146"/>
      <c r="Y1763" s="147"/>
    </row>
    <row r="1764" spans="3:25">
      <c r="C1764" s="146"/>
      <c r="E1764" s="147"/>
      <c r="F1764" s="146"/>
      <c r="I1764" s="147"/>
      <c r="J1764" s="146"/>
      <c r="M1764" s="147"/>
      <c r="Q1764" s="146"/>
      <c r="T1764" s="146"/>
      <c r="V1764" s="147"/>
      <c r="W1764" s="146"/>
      <c r="Y1764" s="147"/>
    </row>
    <row r="1765" spans="3:25">
      <c r="C1765" s="146"/>
      <c r="E1765" s="147"/>
      <c r="F1765" s="146"/>
      <c r="I1765" s="147"/>
      <c r="J1765" s="146"/>
      <c r="M1765" s="147"/>
      <c r="Q1765" s="146"/>
      <c r="T1765" s="146"/>
      <c r="V1765" s="147"/>
      <c r="W1765" s="146"/>
      <c r="Y1765" s="147"/>
    </row>
    <row r="1766" spans="3:25">
      <c r="C1766" s="146"/>
      <c r="E1766" s="147"/>
      <c r="F1766" s="146"/>
      <c r="I1766" s="147"/>
      <c r="J1766" s="146"/>
      <c r="M1766" s="147"/>
      <c r="Q1766" s="146"/>
      <c r="T1766" s="146"/>
      <c r="V1766" s="147"/>
      <c r="W1766" s="146"/>
      <c r="Y1766" s="147"/>
    </row>
    <row r="1767" spans="3:25">
      <c r="C1767" s="146"/>
      <c r="E1767" s="147"/>
      <c r="F1767" s="146"/>
      <c r="I1767" s="147"/>
      <c r="J1767" s="146"/>
      <c r="M1767" s="147"/>
      <c r="Q1767" s="146"/>
      <c r="T1767" s="146"/>
      <c r="V1767" s="147"/>
      <c r="W1767" s="146"/>
      <c r="Y1767" s="147"/>
    </row>
    <row r="1768" spans="3:25">
      <c r="C1768" s="146"/>
      <c r="E1768" s="147"/>
      <c r="F1768" s="146"/>
      <c r="I1768" s="147"/>
      <c r="J1768" s="146"/>
      <c r="M1768" s="147"/>
      <c r="Q1768" s="146"/>
      <c r="T1768" s="146"/>
      <c r="V1768" s="147"/>
      <c r="W1768" s="146"/>
      <c r="Y1768" s="147"/>
    </row>
    <row r="1769" spans="3:25">
      <c r="C1769" s="146"/>
      <c r="E1769" s="147"/>
      <c r="F1769" s="146"/>
      <c r="I1769" s="147"/>
      <c r="J1769" s="146"/>
      <c r="M1769" s="147"/>
      <c r="Q1769" s="146"/>
      <c r="T1769" s="146"/>
      <c r="V1769" s="147"/>
      <c r="W1769" s="146"/>
      <c r="Y1769" s="147"/>
    </row>
    <row r="1770" spans="3:25">
      <c r="C1770" s="146"/>
      <c r="E1770" s="147"/>
      <c r="F1770" s="146"/>
      <c r="I1770" s="147"/>
      <c r="J1770" s="146"/>
      <c r="M1770" s="147"/>
      <c r="Q1770" s="146"/>
      <c r="T1770" s="146"/>
      <c r="V1770" s="147"/>
      <c r="W1770" s="146"/>
      <c r="Y1770" s="147"/>
    </row>
    <row r="1771" spans="3:25">
      <c r="C1771" s="146"/>
      <c r="E1771" s="147"/>
      <c r="F1771" s="146"/>
      <c r="I1771" s="147"/>
      <c r="J1771" s="146"/>
      <c r="M1771" s="147"/>
      <c r="Q1771" s="146"/>
      <c r="T1771" s="146"/>
      <c r="V1771" s="147"/>
      <c r="W1771" s="146"/>
      <c r="Y1771" s="147"/>
    </row>
    <row r="1772" spans="3:25">
      <c r="C1772" s="146"/>
      <c r="E1772" s="147"/>
      <c r="F1772" s="146"/>
      <c r="I1772" s="147"/>
      <c r="J1772" s="146"/>
      <c r="M1772" s="147"/>
      <c r="Q1772" s="146"/>
      <c r="T1772" s="146"/>
      <c r="V1772" s="147"/>
      <c r="W1772" s="146"/>
      <c r="Y1772" s="147"/>
    </row>
    <row r="1773" spans="3:25">
      <c r="C1773" s="146"/>
      <c r="E1773" s="147"/>
      <c r="F1773" s="146"/>
      <c r="I1773" s="147"/>
      <c r="J1773" s="146"/>
      <c r="M1773" s="147"/>
      <c r="Q1773" s="146"/>
      <c r="T1773" s="146"/>
      <c r="V1773" s="147"/>
      <c r="W1773" s="146"/>
      <c r="Y1773" s="147"/>
    </row>
    <row r="1774" spans="3:25">
      <c r="C1774" s="146"/>
      <c r="E1774" s="147"/>
      <c r="F1774" s="146"/>
      <c r="I1774" s="147"/>
      <c r="J1774" s="146"/>
      <c r="M1774" s="147"/>
      <c r="Q1774" s="146"/>
      <c r="T1774" s="146"/>
      <c r="V1774" s="147"/>
      <c r="W1774" s="146"/>
      <c r="Y1774" s="147"/>
    </row>
    <row r="1775" spans="3:25">
      <c r="C1775" s="146"/>
      <c r="E1775" s="147"/>
      <c r="F1775" s="146"/>
      <c r="I1775" s="147"/>
      <c r="J1775" s="146"/>
      <c r="M1775" s="147"/>
      <c r="Q1775" s="146"/>
      <c r="T1775" s="146"/>
      <c r="V1775" s="147"/>
      <c r="W1775" s="146"/>
      <c r="Y1775" s="147"/>
    </row>
    <row r="1776" spans="3:25">
      <c r="C1776" s="146"/>
      <c r="E1776" s="147"/>
      <c r="F1776" s="146"/>
      <c r="I1776" s="147"/>
      <c r="J1776" s="146"/>
      <c r="M1776" s="147"/>
      <c r="Q1776" s="146"/>
      <c r="T1776" s="146"/>
      <c r="V1776" s="147"/>
      <c r="W1776" s="146"/>
      <c r="Y1776" s="147"/>
    </row>
    <row r="1777" spans="3:25">
      <c r="C1777" s="146"/>
      <c r="E1777" s="147"/>
      <c r="F1777" s="146"/>
      <c r="I1777" s="147"/>
      <c r="J1777" s="146"/>
      <c r="M1777" s="147"/>
      <c r="Q1777" s="146"/>
      <c r="T1777" s="146"/>
      <c r="V1777" s="147"/>
      <c r="W1777" s="146"/>
      <c r="Y1777" s="147"/>
    </row>
    <row r="1778" spans="3:25">
      <c r="C1778" s="146"/>
      <c r="E1778" s="147"/>
      <c r="F1778" s="146"/>
      <c r="I1778" s="147"/>
      <c r="J1778" s="146"/>
      <c r="M1778" s="147"/>
      <c r="Q1778" s="146"/>
      <c r="T1778" s="146"/>
      <c r="V1778" s="147"/>
      <c r="W1778" s="146"/>
      <c r="Y1778" s="147"/>
    </row>
    <row r="1779" spans="3:25">
      <c r="C1779" s="146"/>
      <c r="E1779" s="147"/>
      <c r="F1779" s="146"/>
      <c r="I1779" s="147"/>
      <c r="J1779" s="146"/>
      <c r="M1779" s="147"/>
      <c r="Q1779" s="146"/>
      <c r="T1779" s="146"/>
      <c r="V1779" s="147"/>
      <c r="W1779" s="146"/>
      <c r="Y1779" s="147"/>
    </row>
    <row r="1780" spans="3:25">
      <c r="C1780" s="146"/>
      <c r="E1780" s="147"/>
      <c r="F1780" s="146"/>
      <c r="I1780" s="147"/>
      <c r="J1780" s="146"/>
      <c r="M1780" s="147"/>
      <c r="Q1780" s="146"/>
      <c r="T1780" s="146"/>
      <c r="V1780" s="147"/>
      <c r="W1780" s="146"/>
      <c r="Y1780" s="147"/>
    </row>
    <row r="1781" spans="3:25">
      <c r="C1781" s="146"/>
      <c r="E1781" s="147"/>
      <c r="F1781" s="146"/>
      <c r="I1781" s="147"/>
      <c r="J1781" s="146"/>
      <c r="M1781" s="147"/>
      <c r="Q1781" s="146"/>
      <c r="T1781" s="146"/>
      <c r="V1781" s="147"/>
      <c r="W1781" s="146"/>
      <c r="Y1781" s="147"/>
    </row>
    <row r="1782" spans="3:25">
      <c r="C1782" s="146"/>
      <c r="E1782" s="147"/>
      <c r="F1782" s="146"/>
      <c r="I1782" s="147"/>
      <c r="J1782" s="146"/>
      <c r="M1782" s="147"/>
      <c r="Q1782" s="146"/>
      <c r="T1782" s="146"/>
      <c r="V1782" s="147"/>
      <c r="W1782" s="146"/>
      <c r="Y1782" s="147"/>
    </row>
    <row r="1783" spans="3:25">
      <c r="C1783" s="146"/>
      <c r="E1783" s="147"/>
      <c r="F1783" s="146"/>
      <c r="I1783" s="147"/>
      <c r="J1783" s="146"/>
      <c r="M1783" s="147"/>
      <c r="Q1783" s="146"/>
      <c r="T1783" s="146"/>
      <c r="V1783" s="147"/>
      <c r="W1783" s="146"/>
      <c r="Y1783" s="147"/>
    </row>
    <row r="1784" spans="3:25">
      <c r="C1784" s="146"/>
      <c r="E1784" s="147"/>
      <c r="F1784" s="146"/>
      <c r="I1784" s="147"/>
      <c r="J1784" s="146"/>
      <c r="M1784" s="147"/>
      <c r="Q1784" s="146"/>
      <c r="T1784" s="146"/>
      <c r="V1784" s="147"/>
      <c r="W1784" s="146"/>
      <c r="Y1784" s="147"/>
    </row>
    <row r="1785" spans="3:25">
      <c r="C1785" s="146"/>
      <c r="E1785" s="147"/>
      <c r="F1785" s="146"/>
      <c r="I1785" s="147"/>
      <c r="J1785" s="146"/>
      <c r="M1785" s="147"/>
      <c r="Q1785" s="146"/>
      <c r="T1785" s="146"/>
      <c r="V1785" s="147"/>
      <c r="W1785" s="146"/>
      <c r="Y1785" s="147"/>
    </row>
    <row r="1786" spans="3:25">
      <c r="C1786" s="146"/>
      <c r="E1786" s="147"/>
      <c r="F1786" s="146"/>
      <c r="I1786" s="147"/>
      <c r="J1786" s="146"/>
      <c r="M1786" s="147"/>
      <c r="Q1786" s="146"/>
      <c r="T1786" s="146"/>
      <c r="V1786" s="147"/>
      <c r="W1786" s="146"/>
      <c r="Y1786" s="147"/>
    </row>
    <row r="1787" spans="3:25">
      <c r="C1787" s="146"/>
      <c r="E1787" s="147"/>
      <c r="F1787" s="146"/>
      <c r="I1787" s="147"/>
      <c r="J1787" s="146"/>
      <c r="M1787" s="147"/>
      <c r="Q1787" s="146"/>
      <c r="T1787" s="146"/>
      <c r="V1787" s="147"/>
      <c r="W1787" s="146"/>
      <c r="Y1787" s="147"/>
    </row>
    <row r="1788" spans="3:25">
      <c r="C1788" s="146"/>
      <c r="E1788" s="147"/>
      <c r="F1788" s="146"/>
      <c r="I1788" s="147"/>
      <c r="J1788" s="146"/>
      <c r="M1788" s="147"/>
      <c r="Q1788" s="146"/>
      <c r="T1788" s="146"/>
      <c r="V1788" s="147"/>
      <c r="W1788" s="146"/>
      <c r="Y1788" s="147"/>
    </row>
    <row r="1789" spans="3:25">
      <c r="C1789" s="146"/>
      <c r="E1789" s="147"/>
      <c r="F1789" s="146"/>
      <c r="I1789" s="147"/>
      <c r="J1789" s="146"/>
      <c r="M1789" s="147"/>
      <c r="Q1789" s="146"/>
      <c r="T1789" s="146"/>
      <c r="V1789" s="147"/>
      <c r="W1789" s="146"/>
      <c r="Y1789" s="147"/>
    </row>
    <row r="1790" spans="3:25">
      <c r="C1790" s="146"/>
      <c r="E1790" s="147"/>
      <c r="F1790" s="146"/>
      <c r="I1790" s="147"/>
      <c r="J1790" s="146"/>
      <c r="M1790" s="147"/>
      <c r="Q1790" s="146"/>
      <c r="T1790" s="146"/>
      <c r="V1790" s="147"/>
      <c r="W1790" s="146"/>
      <c r="Y1790" s="147"/>
    </row>
    <row r="1791" spans="3:25">
      <c r="C1791" s="146"/>
      <c r="E1791" s="147"/>
      <c r="F1791" s="146"/>
      <c r="I1791" s="147"/>
      <c r="J1791" s="146"/>
      <c r="M1791" s="147"/>
      <c r="Q1791" s="146"/>
      <c r="T1791" s="146"/>
      <c r="V1791" s="147"/>
      <c r="W1791" s="146"/>
      <c r="Y1791" s="147"/>
    </row>
    <row r="1792" spans="3:25">
      <c r="C1792" s="146"/>
      <c r="E1792" s="147"/>
      <c r="F1792" s="146"/>
      <c r="I1792" s="147"/>
      <c r="J1792" s="146"/>
      <c r="M1792" s="147"/>
      <c r="Q1792" s="146"/>
      <c r="T1792" s="146"/>
      <c r="V1792" s="147"/>
      <c r="W1792" s="146"/>
      <c r="Y1792" s="147"/>
    </row>
    <row r="1793" spans="3:25">
      <c r="C1793" s="146"/>
      <c r="E1793" s="147"/>
      <c r="F1793" s="146"/>
      <c r="I1793" s="147"/>
      <c r="J1793" s="146"/>
      <c r="M1793" s="147"/>
      <c r="Q1793" s="146"/>
      <c r="T1793" s="146"/>
      <c r="V1793" s="147"/>
      <c r="W1793" s="146"/>
      <c r="Y1793" s="147"/>
    </row>
    <row r="1794" spans="3:25">
      <c r="C1794" s="146"/>
      <c r="E1794" s="147"/>
      <c r="F1794" s="146"/>
      <c r="I1794" s="147"/>
      <c r="J1794" s="146"/>
      <c r="M1794" s="147"/>
      <c r="Q1794" s="146"/>
      <c r="T1794" s="146"/>
      <c r="V1794" s="147"/>
      <c r="W1794" s="146"/>
      <c r="Y1794" s="147"/>
    </row>
    <row r="1795" spans="3:25">
      <c r="C1795" s="146"/>
      <c r="E1795" s="147"/>
      <c r="F1795" s="146"/>
      <c r="I1795" s="147"/>
      <c r="J1795" s="146"/>
      <c r="M1795" s="147"/>
      <c r="Q1795" s="146"/>
      <c r="T1795" s="146"/>
      <c r="V1795" s="147"/>
      <c r="W1795" s="146"/>
      <c r="Y1795" s="147"/>
    </row>
    <row r="1796" spans="3:25">
      <c r="C1796" s="146"/>
      <c r="E1796" s="147"/>
      <c r="F1796" s="146"/>
      <c r="I1796" s="147"/>
      <c r="J1796" s="146"/>
      <c r="M1796" s="147"/>
      <c r="Q1796" s="146"/>
      <c r="T1796" s="146"/>
      <c r="V1796" s="147"/>
      <c r="W1796" s="146"/>
      <c r="Y1796" s="147"/>
    </row>
    <row r="1797" spans="3:25">
      <c r="C1797" s="146"/>
      <c r="E1797" s="147"/>
      <c r="F1797" s="146"/>
      <c r="I1797" s="147"/>
      <c r="J1797" s="146"/>
      <c r="M1797" s="147"/>
      <c r="Q1797" s="146"/>
      <c r="T1797" s="146"/>
      <c r="V1797" s="147"/>
      <c r="W1797" s="146"/>
      <c r="Y1797" s="147"/>
    </row>
    <row r="1798" spans="3:25">
      <c r="C1798" s="146"/>
      <c r="E1798" s="147"/>
      <c r="F1798" s="146"/>
      <c r="I1798" s="147"/>
      <c r="J1798" s="146"/>
      <c r="M1798" s="147"/>
      <c r="Q1798" s="146"/>
      <c r="T1798" s="146"/>
      <c r="V1798" s="147"/>
      <c r="W1798" s="146"/>
      <c r="Y1798" s="147"/>
    </row>
    <row r="1799" spans="3:25">
      <c r="C1799" s="146"/>
      <c r="E1799" s="147"/>
      <c r="F1799" s="146"/>
      <c r="I1799" s="147"/>
      <c r="J1799" s="146"/>
      <c r="M1799" s="147"/>
      <c r="Q1799" s="146"/>
      <c r="T1799" s="146"/>
      <c r="V1799" s="147"/>
      <c r="W1799" s="146"/>
      <c r="Y1799" s="147"/>
    </row>
    <row r="1800" spans="3:25">
      <c r="C1800" s="146"/>
      <c r="E1800" s="147"/>
      <c r="F1800" s="146"/>
      <c r="I1800" s="147"/>
      <c r="J1800" s="146"/>
      <c r="M1800" s="147"/>
      <c r="Q1800" s="146"/>
      <c r="T1800" s="146"/>
      <c r="V1800" s="147"/>
      <c r="W1800" s="146"/>
      <c r="Y1800" s="147"/>
    </row>
    <row r="1801" spans="3:25">
      <c r="C1801" s="146"/>
      <c r="E1801" s="147"/>
      <c r="F1801" s="146"/>
      <c r="I1801" s="147"/>
      <c r="J1801" s="146"/>
      <c r="M1801" s="147"/>
      <c r="Q1801" s="146"/>
      <c r="T1801" s="146"/>
      <c r="V1801" s="147"/>
      <c r="W1801" s="146"/>
      <c r="Y1801" s="147"/>
    </row>
    <row r="1802" spans="3:25">
      <c r="C1802" s="146"/>
      <c r="E1802" s="147"/>
      <c r="F1802" s="146"/>
      <c r="I1802" s="147"/>
      <c r="J1802" s="146"/>
      <c r="M1802" s="147"/>
      <c r="Q1802" s="146"/>
      <c r="T1802" s="146"/>
      <c r="V1802" s="147"/>
      <c r="W1802" s="146"/>
      <c r="Y1802" s="147"/>
    </row>
    <row r="1803" spans="3:25">
      <c r="C1803" s="146"/>
      <c r="E1803" s="147"/>
      <c r="F1803" s="146"/>
      <c r="I1803" s="147"/>
      <c r="J1803" s="146"/>
      <c r="M1803" s="147"/>
      <c r="Q1803" s="146"/>
      <c r="T1803" s="146"/>
      <c r="V1803" s="147"/>
      <c r="W1803" s="146"/>
      <c r="Y1803" s="147"/>
    </row>
    <row r="1804" spans="3:25">
      <c r="C1804" s="146"/>
      <c r="E1804" s="147"/>
      <c r="F1804" s="146"/>
      <c r="I1804" s="147"/>
      <c r="J1804" s="146"/>
      <c r="M1804" s="147"/>
      <c r="Q1804" s="146"/>
      <c r="T1804" s="146"/>
      <c r="V1804" s="147"/>
      <c r="W1804" s="146"/>
      <c r="Y1804" s="147"/>
    </row>
    <row r="1805" spans="3:25">
      <c r="C1805" s="146"/>
      <c r="E1805" s="147"/>
      <c r="F1805" s="146"/>
      <c r="I1805" s="147"/>
      <c r="J1805" s="146"/>
      <c r="M1805" s="147"/>
      <c r="Q1805" s="146"/>
      <c r="T1805" s="146"/>
      <c r="V1805" s="147"/>
      <c r="W1805" s="146"/>
      <c r="Y1805" s="147"/>
    </row>
    <row r="1806" spans="3:25">
      <c r="C1806" s="146"/>
      <c r="E1806" s="147"/>
      <c r="F1806" s="146"/>
      <c r="I1806" s="147"/>
      <c r="J1806" s="146"/>
      <c r="M1806" s="147"/>
      <c r="Q1806" s="146"/>
      <c r="T1806" s="146"/>
      <c r="V1806" s="147"/>
      <c r="W1806" s="146"/>
      <c r="Y1806" s="147"/>
    </row>
    <row r="1807" spans="3:25">
      <c r="C1807" s="146"/>
      <c r="E1807" s="147"/>
      <c r="F1807" s="146"/>
      <c r="I1807" s="147"/>
      <c r="J1807" s="146"/>
      <c r="M1807" s="147"/>
      <c r="Q1807" s="146"/>
      <c r="T1807" s="146"/>
      <c r="V1807" s="147"/>
      <c r="W1807" s="146"/>
      <c r="Y1807" s="147"/>
    </row>
    <row r="1808" spans="3:25">
      <c r="C1808" s="146"/>
      <c r="E1808" s="147"/>
      <c r="F1808" s="146"/>
      <c r="I1808" s="147"/>
      <c r="J1808" s="146"/>
      <c r="M1808" s="147"/>
      <c r="Q1808" s="146"/>
      <c r="T1808" s="146"/>
      <c r="V1808" s="147"/>
      <c r="W1808" s="146"/>
      <c r="Y1808" s="147"/>
    </row>
    <row r="1809" spans="3:25">
      <c r="C1809" s="146"/>
      <c r="E1809" s="147"/>
      <c r="F1809" s="146"/>
      <c r="I1809" s="147"/>
      <c r="J1809" s="146"/>
      <c r="M1809" s="147"/>
      <c r="Q1809" s="146"/>
      <c r="T1809" s="146"/>
      <c r="V1809" s="147"/>
      <c r="W1809" s="146"/>
      <c r="Y1809" s="147"/>
    </row>
    <row r="1810" spans="3:25">
      <c r="C1810" s="146"/>
      <c r="E1810" s="147"/>
      <c r="F1810" s="146"/>
      <c r="I1810" s="147"/>
      <c r="J1810" s="146"/>
      <c r="M1810" s="147"/>
      <c r="Q1810" s="146"/>
      <c r="T1810" s="146"/>
      <c r="V1810" s="147"/>
      <c r="W1810" s="146"/>
      <c r="Y1810" s="147"/>
    </row>
    <row r="1811" spans="3:25">
      <c r="C1811" s="146"/>
      <c r="E1811" s="147"/>
      <c r="F1811" s="146"/>
      <c r="I1811" s="147"/>
      <c r="J1811" s="146"/>
      <c r="M1811" s="147"/>
      <c r="Q1811" s="146"/>
      <c r="T1811" s="146"/>
      <c r="V1811" s="147"/>
      <c r="W1811" s="146"/>
      <c r="Y1811" s="147"/>
    </row>
    <row r="1812" spans="3:25">
      <c r="C1812" s="146"/>
      <c r="E1812" s="147"/>
      <c r="F1812" s="146"/>
      <c r="I1812" s="147"/>
      <c r="J1812" s="146"/>
      <c r="M1812" s="147"/>
      <c r="Q1812" s="146"/>
      <c r="T1812" s="146"/>
      <c r="V1812" s="147"/>
      <c r="W1812" s="146"/>
      <c r="Y1812" s="147"/>
    </row>
    <row r="1813" spans="3:25">
      <c r="C1813" s="146"/>
      <c r="E1813" s="147"/>
      <c r="F1813" s="146"/>
      <c r="I1813" s="147"/>
      <c r="J1813" s="146"/>
      <c r="M1813" s="147"/>
      <c r="Q1813" s="146"/>
      <c r="T1813" s="146"/>
      <c r="V1813" s="147"/>
      <c r="W1813" s="146"/>
      <c r="Y1813" s="147"/>
    </row>
    <row r="1814" spans="3:25">
      <c r="C1814" s="146"/>
      <c r="E1814" s="147"/>
      <c r="F1814" s="146"/>
      <c r="I1814" s="147"/>
      <c r="J1814" s="146"/>
      <c r="M1814" s="147"/>
      <c r="Q1814" s="146"/>
      <c r="T1814" s="146"/>
      <c r="V1814" s="147"/>
      <c r="W1814" s="146"/>
      <c r="Y1814" s="147"/>
    </row>
    <row r="1815" spans="3:25">
      <c r="C1815" s="146"/>
      <c r="E1815" s="147"/>
      <c r="F1815" s="146"/>
      <c r="I1815" s="147"/>
      <c r="J1815" s="146"/>
      <c r="M1815" s="147"/>
      <c r="Q1815" s="146"/>
      <c r="T1815" s="146"/>
      <c r="V1815" s="147"/>
      <c r="W1815" s="146"/>
      <c r="Y1815" s="147"/>
    </row>
    <row r="1816" spans="3:25">
      <c r="C1816" s="146"/>
      <c r="E1816" s="147"/>
      <c r="F1816" s="146"/>
      <c r="I1816" s="147"/>
      <c r="J1816" s="146"/>
      <c r="M1816" s="147"/>
      <c r="Q1816" s="146"/>
      <c r="T1816" s="146"/>
      <c r="V1816" s="147"/>
      <c r="W1816" s="146"/>
      <c r="Y1816" s="147"/>
    </row>
    <row r="1817" spans="3:25">
      <c r="C1817" s="146"/>
      <c r="E1817" s="147"/>
      <c r="F1817" s="146"/>
      <c r="I1817" s="147"/>
      <c r="J1817" s="146"/>
      <c r="M1817" s="147"/>
      <c r="Q1817" s="146"/>
      <c r="T1817" s="146"/>
      <c r="V1817" s="147"/>
      <c r="W1817" s="146"/>
      <c r="Y1817" s="147"/>
    </row>
    <row r="1818" spans="3:25">
      <c r="C1818" s="146"/>
      <c r="E1818" s="147"/>
      <c r="F1818" s="146"/>
      <c r="I1818" s="147"/>
      <c r="J1818" s="146"/>
      <c r="M1818" s="147"/>
      <c r="Q1818" s="146"/>
      <c r="T1818" s="146"/>
      <c r="V1818" s="147"/>
      <c r="W1818" s="146"/>
      <c r="Y1818" s="147"/>
    </row>
    <row r="1819" spans="3:25">
      <c r="C1819" s="146"/>
      <c r="E1819" s="147"/>
      <c r="F1819" s="146"/>
      <c r="I1819" s="147"/>
      <c r="J1819" s="146"/>
      <c r="M1819" s="147"/>
      <c r="Q1819" s="146"/>
      <c r="T1819" s="146"/>
      <c r="V1819" s="147"/>
      <c r="W1819" s="146"/>
      <c r="Y1819" s="147"/>
    </row>
    <row r="1820" spans="3:25">
      <c r="C1820" s="146"/>
      <c r="E1820" s="147"/>
      <c r="F1820" s="146"/>
      <c r="I1820" s="147"/>
      <c r="J1820" s="146"/>
      <c r="M1820" s="147"/>
      <c r="Q1820" s="146"/>
      <c r="T1820" s="146"/>
      <c r="V1820" s="147"/>
      <c r="W1820" s="146"/>
      <c r="Y1820" s="147"/>
    </row>
    <row r="1821" spans="3:25">
      <c r="C1821" s="146"/>
      <c r="E1821" s="147"/>
      <c r="F1821" s="146"/>
      <c r="I1821" s="147"/>
      <c r="J1821" s="146"/>
      <c r="M1821" s="147"/>
      <c r="Q1821" s="146"/>
      <c r="T1821" s="146"/>
      <c r="V1821" s="147"/>
      <c r="W1821" s="146"/>
      <c r="Y1821" s="147"/>
    </row>
    <row r="1822" spans="3:25">
      <c r="C1822" s="146"/>
      <c r="E1822" s="147"/>
      <c r="F1822" s="146"/>
      <c r="I1822" s="147"/>
      <c r="J1822" s="146"/>
      <c r="M1822" s="147"/>
      <c r="Q1822" s="146"/>
      <c r="T1822" s="146"/>
      <c r="V1822" s="147"/>
      <c r="W1822" s="146"/>
      <c r="Y1822" s="147"/>
    </row>
    <row r="1823" spans="3:25">
      <c r="C1823" s="146"/>
      <c r="E1823" s="147"/>
      <c r="F1823" s="146"/>
      <c r="I1823" s="147"/>
      <c r="J1823" s="146"/>
      <c r="M1823" s="147"/>
      <c r="Q1823" s="146"/>
      <c r="T1823" s="146"/>
      <c r="V1823" s="147"/>
      <c r="W1823" s="146"/>
      <c r="Y1823" s="147"/>
    </row>
    <row r="1824" spans="3:25">
      <c r="C1824" s="146"/>
      <c r="E1824" s="147"/>
      <c r="F1824" s="146"/>
      <c r="I1824" s="147"/>
      <c r="J1824" s="146"/>
      <c r="M1824" s="147"/>
      <c r="Q1824" s="146"/>
      <c r="T1824" s="146"/>
      <c r="V1824" s="147"/>
      <c r="W1824" s="146"/>
      <c r="Y1824" s="147"/>
    </row>
    <row r="1825" spans="3:25">
      <c r="C1825" s="146"/>
      <c r="E1825" s="147"/>
      <c r="F1825" s="146"/>
      <c r="I1825" s="147"/>
      <c r="J1825" s="146"/>
      <c r="M1825" s="147"/>
      <c r="Q1825" s="146"/>
      <c r="T1825" s="146"/>
      <c r="V1825" s="147"/>
      <c r="W1825" s="146"/>
      <c r="Y1825" s="147"/>
    </row>
    <row r="1826" spans="3:25">
      <c r="C1826" s="146"/>
      <c r="E1826" s="147"/>
      <c r="F1826" s="146"/>
      <c r="I1826" s="147"/>
      <c r="J1826" s="146"/>
      <c r="M1826" s="147"/>
      <c r="Q1826" s="146"/>
      <c r="T1826" s="146"/>
      <c r="V1826" s="147"/>
      <c r="W1826" s="146"/>
      <c r="Y1826" s="147"/>
    </row>
    <row r="1827" spans="3:25">
      <c r="C1827" s="146"/>
      <c r="E1827" s="147"/>
      <c r="F1827" s="146"/>
      <c r="I1827" s="147"/>
      <c r="J1827" s="146"/>
      <c r="M1827" s="147"/>
      <c r="Q1827" s="146"/>
      <c r="T1827" s="146"/>
      <c r="V1827" s="147"/>
      <c r="W1827" s="146"/>
      <c r="Y1827" s="147"/>
    </row>
    <row r="1828" spans="3:25">
      <c r="C1828" s="146"/>
      <c r="E1828" s="147"/>
      <c r="F1828" s="146"/>
      <c r="I1828" s="147"/>
      <c r="J1828" s="146"/>
      <c r="M1828" s="147"/>
      <c r="Q1828" s="146"/>
      <c r="T1828" s="146"/>
      <c r="V1828" s="147"/>
      <c r="W1828" s="146"/>
      <c r="Y1828" s="147"/>
    </row>
    <row r="1829" spans="3:25">
      <c r="C1829" s="146"/>
      <c r="E1829" s="147"/>
      <c r="F1829" s="146"/>
      <c r="I1829" s="147"/>
      <c r="J1829" s="146"/>
      <c r="M1829" s="147"/>
      <c r="Q1829" s="146"/>
      <c r="T1829" s="146"/>
      <c r="V1829" s="147"/>
      <c r="W1829" s="146"/>
      <c r="Y1829" s="147"/>
    </row>
    <row r="1830" spans="3:25">
      <c r="C1830" s="146"/>
      <c r="E1830" s="147"/>
      <c r="F1830" s="146"/>
      <c r="I1830" s="147"/>
      <c r="J1830" s="146"/>
      <c r="M1830" s="147"/>
      <c r="Q1830" s="146"/>
      <c r="T1830" s="146"/>
      <c r="V1830" s="147"/>
      <c r="W1830" s="146"/>
      <c r="Y1830" s="147"/>
    </row>
    <row r="1831" spans="3:25">
      <c r="C1831" s="146"/>
      <c r="E1831" s="147"/>
      <c r="F1831" s="146"/>
      <c r="I1831" s="147"/>
      <c r="J1831" s="146"/>
      <c r="M1831" s="147"/>
      <c r="Q1831" s="146"/>
      <c r="T1831" s="146"/>
      <c r="V1831" s="147"/>
      <c r="W1831" s="146"/>
      <c r="Y1831" s="147"/>
    </row>
    <row r="1832" spans="3:25">
      <c r="C1832" s="146"/>
      <c r="E1832" s="147"/>
      <c r="F1832" s="146"/>
      <c r="I1832" s="147"/>
      <c r="J1832" s="146"/>
      <c r="M1832" s="147"/>
      <c r="Q1832" s="146"/>
      <c r="T1832" s="146"/>
      <c r="V1832" s="147"/>
      <c r="W1832" s="146"/>
      <c r="Y1832" s="147"/>
    </row>
    <row r="1833" spans="3:25">
      <c r="C1833" s="146"/>
      <c r="E1833" s="147"/>
      <c r="F1833" s="146"/>
      <c r="I1833" s="147"/>
      <c r="J1833" s="146"/>
      <c r="M1833" s="147"/>
      <c r="Q1833" s="146"/>
      <c r="T1833" s="146"/>
      <c r="V1833" s="147"/>
      <c r="W1833" s="146"/>
      <c r="Y1833" s="147"/>
    </row>
    <row r="1834" spans="3:25">
      <c r="C1834" s="146"/>
      <c r="E1834" s="147"/>
      <c r="F1834" s="146"/>
      <c r="I1834" s="147"/>
      <c r="J1834" s="146"/>
      <c r="M1834" s="147"/>
      <c r="Q1834" s="146"/>
      <c r="T1834" s="146"/>
      <c r="V1834" s="147"/>
      <c r="W1834" s="146"/>
      <c r="Y1834" s="147"/>
    </row>
    <row r="1835" spans="3:25">
      <c r="C1835" s="146"/>
      <c r="E1835" s="147"/>
      <c r="F1835" s="146"/>
      <c r="I1835" s="147"/>
      <c r="J1835" s="146"/>
      <c r="M1835" s="147"/>
      <c r="Q1835" s="146"/>
      <c r="T1835" s="146"/>
      <c r="V1835" s="147"/>
      <c r="W1835" s="146"/>
      <c r="Y1835" s="147"/>
    </row>
    <row r="1836" spans="3:25">
      <c r="C1836" s="146"/>
      <c r="E1836" s="147"/>
      <c r="F1836" s="146"/>
      <c r="I1836" s="147"/>
      <c r="J1836" s="146"/>
      <c r="M1836" s="147"/>
      <c r="Q1836" s="146"/>
      <c r="T1836" s="146"/>
      <c r="V1836" s="147"/>
      <c r="W1836" s="146"/>
      <c r="Y1836" s="147"/>
    </row>
    <row r="1837" spans="3:25">
      <c r="C1837" s="146"/>
      <c r="E1837" s="147"/>
      <c r="F1837" s="146"/>
      <c r="I1837" s="147"/>
      <c r="J1837" s="146"/>
      <c r="M1837" s="147"/>
      <c r="Q1837" s="146"/>
      <c r="T1837" s="146"/>
      <c r="V1837" s="147"/>
      <c r="W1837" s="146"/>
      <c r="Y1837" s="147"/>
    </row>
    <row r="1838" spans="3:25">
      <c r="C1838" s="146"/>
      <c r="E1838" s="147"/>
      <c r="F1838" s="146"/>
      <c r="I1838" s="147"/>
      <c r="J1838" s="146"/>
      <c r="M1838" s="147"/>
      <c r="Q1838" s="146"/>
      <c r="T1838" s="146"/>
      <c r="V1838" s="147"/>
      <c r="W1838" s="146"/>
      <c r="Y1838" s="147"/>
    </row>
    <row r="1839" spans="3:25">
      <c r="C1839" s="146"/>
      <c r="E1839" s="147"/>
      <c r="F1839" s="146"/>
      <c r="I1839" s="147"/>
      <c r="J1839" s="146"/>
      <c r="M1839" s="147"/>
      <c r="Q1839" s="146"/>
      <c r="T1839" s="146"/>
      <c r="V1839" s="147"/>
      <c r="W1839" s="146"/>
      <c r="Y1839" s="147"/>
    </row>
    <row r="1840" spans="3:25">
      <c r="C1840" s="146"/>
      <c r="E1840" s="147"/>
      <c r="F1840" s="146"/>
      <c r="I1840" s="147"/>
      <c r="J1840" s="146"/>
      <c r="M1840" s="147"/>
      <c r="Q1840" s="146"/>
      <c r="T1840" s="146"/>
      <c r="V1840" s="147"/>
      <c r="W1840" s="146"/>
      <c r="Y1840" s="147"/>
    </row>
    <row r="1841" spans="3:25">
      <c r="C1841" s="146"/>
      <c r="E1841" s="147"/>
      <c r="F1841" s="146"/>
      <c r="I1841" s="147"/>
      <c r="J1841" s="146"/>
      <c r="M1841" s="147"/>
      <c r="Q1841" s="146"/>
      <c r="T1841" s="146"/>
      <c r="V1841" s="147"/>
      <c r="W1841" s="146"/>
      <c r="Y1841" s="147"/>
    </row>
    <row r="1842" spans="3:25">
      <c r="C1842" s="146"/>
      <c r="E1842" s="147"/>
      <c r="F1842" s="146"/>
      <c r="I1842" s="147"/>
      <c r="J1842" s="146"/>
      <c r="M1842" s="147"/>
      <c r="Q1842" s="146"/>
      <c r="T1842" s="146"/>
      <c r="V1842" s="147"/>
      <c r="W1842" s="146"/>
      <c r="Y1842" s="147"/>
    </row>
    <row r="1843" spans="3:25">
      <c r="C1843" s="146"/>
      <c r="E1843" s="147"/>
      <c r="F1843" s="146"/>
      <c r="I1843" s="147"/>
      <c r="J1843" s="146"/>
      <c r="M1843" s="147"/>
      <c r="Q1843" s="146"/>
      <c r="T1843" s="146"/>
      <c r="V1843" s="147"/>
      <c r="W1843" s="146"/>
      <c r="Y1843" s="147"/>
    </row>
    <row r="1844" spans="3:25">
      <c r="C1844" s="146"/>
      <c r="E1844" s="147"/>
      <c r="F1844" s="146"/>
      <c r="I1844" s="147"/>
      <c r="J1844" s="146"/>
      <c r="M1844" s="147"/>
      <c r="Q1844" s="146"/>
      <c r="T1844" s="146"/>
      <c r="V1844" s="147"/>
      <c r="W1844" s="146"/>
      <c r="Y1844" s="147"/>
    </row>
    <row r="1845" spans="3:25">
      <c r="C1845" s="146"/>
      <c r="E1845" s="147"/>
      <c r="F1845" s="146"/>
      <c r="I1845" s="147"/>
      <c r="J1845" s="146"/>
      <c r="M1845" s="147"/>
      <c r="Q1845" s="146"/>
      <c r="T1845" s="146"/>
      <c r="V1845" s="147"/>
      <c r="W1845" s="146"/>
      <c r="Y1845" s="147"/>
    </row>
    <row r="1846" spans="3:25">
      <c r="C1846" s="146"/>
      <c r="E1846" s="147"/>
      <c r="F1846" s="146"/>
      <c r="I1846" s="147"/>
      <c r="J1846" s="146"/>
      <c r="M1846" s="147"/>
      <c r="Q1846" s="146"/>
      <c r="T1846" s="146"/>
      <c r="V1846" s="147"/>
      <c r="W1846" s="146"/>
      <c r="Y1846" s="147"/>
    </row>
    <row r="1847" spans="3:25">
      <c r="C1847" s="146"/>
      <c r="E1847" s="147"/>
      <c r="F1847" s="146"/>
      <c r="I1847" s="147"/>
      <c r="J1847" s="146"/>
      <c r="M1847" s="147"/>
      <c r="Q1847" s="146"/>
      <c r="T1847" s="146"/>
      <c r="V1847" s="147"/>
      <c r="W1847" s="146"/>
      <c r="Y1847" s="147"/>
    </row>
    <row r="1848" spans="3:25">
      <c r="C1848" s="146"/>
      <c r="E1848" s="147"/>
      <c r="F1848" s="146"/>
      <c r="I1848" s="147"/>
      <c r="J1848" s="146"/>
      <c r="M1848" s="147"/>
      <c r="Q1848" s="146"/>
      <c r="T1848" s="146"/>
      <c r="V1848" s="147"/>
      <c r="W1848" s="146"/>
      <c r="Y1848" s="147"/>
    </row>
    <row r="1849" spans="3:25">
      <c r="C1849" s="146"/>
      <c r="E1849" s="147"/>
      <c r="F1849" s="146"/>
      <c r="I1849" s="147"/>
      <c r="J1849" s="146"/>
      <c r="M1849" s="147"/>
      <c r="Q1849" s="146"/>
      <c r="T1849" s="146"/>
      <c r="V1849" s="147"/>
      <c r="W1849" s="146"/>
      <c r="Y1849" s="147"/>
    </row>
    <row r="1850" spans="3:25">
      <c r="C1850" s="146"/>
      <c r="E1850" s="147"/>
      <c r="F1850" s="146"/>
      <c r="I1850" s="147"/>
      <c r="J1850" s="146"/>
      <c r="M1850" s="147"/>
      <c r="Q1850" s="146"/>
      <c r="T1850" s="146"/>
      <c r="V1850" s="147"/>
      <c r="W1850" s="146"/>
      <c r="Y1850" s="147"/>
    </row>
    <row r="1851" spans="3:25">
      <c r="C1851" s="146"/>
      <c r="E1851" s="147"/>
      <c r="F1851" s="146"/>
      <c r="I1851" s="147"/>
      <c r="J1851" s="146"/>
      <c r="M1851" s="147"/>
      <c r="Q1851" s="146"/>
      <c r="T1851" s="146"/>
      <c r="V1851" s="147"/>
      <c r="W1851" s="146"/>
      <c r="Y1851" s="147"/>
    </row>
    <row r="1852" spans="3:25">
      <c r="C1852" s="146"/>
      <c r="E1852" s="147"/>
      <c r="F1852" s="146"/>
      <c r="I1852" s="147"/>
      <c r="J1852" s="146"/>
      <c r="M1852" s="147"/>
      <c r="Q1852" s="146"/>
      <c r="T1852" s="146"/>
      <c r="V1852" s="147"/>
      <c r="W1852" s="146"/>
      <c r="Y1852" s="147"/>
    </row>
    <row r="1853" spans="3:25">
      <c r="C1853" s="146"/>
      <c r="E1853" s="147"/>
      <c r="F1853" s="146"/>
      <c r="I1853" s="147"/>
      <c r="J1853" s="146"/>
      <c r="M1853" s="147"/>
      <c r="Q1853" s="146"/>
      <c r="T1853" s="146"/>
      <c r="V1853" s="147"/>
      <c r="W1853" s="146"/>
      <c r="Y1853" s="147"/>
    </row>
    <row r="1854" spans="3:25">
      <c r="C1854" s="146"/>
      <c r="E1854" s="147"/>
      <c r="F1854" s="146"/>
      <c r="I1854" s="147"/>
      <c r="J1854" s="146"/>
      <c r="M1854" s="147"/>
      <c r="Q1854" s="146"/>
      <c r="T1854" s="146"/>
      <c r="V1854" s="147"/>
      <c r="W1854" s="146"/>
      <c r="Y1854" s="147"/>
    </row>
    <row r="1855" spans="3:25">
      <c r="C1855" s="146"/>
      <c r="E1855" s="147"/>
      <c r="F1855" s="146"/>
      <c r="I1855" s="147"/>
      <c r="J1855" s="146"/>
      <c r="M1855" s="147"/>
      <c r="Q1855" s="146"/>
      <c r="T1855" s="146"/>
      <c r="V1855" s="147"/>
      <c r="W1855" s="146"/>
      <c r="Y1855" s="147"/>
    </row>
    <row r="1856" spans="3:25">
      <c r="C1856" s="146"/>
      <c r="E1856" s="147"/>
      <c r="F1856" s="146"/>
      <c r="I1856" s="147"/>
      <c r="J1856" s="146"/>
      <c r="M1856" s="147"/>
      <c r="Q1856" s="146"/>
      <c r="T1856" s="146"/>
      <c r="V1856" s="147"/>
      <c r="W1856" s="146"/>
      <c r="Y1856" s="147"/>
    </row>
    <row r="1857" spans="3:25">
      <c r="C1857" s="146"/>
      <c r="E1857" s="147"/>
      <c r="F1857" s="146"/>
      <c r="I1857" s="147"/>
      <c r="J1857" s="146"/>
      <c r="M1857" s="147"/>
      <c r="Q1857" s="146"/>
      <c r="T1857" s="146"/>
      <c r="V1857" s="147"/>
      <c r="W1857" s="146"/>
      <c r="Y1857" s="147"/>
    </row>
    <row r="1858" spans="3:25">
      <c r="C1858" s="146"/>
      <c r="E1858" s="147"/>
      <c r="F1858" s="146"/>
      <c r="I1858" s="147"/>
      <c r="J1858" s="146"/>
      <c r="M1858" s="147"/>
      <c r="Q1858" s="146"/>
      <c r="T1858" s="146"/>
      <c r="V1858" s="147"/>
      <c r="W1858" s="146"/>
      <c r="Y1858" s="147"/>
    </row>
    <row r="1859" spans="3:25">
      <c r="C1859" s="146"/>
      <c r="E1859" s="147"/>
      <c r="F1859" s="146"/>
      <c r="I1859" s="147"/>
      <c r="J1859" s="146"/>
      <c r="M1859" s="147"/>
      <c r="Q1859" s="146"/>
      <c r="T1859" s="146"/>
      <c r="V1859" s="147"/>
      <c r="W1859" s="146"/>
      <c r="Y1859" s="147"/>
    </row>
    <row r="1860" spans="3:25">
      <c r="C1860" s="146"/>
      <c r="E1860" s="147"/>
      <c r="F1860" s="146"/>
      <c r="I1860" s="147"/>
      <c r="J1860" s="146"/>
      <c r="M1860" s="147"/>
      <c r="Q1860" s="146"/>
      <c r="T1860" s="146"/>
      <c r="V1860" s="147"/>
      <c r="W1860" s="146"/>
      <c r="Y1860" s="147"/>
    </row>
    <row r="1861" spans="3:25">
      <c r="C1861" s="146"/>
      <c r="E1861" s="147"/>
      <c r="F1861" s="146"/>
      <c r="I1861" s="147"/>
      <c r="J1861" s="146"/>
      <c r="M1861" s="147"/>
      <c r="Q1861" s="146"/>
      <c r="T1861" s="146"/>
      <c r="V1861" s="147"/>
      <c r="W1861" s="146"/>
      <c r="Y1861" s="147"/>
    </row>
    <row r="1862" spans="3:25">
      <c r="C1862" s="146"/>
      <c r="E1862" s="147"/>
      <c r="F1862" s="146"/>
      <c r="I1862" s="147"/>
      <c r="J1862" s="146"/>
      <c r="M1862" s="147"/>
      <c r="Q1862" s="146"/>
      <c r="T1862" s="146"/>
      <c r="V1862" s="147"/>
      <c r="W1862" s="146"/>
      <c r="Y1862" s="147"/>
    </row>
    <row r="1863" spans="3:25">
      <c r="C1863" s="146"/>
      <c r="E1863" s="147"/>
      <c r="F1863" s="146"/>
      <c r="I1863" s="147"/>
      <c r="J1863" s="146"/>
      <c r="M1863" s="147"/>
      <c r="Q1863" s="146"/>
      <c r="T1863" s="146"/>
      <c r="V1863" s="147"/>
      <c r="W1863" s="146"/>
      <c r="Y1863" s="147"/>
    </row>
    <row r="1864" spans="3:25">
      <c r="C1864" s="146"/>
      <c r="E1864" s="147"/>
      <c r="F1864" s="146"/>
      <c r="I1864" s="147"/>
      <c r="J1864" s="146"/>
      <c r="M1864" s="147"/>
      <c r="Q1864" s="146"/>
      <c r="T1864" s="146"/>
      <c r="V1864" s="147"/>
      <c r="W1864" s="146"/>
      <c r="Y1864" s="147"/>
    </row>
    <row r="1865" spans="3:25">
      <c r="C1865" s="146"/>
      <c r="E1865" s="147"/>
      <c r="F1865" s="146"/>
      <c r="I1865" s="147"/>
      <c r="J1865" s="146"/>
      <c r="M1865" s="147"/>
      <c r="Q1865" s="146"/>
      <c r="T1865" s="146"/>
      <c r="V1865" s="147"/>
      <c r="W1865" s="146"/>
      <c r="Y1865" s="147"/>
    </row>
    <row r="1866" spans="3:25">
      <c r="C1866" s="146"/>
      <c r="E1866" s="147"/>
      <c r="F1866" s="146"/>
      <c r="I1866" s="147"/>
      <c r="J1866" s="146"/>
      <c r="M1866" s="147"/>
      <c r="Q1866" s="146"/>
      <c r="T1866" s="146"/>
      <c r="V1866" s="147"/>
      <c r="W1866" s="146"/>
      <c r="Y1866" s="147"/>
    </row>
    <row r="1867" spans="3:25">
      <c r="C1867" s="146"/>
      <c r="E1867" s="147"/>
      <c r="F1867" s="146"/>
      <c r="I1867" s="147"/>
      <c r="J1867" s="146"/>
      <c r="M1867" s="147"/>
      <c r="Q1867" s="146"/>
      <c r="T1867" s="146"/>
      <c r="V1867" s="147"/>
      <c r="W1867" s="146"/>
      <c r="Y1867" s="147"/>
    </row>
    <row r="1868" spans="3:25">
      <c r="C1868" s="146"/>
      <c r="E1868" s="147"/>
      <c r="F1868" s="146"/>
      <c r="I1868" s="147"/>
      <c r="J1868" s="146"/>
      <c r="M1868" s="147"/>
      <c r="Q1868" s="146"/>
      <c r="T1868" s="146"/>
      <c r="V1868" s="147"/>
      <c r="W1868" s="146"/>
      <c r="Y1868" s="147"/>
    </row>
    <row r="1869" spans="3:25">
      <c r="C1869" s="146"/>
      <c r="E1869" s="147"/>
      <c r="F1869" s="146"/>
      <c r="I1869" s="147"/>
      <c r="J1869" s="146"/>
      <c r="M1869" s="147"/>
      <c r="Q1869" s="146"/>
      <c r="T1869" s="146"/>
      <c r="V1869" s="147"/>
      <c r="W1869" s="146"/>
      <c r="Y1869" s="147"/>
    </row>
    <row r="1870" spans="3:25">
      <c r="C1870" s="146"/>
      <c r="E1870" s="147"/>
      <c r="F1870" s="146"/>
      <c r="I1870" s="147"/>
      <c r="J1870" s="146"/>
      <c r="M1870" s="147"/>
      <c r="Q1870" s="146"/>
      <c r="T1870" s="146"/>
      <c r="V1870" s="147"/>
      <c r="W1870" s="146"/>
      <c r="Y1870" s="147"/>
    </row>
    <row r="1871" spans="3:25">
      <c r="C1871" s="146"/>
      <c r="E1871" s="147"/>
      <c r="F1871" s="146"/>
      <c r="I1871" s="147"/>
      <c r="J1871" s="146"/>
      <c r="M1871" s="147"/>
      <c r="Q1871" s="146"/>
      <c r="T1871" s="146"/>
      <c r="V1871" s="147"/>
      <c r="W1871" s="146"/>
      <c r="Y1871" s="147"/>
    </row>
    <row r="1872" spans="3:25">
      <c r="C1872" s="146"/>
      <c r="E1872" s="147"/>
      <c r="F1872" s="146"/>
      <c r="I1872" s="147"/>
      <c r="J1872" s="146"/>
      <c r="M1872" s="147"/>
      <c r="Q1872" s="146"/>
      <c r="T1872" s="146"/>
      <c r="V1872" s="147"/>
      <c r="W1872" s="146"/>
      <c r="Y1872" s="147"/>
    </row>
    <row r="1873" spans="3:25">
      <c r="C1873" s="146"/>
      <c r="E1873" s="147"/>
      <c r="F1873" s="146"/>
      <c r="I1873" s="147"/>
      <c r="J1873" s="146"/>
      <c r="M1873" s="147"/>
      <c r="Q1873" s="146"/>
      <c r="T1873" s="146"/>
      <c r="V1873" s="147"/>
      <c r="W1873" s="146"/>
      <c r="Y1873" s="147"/>
    </row>
    <row r="1874" spans="3:25">
      <c r="C1874" s="146"/>
      <c r="E1874" s="147"/>
      <c r="F1874" s="146"/>
      <c r="I1874" s="147"/>
      <c r="J1874" s="146"/>
      <c r="M1874" s="147"/>
      <c r="Q1874" s="146"/>
      <c r="T1874" s="146"/>
      <c r="V1874" s="147"/>
      <c r="W1874" s="146"/>
      <c r="Y1874" s="147"/>
    </row>
    <row r="1875" spans="3:25">
      <c r="C1875" s="146"/>
      <c r="E1875" s="147"/>
      <c r="F1875" s="146"/>
      <c r="I1875" s="147"/>
      <c r="J1875" s="146"/>
      <c r="M1875" s="147"/>
      <c r="Q1875" s="146"/>
      <c r="T1875" s="146"/>
      <c r="V1875" s="147"/>
      <c r="W1875" s="146"/>
      <c r="Y1875" s="147"/>
    </row>
    <row r="1876" spans="3:25">
      <c r="C1876" s="146"/>
      <c r="E1876" s="147"/>
      <c r="F1876" s="146"/>
      <c r="I1876" s="147"/>
      <c r="J1876" s="146"/>
      <c r="M1876" s="147"/>
      <c r="Q1876" s="146"/>
      <c r="T1876" s="146"/>
      <c r="V1876" s="147"/>
      <c r="W1876" s="146"/>
      <c r="Y1876" s="147"/>
    </row>
    <row r="1877" spans="3:25">
      <c r="C1877" s="146"/>
      <c r="E1877" s="147"/>
      <c r="F1877" s="146"/>
      <c r="I1877" s="147"/>
      <c r="J1877" s="146"/>
      <c r="M1877" s="147"/>
      <c r="Q1877" s="146"/>
      <c r="T1877" s="146"/>
      <c r="V1877" s="147"/>
      <c r="W1877" s="146"/>
      <c r="Y1877" s="147"/>
    </row>
    <row r="1878" spans="3:25">
      <c r="C1878" s="146"/>
      <c r="E1878" s="147"/>
      <c r="F1878" s="146"/>
      <c r="I1878" s="147"/>
      <c r="J1878" s="146"/>
      <c r="M1878" s="147"/>
      <c r="Q1878" s="146"/>
      <c r="T1878" s="146"/>
      <c r="V1878" s="147"/>
      <c r="W1878" s="146"/>
      <c r="Y1878" s="147"/>
    </row>
    <row r="1879" spans="3:25">
      <c r="C1879" s="146"/>
      <c r="E1879" s="147"/>
      <c r="F1879" s="146"/>
      <c r="I1879" s="147"/>
      <c r="J1879" s="146"/>
      <c r="M1879" s="147"/>
      <c r="Q1879" s="146"/>
      <c r="T1879" s="146"/>
      <c r="V1879" s="147"/>
      <c r="W1879" s="146"/>
      <c r="Y1879" s="147"/>
    </row>
    <row r="1880" spans="3:25">
      <c r="C1880" s="146"/>
      <c r="E1880" s="147"/>
      <c r="F1880" s="146"/>
      <c r="I1880" s="147"/>
      <c r="J1880" s="146"/>
      <c r="M1880" s="147"/>
      <c r="Q1880" s="146"/>
      <c r="T1880" s="146"/>
      <c r="V1880" s="147"/>
      <c r="W1880" s="146"/>
      <c r="Y1880" s="147"/>
    </row>
    <row r="1881" spans="3:25">
      <c r="C1881" s="146"/>
      <c r="E1881" s="147"/>
      <c r="F1881" s="146"/>
      <c r="I1881" s="147"/>
      <c r="J1881" s="146"/>
      <c r="M1881" s="147"/>
      <c r="Q1881" s="146"/>
      <c r="T1881" s="146"/>
      <c r="V1881" s="147"/>
      <c r="W1881" s="146"/>
      <c r="Y1881" s="147"/>
    </row>
    <row r="1882" spans="3:25">
      <c r="C1882" s="146"/>
      <c r="E1882" s="147"/>
      <c r="F1882" s="146"/>
      <c r="I1882" s="147"/>
      <c r="J1882" s="146"/>
      <c r="M1882" s="147"/>
      <c r="Q1882" s="146"/>
      <c r="T1882" s="146"/>
      <c r="V1882" s="147"/>
      <c r="W1882" s="146"/>
      <c r="Y1882" s="147"/>
    </row>
    <row r="1883" spans="3:25">
      <c r="C1883" s="146"/>
      <c r="E1883" s="147"/>
      <c r="F1883" s="146"/>
      <c r="I1883" s="147"/>
      <c r="J1883" s="146"/>
      <c r="M1883" s="147"/>
      <c r="Q1883" s="146"/>
      <c r="T1883" s="146"/>
      <c r="V1883" s="147"/>
      <c r="W1883" s="146"/>
      <c r="Y1883" s="147"/>
    </row>
    <row r="1884" spans="3:25">
      <c r="C1884" s="146"/>
      <c r="E1884" s="147"/>
      <c r="F1884" s="146"/>
      <c r="I1884" s="147"/>
      <c r="J1884" s="146"/>
      <c r="M1884" s="147"/>
      <c r="Q1884" s="146"/>
      <c r="T1884" s="146"/>
      <c r="V1884" s="147"/>
      <c r="W1884" s="146"/>
      <c r="Y1884" s="147"/>
    </row>
    <row r="1885" spans="3:25">
      <c r="C1885" s="146"/>
      <c r="E1885" s="147"/>
      <c r="F1885" s="146"/>
      <c r="I1885" s="147"/>
      <c r="J1885" s="146"/>
      <c r="M1885" s="147"/>
      <c r="Q1885" s="146"/>
      <c r="T1885" s="146"/>
      <c r="V1885" s="147"/>
      <c r="W1885" s="146"/>
      <c r="Y1885" s="147"/>
    </row>
    <row r="1886" spans="3:25">
      <c r="C1886" s="146"/>
      <c r="E1886" s="147"/>
      <c r="F1886" s="146"/>
      <c r="I1886" s="147"/>
      <c r="J1886" s="146"/>
      <c r="M1886" s="147"/>
      <c r="Q1886" s="146"/>
      <c r="T1886" s="146"/>
      <c r="V1886" s="147"/>
      <c r="W1886" s="146"/>
      <c r="Y1886" s="147"/>
    </row>
    <row r="1887" spans="3:25">
      <c r="C1887" s="146"/>
      <c r="E1887" s="147"/>
      <c r="F1887" s="146"/>
      <c r="I1887" s="147"/>
      <c r="J1887" s="146"/>
      <c r="M1887" s="147"/>
      <c r="Q1887" s="146"/>
      <c r="T1887" s="146"/>
      <c r="V1887" s="147"/>
      <c r="W1887" s="146"/>
      <c r="Y1887" s="147"/>
    </row>
    <row r="1888" spans="3:25">
      <c r="C1888" s="146"/>
      <c r="E1888" s="147"/>
      <c r="F1888" s="146"/>
      <c r="I1888" s="147"/>
      <c r="J1888" s="146"/>
      <c r="M1888" s="147"/>
      <c r="Q1888" s="146"/>
      <c r="T1888" s="146"/>
      <c r="V1888" s="147"/>
      <c r="W1888" s="146"/>
      <c r="Y1888" s="147"/>
    </row>
    <row r="1889" spans="3:25">
      <c r="C1889" s="146"/>
      <c r="E1889" s="147"/>
      <c r="F1889" s="146"/>
      <c r="I1889" s="147"/>
      <c r="J1889" s="146"/>
      <c r="M1889" s="147"/>
      <c r="Q1889" s="146"/>
      <c r="T1889" s="146"/>
      <c r="V1889" s="147"/>
      <c r="W1889" s="146"/>
      <c r="Y1889" s="147"/>
    </row>
    <row r="1890" spans="3:25">
      <c r="C1890" s="146"/>
      <c r="E1890" s="147"/>
      <c r="F1890" s="146"/>
      <c r="I1890" s="147"/>
      <c r="J1890" s="146"/>
      <c r="M1890" s="147"/>
      <c r="Q1890" s="146"/>
      <c r="T1890" s="146"/>
      <c r="V1890" s="147"/>
      <c r="W1890" s="146"/>
      <c r="Y1890" s="147"/>
    </row>
    <row r="1891" spans="3:25">
      <c r="C1891" s="146"/>
      <c r="E1891" s="147"/>
      <c r="F1891" s="146"/>
      <c r="I1891" s="147"/>
      <c r="J1891" s="146"/>
      <c r="M1891" s="147"/>
      <c r="Q1891" s="146"/>
      <c r="T1891" s="146"/>
      <c r="V1891" s="147"/>
      <c r="W1891" s="146"/>
      <c r="Y1891" s="147"/>
    </row>
    <row r="1892" spans="3:25">
      <c r="C1892" s="146"/>
      <c r="E1892" s="147"/>
      <c r="F1892" s="146"/>
      <c r="I1892" s="147"/>
      <c r="J1892" s="146"/>
      <c r="M1892" s="147"/>
      <c r="Q1892" s="146"/>
      <c r="T1892" s="146"/>
      <c r="V1892" s="147"/>
      <c r="W1892" s="146"/>
      <c r="Y1892" s="147"/>
    </row>
    <row r="1893" spans="3:25">
      <c r="C1893" s="146"/>
      <c r="E1893" s="147"/>
      <c r="F1893" s="146"/>
      <c r="I1893" s="147"/>
      <c r="J1893" s="146"/>
      <c r="M1893" s="147"/>
      <c r="Q1893" s="146"/>
      <c r="T1893" s="146"/>
      <c r="V1893" s="147"/>
      <c r="W1893" s="146"/>
      <c r="Y1893" s="147"/>
    </row>
    <row r="1894" spans="3:25">
      <c r="C1894" s="146"/>
      <c r="E1894" s="147"/>
      <c r="F1894" s="146"/>
      <c r="I1894" s="147"/>
      <c r="J1894" s="146"/>
      <c r="M1894" s="147"/>
      <c r="Q1894" s="146"/>
      <c r="T1894" s="146"/>
      <c r="V1894" s="147"/>
      <c r="W1894" s="146"/>
      <c r="Y1894" s="147"/>
    </row>
    <row r="1895" spans="3:25">
      <c r="C1895" s="146"/>
      <c r="E1895" s="147"/>
      <c r="F1895" s="146"/>
      <c r="I1895" s="147"/>
      <c r="J1895" s="146"/>
      <c r="M1895" s="147"/>
      <c r="Q1895" s="146"/>
      <c r="T1895" s="146"/>
      <c r="V1895" s="147"/>
      <c r="W1895" s="146"/>
      <c r="Y1895" s="147"/>
    </row>
    <row r="1896" spans="3:25">
      <c r="C1896" s="146"/>
      <c r="E1896" s="147"/>
      <c r="F1896" s="146"/>
      <c r="I1896" s="147"/>
      <c r="J1896" s="146"/>
      <c r="M1896" s="147"/>
      <c r="Q1896" s="146"/>
      <c r="T1896" s="146"/>
      <c r="V1896" s="147"/>
      <c r="W1896" s="146"/>
      <c r="Y1896" s="147"/>
    </row>
    <row r="1897" spans="3:25">
      <c r="C1897" s="146"/>
      <c r="E1897" s="147"/>
      <c r="F1897" s="146"/>
      <c r="I1897" s="147"/>
      <c r="J1897" s="146"/>
      <c r="M1897" s="147"/>
      <c r="Q1897" s="146"/>
      <c r="T1897" s="146"/>
      <c r="V1897" s="147"/>
      <c r="W1897" s="146"/>
      <c r="Y1897" s="147"/>
    </row>
    <row r="1898" spans="3:25">
      <c r="C1898" s="146"/>
      <c r="E1898" s="147"/>
      <c r="F1898" s="146"/>
      <c r="I1898" s="147"/>
      <c r="J1898" s="146"/>
      <c r="M1898" s="147"/>
      <c r="Q1898" s="146"/>
      <c r="T1898" s="146"/>
      <c r="V1898" s="147"/>
      <c r="W1898" s="146"/>
      <c r="Y1898" s="147"/>
    </row>
    <row r="1899" spans="3:25">
      <c r="C1899" s="146"/>
      <c r="E1899" s="147"/>
      <c r="F1899" s="146"/>
      <c r="I1899" s="147"/>
      <c r="J1899" s="146"/>
      <c r="M1899" s="147"/>
      <c r="Q1899" s="146"/>
      <c r="T1899" s="146"/>
      <c r="V1899" s="147"/>
      <c r="W1899" s="146"/>
      <c r="Y1899" s="147"/>
    </row>
    <row r="1900" spans="3:25">
      <c r="C1900" s="146"/>
      <c r="E1900" s="147"/>
      <c r="F1900" s="146"/>
      <c r="I1900" s="147"/>
      <c r="J1900" s="146"/>
      <c r="M1900" s="147"/>
      <c r="Q1900" s="146"/>
      <c r="T1900" s="146"/>
      <c r="V1900" s="147"/>
      <c r="W1900" s="146"/>
      <c r="Y1900" s="147"/>
    </row>
    <row r="1901" spans="3:25">
      <c r="C1901" s="146"/>
      <c r="E1901" s="147"/>
      <c r="F1901" s="146"/>
      <c r="I1901" s="147"/>
      <c r="J1901" s="146"/>
      <c r="M1901" s="147"/>
      <c r="Q1901" s="146"/>
      <c r="T1901" s="146"/>
      <c r="V1901" s="147"/>
      <c r="W1901" s="146"/>
      <c r="Y1901" s="147"/>
    </row>
    <row r="1902" spans="3:25">
      <c r="C1902" s="146"/>
      <c r="E1902" s="147"/>
      <c r="F1902" s="146"/>
      <c r="I1902" s="147"/>
      <c r="J1902" s="146"/>
      <c r="M1902" s="147"/>
      <c r="Q1902" s="146"/>
      <c r="T1902" s="146"/>
      <c r="V1902" s="147"/>
      <c r="W1902" s="146"/>
      <c r="Y1902" s="147"/>
    </row>
    <row r="1903" spans="3:25">
      <c r="C1903" s="146"/>
      <c r="E1903" s="147"/>
      <c r="F1903" s="146"/>
      <c r="I1903" s="147"/>
      <c r="J1903" s="146"/>
      <c r="M1903" s="147"/>
      <c r="Q1903" s="146"/>
      <c r="T1903" s="146"/>
      <c r="V1903" s="147"/>
      <c r="W1903" s="146"/>
      <c r="Y1903" s="147"/>
    </row>
    <row r="1904" spans="3:25">
      <c r="C1904" s="146"/>
      <c r="E1904" s="147"/>
      <c r="F1904" s="146"/>
      <c r="I1904" s="147"/>
      <c r="J1904" s="146"/>
      <c r="M1904" s="147"/>
      <c r="Q1904" s="146"/>
      <c r="T1904" s="146"/>
      <c r="V1904" s="147"/>
      <c r="W1904" s="146"/>
      <c r="Y1904" s="147"/>
    </row>
    <row r="1905" spans="3:25">
      <c r="C1905" s="146"/>
      <c r="E1905" s="147"/>
      <c r="F1905" s="146"/>
      <c r="I1905" s="147"/>
      <c r="J1905" s="146"/>
      <c r="M1905" s="147"/>
      <c r="Q1905" s="146"/>
      <c r="T1905" s="146"/>
      <c r="V1905" s="147"/>
      <c r="W1905" s="146"/>
      <c r="Y1905" s="147"/>
    </row>
    <row r="1906" spans="3:25">
      <c r="C1906" s="146"/>
      <c r="E1906" s="147"/>
      <c r="F1906" s="146"/>
      <c r="I1906" s="147"/>
      <c r="J1906" s="146"/>
      <c r="M1906" s="147"/>
      <c r="Q1906" s="146"/>
      <c r="T1906" s="146"/>
      <c r="V1906" s="147"/>
      <c r="W1906" s="146"/>
      <c r="Y1906" s="147"/>
    </row>
    <row r="1907" spans="3:25">
      <c r="C1907" s="146"/>
      <c r="E1907" s="147"/>
      <c r="F1907" s="146"/>
      <c r="I1907" s="147"/>
      <c r="J1907" s="146"/>
      <c r="M1907" s="147"/>
      <c r="Q1907" s="146"/>
      <c r="T1907" s="146"/>
      <c r="V1907" s="147"/>
      <c r="W1907" s="146"/>
      <c r="Y1907" s="147"/>
    </row>
    <row r="1908" spans="3:25">
      <c r="C1908" s="146"/>
      <c r="E1908" s="147"/>
      <c r="F1908" s="146"/>
      <c r="I1908" s="147"/>
      <c r="J1908" s="146"/>
      <c r="M1908" s="147"/>
      <c r="Q1908" s="146"/>
      <c r="T1908" s="146"/>
      <c r="V1908" s="147"/>
      <c r="W1908" s="146"/>
      <c r="Y1908" s="147"/>
    </row>
    <row r="1909" spans="3:25">
      <c r="C1909" s="146"/>
      <c r="E1909" s="147"/>
      <c r="F1909" s="146"/>
      <c r="I1909" s="147"/>
      <c r="J1909" s="146"/>
      <c r="M1909" s="147"/>
      <c r="Q1909" s="146"/>
      <c r="T1909" s="146"/>
      <c r="V1909" s="147"/>
      <c r="W1909" s="146"/>
      <c r="Y1909" s="147"/>
    </row>
    <row r="1910" spans="3:25">
      <c r="C1910" s="146"/>
      <c r="E1910" s="147"/>
      <c r="F1910" s="146"/>
      <c r="I1910" s="147"/>
      <c r="J1910" s="146"/>
      <c r="M1910" s="147"/>
      <c r="Q1910" s="146"/>
      <c r="T1910" s="146"/>
      <c r="V1910" s="147"/>
      <c r="W1910" s="146"/>
      <c r="Y1910" s="147"/>
    </row>
    <row r="1911" spans="3:25">
      <c r="C1911" s="146"/>
      <c r="E1911" s="147"/>
      <c r="F1911" s="146"/>
      <c r="I1911" s="147"/>
      <c r="J1911" s="146"/>
      <c r="M1911" s="147"/>
      <c r="Q1911" s="146"/>
      <c r="T1911" s="146"/>
      <c r="V1911" s="147"/>
      <c r="W1911" s="146"/>
      <c r="Y1911" s="147"/>
    </row>
    <row r="1912" spans="3:25">
      <c r="C1912" s="146"/>
      <c r="E1912" s="147"/>
      <c r="F1912" s="146"/>
      <c r="I1912" s="147"/>
      <c r="J1912" s="146"/>
      <c r="M1912" s="147"/>
      <c r="Q1912" s="146"/>
      <c r="T1912" s="146"/>
      <c r="V1912" s="147"/>
      <c r="W1912" s="146"/>
      <c r="Y1912" s="147"/>
    </row>
    <row r="1913" spans="3:25">
      <c r="C1913" s="146"/>
      <c r="E1913" s="147"/>
      <c r="F1913" s="146"/>
      <c r="I1913" s="147"/>
      <c r="J1913" s="146"/>
      <c r="M1913" s="147"/>
      <c r="Q1913" s="146"/>
      <c r="T1913" s="146"/>
      <c r="V1913" s="147"/>
      <c r="W1913" s="146"/>
      <c r="Y1913" s="147"/>
    </row>
    <row r="1914" spans="3:25">
      <c r="C1914" s="146"/>
      <c r="E1914" s="147"/>
      <c r="F1914" s="146"/>
      <c r="I1914" s="147"/>
      <c r="J1914" s="146"/>
      <c r="M1914" s="147"/>
      <c r="Q1914" s="146"/>
      <c r="T1914" s="146"/>
      <c r="V1914" s="147"/>
      <c r="W1914" s="146"/>
      <c r="Y1914" s="147"/>
    </row>
    <row r="1915" spans="3:25">
      <c r="C1915" s="146"/>
      <c r="E1915" s="147"/>
      <c r="F1915" s="146"/>
      <c r="I1915" s="147"/>
      <c r="J1915" s="146"/>
      <c r="M1915" s="147"/>
      <c r="Q1915" s="146"/>
      <c r="T1915" s="146"/>
      <c r="V1915" s="147"/>
      <c r="W1915" s="146"/>
      <c r="Y1915" s="147"/>
    </row>
    <row r="1916" spans="3:25">
      <c r="C1916" s="146"/>
      <c r="E1916" s="147"/>
      <c r="F1916" s="146"/>
      <c r="I1916" s="147"/>
      <c r="J1916" s="146"/>
      <c r="M1916" s="147"/>
      <c r="Q1916" s="146"/>
      <c r="T1916" s="146"/>
      <c r="V1916" s="147"/>
      <c r="W1916" s="146"/>
      <c r="Y1916" s="147"/>
    </row>
    <row r="1917" spans="3:25">
      <c r="C1917" s="146"/>
      <c r="E1917" s="147"/>
      <c r="F1917" s="146"/>
      <c r="I1917" s="147"/>
      <c r="J1917" s="146"/>
      <c r="M1917" s="147"/>
      <c r="Q1917" s="146"/>
      <c r="T1917" s="146"/>
      <c r="V1917" s="147"/>
      <c r="W1917" s="146"/>
      <c r="Y1917" s="147"/>
    </row>
    <row r="1918" spans="3:25">
      <c r="C1918" s="146"/>
      <c r="E1918" s="147"/>
      <c r="F1918" s="146"/>
      <c r="I1918" s="147"/>
      <c r="J1918" s="146"/>
      <c r="M1918" s="147"/>
      <c r="Q1918" s="146"/>
      <c r="T1918" s="146"/>
      <c r="V1918" s="147"/>
      <c r="W1918" s="146"/>
      <c r="Y1918" s="147"/>
    </row>
    <row r="1919" spans="3:25">
      <c r="C1919" s="146"/>
      <c r="E1919" s="147"/>
      <c r="F1919" s="146"/>
      <c r="I1919" s="147"/>
      <c r="J1919" s="146"/>
      <c r="M1919" s="147"/>
      <c r="Q1919" s="146"/>
      <c r="T1919" s="146"/>
      <c r="V1919" s="147"/>
      <c r="W1919" s="146"/>
      <c r="Y1919" s="147"/>
    </row>
    <row r="1920" spans="3:25">
      <c r="C1920" s="146"/>
      <c r="E1920" s="147"/>
      <c r="F1920" s="146"/>
      <c r="I1920" s="147"/>
      <c r="J1920" s="146"/>
      <c r="M1920" s="147"/>
      <c r="Q1920" s="146"/>
      <c r="T1920" s="146"/>
      <c r="V1920" s="147"/>
      <c r="W1920" s="146"/>
      <c r="Y1920" s="147"/>
    </row>
    <row r="1921" spans="3:25">
      <c r="C1921" s="146"/>
      <c r="E1921" s="147"/>
      <c r="F1921" s="146"/>
      <c r="I1921" s="147"/>
      <c r="J1921" s="146"/>
      <c r="M1921" s="147"/>
      <c r="Q1921" s="146"/>
      <c r="T1921" s="146"/>
      <c r="V1921" s="147"/>
      <c r="W1921" s="146"/>
      <c r="Y1921" s="147"/>
    </row>
    <row r="1922" spans="3:25">
      <c r="C1922" s="146"/>
      <c r="E1922" s="147"/>
      <c r="F1922" s="146"/>
      <c r="I1922" s="147"/>
      <c r="J1922" s="146"/>
      <c r="M1922" s="147"/>
      <c r="Q1922" s="146"/>
      <c r="T1922" s="146"/>
      <c r="V1922" s="147"/>
      <c r="W1922" s="146"/>
      <c r="Y1922" s="147"/>
    </row>
    <row r="1923" spans="3:25">
      <c r="C1923" s="146"/>
      <c r="E1923" s="147"/>
      <c r="F1923" s="146"/>
      <c r="I1923" s="147"/>
      <c r="J1923" s="146"/>
      <c r="M1923" s="147"/>
      <c r="Q1923" s="146"/>
      <c r="T1923" s="146"/>
      <c r="V1923" s="147"/>
      <c r="W1923" s="146"/>
      <c r="Y1923" s="147"/>
    </row>
    <row r="1924" spans="3:25">
      <c r="C1924" s="146"/>
      <c r="E1924" s="147"/>
      <c r="F1924" s="146"/>
      <c r="I1924" s="147"/>
      <c r="J1924" s="146"/>
      <c r="M1924" s="147"/>
      <c r="Q1924" s="146"/>
      <c r="T1924" s="146"/>
      <c r="V1924" s="147"/>
      <c r="W1924" s="146"/>
      <c r="Y1924" s="147"/>
    </row>
    <row r="1925" spans="3:25">
      <c r="C1925" s="146"/>
      <c r="E1925" s="147"/>
      <c r="F1925" s="146"/>
      <c r="I1925" s="147"/>
      <c r="J1925" s="146"/>
      <c r="M1925" s="147"/>
      <c r="Q1925" s="146"/>
      <c r="T1925" s="146"/>
      <c r="V1925" s="147"/>
      <c r="W1925" s="146"/>
      <c r="Y1925" s="147"/>
    </row>
    <row r="1926" spans="3:25">
      <c r="C1926" s="146"/>
      <c r="E1926" s="147"/>
      <c r="F1926" s="146"/>
      <c r="I1926" s="147"/>
      <c r="J1926" s="146"/>
      <c r="M1926" s="147"/>
      <c r="Q1926" s="146"/>
      <c r="T1926" s="146"/>
      <c r="V1926" s="147"/>
      <c r="W1926" s="146"/>
      <c r="Y1926" s="147"/>
    </row>
    <row r="1927" spans="3:25">
      <c r="C1927" s="146"/>
      <c r="E1927" s="147"/>
      <c r="F1927" s="146"/>
      <c r="I1927" s="147"/>
      <c r="J1927" s="146"/>
      <c r="M1927" s="147"/>
      <c r="Q1927" s="146"/>
      <c r="T1927" s="146"/>
      <c r="V1927" s="147"/>
      <c r="W1927" s="146"/>
      <c r="Y1927" s="147"/>
    </row>
    <row r="1928" spans="3:25">
      <c r="C1928" s="146"/>
      <c r="E1928" s="147"/>
      <c r="F1928" s="146"/>
      <c r="I1928" s="147"/>
      <c r="J1928" s="146"/>
      <c r="M1928" s="147"/>
      <c r="Q1928" s="146"/>
      <c r="T1928" s="146"/>
      <c r="V1928" s="147"/>
      <c r="W1928" s="146"/>
      <c r="Y1928" s="147"/>
    </row>
    <row r="1929" spans="3:25">
      <c r="C1929" s="146"/>
      <c r="E1929" s="147"/>
      <c r="F1929" s="146"/>
      <c r="I1929" s="147"/>
      <c r="J1929" s="146"/>
      <c r="M1929" s="147"/>
      <c r="Q1929" s="146"/>
      <c r="T1929" s="146"/>
      <c r="V1929" s="147"/>
      <c r="W1929" s="146"/>
      <c r="Y1929" s="147"/>
    </row>
    <row r="1930" spans="3:25">
      <c r="C1930" s="146"/>
      <c r="E1930" s="147"/>
      <c r="F1930" s="146"/>
      <c r="I1930" s="147"/>
      <c r="J1930" s="146"/>
      <c r="M1930" s="147"/>
      <c r="Q1930" s="146"/>
      <c r="T1930" s="146"/>
      <c r="V1930" s="147"/>
      <c r="W1930" s="146"/>
      <c r="Y1930" s="147"/>
    </row>
    <row r="1931" spans="3:25">
      <c r="C1931" s="146"/>
      <c r="E1931" s="147"/>
      <c r="F1931" s="146"/>
      <c r="I1931" s="147"/>
      <c r="J1931" s="146"/>
      <c r="M1931" s="147"/>
      <c r="Q1931" s="146"/>
      <c r="T1931" s="146"/>
      <c r="V1931" s="147"/>
      <c r="W1931" s="146"/>
      <c r="Y1931" s="147"/>
    </row>
    <row r="1932" spans="3:25">
      <c r="C1932" s="146"/>
      <c r="E1932" s="147"/>
      <c r="F1932" s="146"/>
      <c r="I1932" s="147"/>
      <c r="J1932" s="146"/>
      <c r="M1932" s="147"/>
      <c r="Q1932" s="146"/>
      <c r="T1932" s="146"/>
      <c r="V1932" s="147"/>
      <c r="W1932" s="146"/>
      <c r="Y1932" s="147"/>
    </row>
    <row r="1933" spans="3:25">
      <c r="C1933" s="146"/>
      <c r="E1933" s="147"/>
      <c r="F1933" s="146"/>
      <c r="I1933" s="147"/>
      <c r="J1933" s="146"/>
      <c r="M1933" s="147"/>
      <c r="Q1933" s="146"/>
      <c r="T1933" s="146"/>
      <c r="V1933" s="147"/>
      <c r="W1933" s="146"/>
      <c r="Y1933" s="147"/>
    </row>
    <row r="1934" spans="3:25">
      <c r="C1934" s="146"/>
      <c r="E1934" s="147"/>
      <c r="F1934" s="146"/>
      <c r="I1934" s="147"/>
      <c r="J1934" s="146"/>
      <c r="M1934" s="147"/>
      <c r="Q1934" s="146"/>
      <c r="T1934" s="146"/>
      <c r="V1934" s="147"/>
      <c r="W1934" s="146"/>
      <c r="Y1934" s="147"/>
    </row>
    <row r="1935" spans="3:25">
      <c r="C1935" s="146"/>
      <c r="E1935" s="147"/>
      <c r="F1935" s="146"/>
      <c r="I1935" s="147"/>
      <c r="J1935" s="146"/>
      <c r="M1935" s="147"/>
      <c r="Q1935" s="146"/>
      <c r="T1935" s="146"/>
      <c r="V1935" s="147"/>
      <c r="W1935" s="146"/>
      <c r="Y1935" s="147"/>
    </row>
    <row r="1936" spans="3:25">
      <c r="C1936" s="146"/>
      <c r="E1936" s="147"/>
      <c r="F1936" s="146"/>
      <c r="I1936" s="147"/>
      <c r="J1936" s="146"/>
      <c r="M1936" s="147"/>
      <c r="Q1936" s="146"/>
      <c r="T1936" s="146"/>
      <c r="V1936" s="147"/>
      <c r="W1936" s="146"/>
      <c r="Y1936" s="147"/>
    </row>
    <row r="1937" spans="3:25">
      <c r="C1937" s="146"/>
      <c r="E1937" s="147"/>
      <c r="F1937" s="146"/>
      <c r="I1937" s="147"/>
      <c r="J1937" s="146"/>
      <c r="M1937" s="147"/>
      <c r="Q1937" s="146"/>
      <c r="T1937" s="146"/>
      <c r="V1937" s="147"/>
      <c r="W1937" s="146"/>
      <c r="Y1937" s="147"/>
    </row>
    <row r="1938" spans="3:25">
      <c r="C1938" s="146"/>
      <c r="E1938" s="147"/>
      <c r="F1938" s="146"/>
      <c r="I1938" s="147"/>
      <c r="J1938" s="146"/>
      <c r="M1938" s="147"/>
      <c r="Q1938" s="146"/>
      <c r="T1938" s="146"/>
      <c r="V1938" s="147"/>
      <c r="W1938" s="146"/>
      <c r="Y1938" s="147"/>
    </row>
    <row r="1939" spans="3:25">
      <c r="C1939" s="146"/>
      <c r="E1939" s="147"/>
      <c r="F1939" s="146"/>
      <c r="I1939" s="147"/>
      <c r="J1939" s="146"/>
      <c r="M1939" s="147"/>
      <c r="Q1939" s="146"/>
      <c r="T1939" s="146"/>
      <c r="V1939" s="147"/>
      <c r="W1939" s="146"/>
      <c r="Y1939" s="147"/>
    </row>
    <row r="1940" spans="3:25">
      <c r="C1940" s="146"/>
      <c r="E1940" s="147"/>
      <c r="F1940" s="146"/>
      <c r="I1940" s="147"/>
      <c r="J1940" s="146"/>
      <c r="M1940" s="147"/>
      <c r="Q1940" s="146"/>
      <c r="T1940" s="146"/>
      <c r="V1940" s="147"/>
      <c r="W1940" s="146"/>
      <c r="Y1940" s="147"/>
    </row>
    <row r="1941" spans="3:25">
      <c r="C1941" s="146"/>
      <c r="E1941" s="147"/>
      <c r="F1941" s="146"/>
      <c r="I1941" s="147"/>
      <c r="J1941" s="146"/>
      <c r="M1941" s="147"/>
      <c r="Q1941" s="146"/>
      <c r="T1941" s="146"/>
      <c r="V1941" s="147"/>
      <c r="W1941" s="146"/>
      <c r="Y1941" s="147"/>
    </row>
    <row r="1942" spans="3:25">
      <c r="C1942" s="146"/>
      <c r="E1942" s="147"/>
      <c r="F1942" s="146"/>
      <c r="I1942" s="147"/>
      <c r="J1942" s="146"/>
      <c r="M1942" s="147"/>
      <c r="Q1942" s="146"/>
      <c r="T1942" s="146"/>
      <c r="V1942" s="147"/>
      <c r="W1942" s="146"/>
      <c r="Y1942" s="147"/>
    </row>
    <row r="1943" spans="3:25">
      <c r="C1943" s="146"/>
      <c r="E1943" s="147"/>
      <c r="F1943" s="146"/>
      <c r="I1943" s="147"/>
      <c r="J1943" s="146"/>
      <c r="M1943" s="147"/>
      <c r="Q1943" s="146"/>
      <c r="T1943" s="146"/>
      <c r="V1943" s="147"/>
      <c r="W1943" s="146"/>
      <c r="Y1943" s="147"/>
    </row>
    <row r="1944" spans="3:25">
      <c r="C1944" s="146"/>
      <c r="E1944" s="147"/>
      <c r="F1944" s="146"/>
      <c r="I1944" s="147"/>
      <c r="J1944" s="146"/>
      <c r="M1944" s="147"/>
      <c r="Q1944" s="146"/>
      <c r="T1944" s="146"/>
      <c r="V1944" s="147"/>
      <c r="W1944" s="146"/>
      <c r="Y1944" s="147"/>
    </row>
    <row r="1945" spans="3:25">
      <c r="C1945" s="146"/>
      <c r="E1945" s="147"/>
      <c r="F1945" s="146"/>
      <c r="I1945" s="147"/>
      <c r="J1945" s="146"/>
      <c r="M1945" s="147"/>
      <c r="Q1945" s="146"/>
      <c r="T1945" s="146"/>
      <c r="V1945" s="147"/>
      <c r="W1945" s="146"/>
      <c r="Y1945" s="147"/>
    </row>
    <row r="1946" spans="3:25">
      <c r="C1946" s="146"/>
      <c r="E1946" s="147"/>
      <c r="F1946" s="146"/>
      <c r="I1946" s="147"/>
      <c r="J1946" s="146"/>
      <c r="M1946" s="147"/>
      <c r="Q1946" s="146"/>
      <c r="T1946" s="146"/>
      <c r="V1946" s="147"/>
      <c r="W1946" s="146"/>
      <c r="Y1946" s="147"/>
    </row>
    <row r="1947" spans="3:25">
      <c r="C1947" s="146"/>
      <c r="E1947" s="147"/>
      <c r="F1947" s="146"/>
      <c r="I1947" s="147"/>
      <c r="J1947" s="146"/>
      <c r="M1947" s="147"/>
      <c r="Q1947" s="146"/>
      <c r="T1947" s="146"/>
      <c r="V1947" s="147"/>
      <c r="W1947" s="146"/>
      <c r="Y1947" s="147"/>
    </row>
    <row r="1948" spans="3:25">
      <c r="C1948" s="146"/>
      <c r="E1948" s="147"/>
      <c r="F1948" s="146"/>
      <c r="I1948" s="147"/>
      <c r="J1948" s="146"/>
      <c r="M1948" s="147"/>
      <c r="Q1948" s="146"/>
      <c r="T1948" s="146"/>
      <c r="V1948" s="147"/>
      <c r="W1948" s="146"/>
      <c r="Y1948" s="147"/>
    </row>
    <row r="1949" spans="3:25">
      <c r="C1949" s="146"/>
      <c r="E1949" s="147"/>
      <c r="F1949" s="146"/>
      <c r="I1949" s="147"/>
      <c r="J1949" s="146"/>
      <c r="M1949" s="147"/>
      <c r="Q1949" s="146"/>
      <c r="T1949" s="146"/>
      <c r="V1949" s="147"/>
      <c r="W1949" s="146"/>
      <c r="Y1949" s="147"/>
    </row>
    <row r="1950" spans="3:25">
      <c r="C1950" s="146"/>
      <c r="E1950" s="147"/>
      <c r="F1950" s="146"/>
      <c r="I1950" s="147"/>
      <c r="J1950" s="146"/>
      <c r="M1950" s="147"/>
      <c r="Q1950" s="146"/>
      <c r="T1950" s="146"/>
      <c r="V1950" s="147"/>
      <c r="W1950" s="146"/>
      <c r="Y1950" s="147"/>
    </row>
    <row r="1951" spans="3:25">
      <c r="C1951" s="146"/>
      <c r="E1951" s="147"/>
      <c r="F1951" s="146"/>
      <c r="I1951" s="147"/>
      <c r="J1951" s="146"/>
      <c r="M1951" s="147"/>
      <c r="Q1951" s="146"/>
      <c r="T1951" s="146"/>
      <c r="V1951" s="147"/>
      <c r="W1951" s="146"/>
      <c r="Y1951" s="147"/>
    </row>
    <row r="1952" spans="3:25">
      <c r="C1952" s="146"/>
      <c r="E1952" s="147"/>
      <c r="F1952" s="146"/>
      <c r="I1952" s="147"/>
      <c r="J1952" s="146"/>
      <c r="M1952" s="147"/>
      <c r="Q1952" s="146"/>
      <c r="T1952" s="146"/>
      <c r="V1952" s="147"/>
      <c r="W1952" s="146"/>
      <c r="Y1952" s="147"/>
    </row>
    <row r="1953" spans="3:25">
      <c r="C1953" s="146"/>
      <c r="E1953" s="147"/>
      <c r="F1953" s="146"/>
      <c r="I1953" s="147"/>
      <c r="J1953" s="146"/>
      <c r="M1953" s="147"/>
      <c r="Q1953" s="146"/>
      <c r="T1953" s="146"/>
      <c r="V1953" s="147"/>
      <c r="W1953" s="146"/>
      <c r="Y1953" s="147"/>
    </row>
    <row r="1954" spans="3:25">
      <c r="C1954" s="146"/>
      <c r="E1954" s="147"/>
      <c r="F1954" s="146"/>
      <c r="I1954" s="147"/>
      <c r="J1954" s="146"/>
      <c r="M1954" s="147"/>
      <c r="Q1954" s="146"/>
      <c r="T1954" s="146"/>
      <c r="V1954" s="147"/>
      <c r="W1954" s="146"/>
      <c r="Y1954" s="147"/>
    </row>
    <row r="1955" spans="3:25">
      <c r="C1955" s="146"/>
      <c r="E1955" s="147"/>
      <c r="F1955" s="146"/>
      <c r="I1955" s="147"/>
      <c r="J1955" s="146"/>
      <c r="M1955" s="147"/>
      <c r="Q1955" s="146"/>
      <c r="T1955" s="146"/>
      <c r="V1955" s="147"/>
      <c r="W1955" s="146"/>
      <c r="Y1955" s="147"/>
    </row>
    <row r="1956" spans="3:25">
      <c r="C1956" s="146"/>
      <c r="E1956" s="147"/>
      <c r="F1956" s="146"/>
      <c r="I1956" s="147"/>
      <c r="J1956" s="146"/>
      <c r="M1956" s="147"/>
      <c r="Q1956" s="146"/>
      <c r="T1956" s="146"/>
      <c r="V1956" s="147"/>
      <c r="W1956" s="146"/>
      <c r="Y1956" s="147"/>
    </row>
    <row r="1957" spans="3:25">
      <c r="C1957" s="146"/>
      <c r="E1957" s="147"/>
      <c r="F1957" s="146"/>
      <c r="I1957" s="147"/>
      <c r="J1957" s="146"/>
      <c r="M1957" s="147"/>
      <c r="Q1957" s="146"/>
      <c r="T1957" s="146"/>
      <c r="V1957" s="147"/>
      <c r="W1957" s="146"/>
      <c r="Y1957" s="147"/>
    </row>
    <row r="1958" spans="3:25">
      <c r="C1958" s="146"/>
      <c r="E1958" s="147"/>
      <c r="F1958" s="146"/>
      <c r="I1958" s="147"/>
      <c r="J1958" s="146"/>
      <c r="M1958" s="147"/>
      <c r="Q1958" s="146"/>
      <c r="T1958" s="146"/>
      <c r="V1958" s="147"/>
      <c r="W1958" s="146"/>
      <c r="Y1958" s="147"/>
    </row>
    <row r="1959" spans="3:25">
      <c r="C1959" s="146"/>
      <c r="E1959" s="147"/>
      <c r="F1959" s="146"/>
      <c r="I1959" s="147"/>
      <c r="J1959" s="146"/>
      <c r="M1959" s="147"/>
      <c r="Q1959" s="146"/>
      <c r="T1959" s="146"/>
      <c r="V1959" s="147"/>
      <c r="W1959" s="146"/>
      <c r="Y1959" s="147"/>
    </row>
    <row r="1960" spans="3:25">
      <c r="C1960" s="146"/>
      <c r="E1960" s="147"/>
      <c r="F1960" s="146"/>
      <c r="I1960" s="147"/>
      <c r="J1960" s="146"/>
      <c r="M1960" s="147"/>
      <c r="Q1960" s="146"/>
      <c r="T1960" s="146"/>
      <c r="V1960" s="147"/>
      <c r="W1960" s="146"/>
      <c r="Y1960" s="147"/>
    </row>
    <row r="1961" spans="3:25">
      <c r="C1961" s="146"/>
      <c r="E1961" s="147"/>
      <c r="F1961" s="146"/>
      <c r="I1961" s="147"/>
      <c r="J1961" s="146"/>
      <c r="M1961" s="147"/>
      <c r="Q1961" s="146"/>
      <c r="T1961" s="146"/>
      <c r="V1961" s="147"/>
      <c r="W1961" s="146"/>
      <c r="Y1961" s="147"/>
    </row>
    <row r="1962" spans="3:25">
      <c r="C1962" s="146"/>
      <c r="E1962" s="147"/>
      <c r="F1962" s="146"/>
      <c r="I1962" s="147"/>
      <c r="J1962" s="146"/>
      <c r="M1962" s="147"/>
      <c r="Q1962" s="146"/>
      <c r="T1962" s="146"/>
      <c r="V1962" s="147"/>
      <c r="W1962" s="146"/>
      <c r="Y1962" s="147"/>
    </row>
    <row r="1963" spans="3:25">
      <c r="C1963" s="146"/>
      <c r="E1963" s="147"/>
      <c r="F1963" s="146"/>
      <c r="I1963" s="147"/>
      <c r="J1963" s="146"/>
      <c r="M1963" s="147"/>
      <c r="Q1963" s="146"/>
      <c r="T1963" s="146"/>
      <c r="V1963" s="147"/>
      <c r="W1963" s="146"/>
      <c r="Y1963" s="147"/>
    </row>
    <row r="1964" spans="3:25">
      <c r="C1964" s="146"/>
      <c r="E1964" s="147"/>
      <c r="F1964" s="146"/>
      <c r="I1964" s="147"/>
      <c r="J1964" s="146"/>
      <c r="M1964" s="147"/>
      <c r="Q1964" s="146"/>
      <c r="T1964" s="146"/>
      <c r="V1964" s="147"/>
      <c r="W1964" s="146"/>
      <c r="Y1964" s="147"/>
    </row>
    <row r="1965" spans="3:25">
      <c r="C1965" s="146"/>
      <c r="E1965" s="147"/>
      <c r="F1965" s="146"/>
      <c r="I1965" s="147"/>
      <c r="J1965" s="146"/>
      <c r="M1965" s="147"/>
      <c r="Q1965" s="146"/>
      <c r="T1965" s="146"/>
      <c r="V1965" s="147"/>
      <c r="W1965" s="146"/>
      <c r="Y1965" s="147"/>
    </row>
    <row r="1966" spans="3:25">
      <c r="C1966" s="146"/>
      <c r="E1966" s="147"/>
      <c r="F1966" s="146"/>
      <c r="I1966" s="147"/>
      <c r="J1966" s="146"/>
      <c r="M1966" s="147"/>
      <c r="Q1966" s="146"/>
      <c r="T1966" s="146"/>
      <c r="V1966" s="147"/>
      <c r="W1966" s="146"/>
      <c r="Y1966" s="147"/>
    </row>
    <row r="1967" spans="3:25">
      <c r="C1967" s="146"/>
      <c r="E1967" s="147"/>
      <c r="F1967" s="146"/>
      <c r="I1967" s="147"/>
      <c r="J1967" s="146"/>
      <c r="M1967" s="147"/>
      <c r="Q1967" s="146"/>
      <c r="T1967" s="146"/>
      <c r="V1967" s="147"/>
      <c r="W1967" s="146"/>
      <c r="Y1967" s="147"/>
    </row>
    <row r="1968" spans="3:25">
      <c r="C1968" s="146"/>
      <c r="E1968" s="147"/>
      <c r="F1968" s="146"/>
      <c r="I1968" s="147"/>
      <c r="J1968" s="146"/>
      <c r="M1968" s="147"/>
      <c r="Q1968" s="146"/>
      <c r="T1968" s="146"/>
      <c r="V1968" s="147"/>
      <c r="W1968" s="146"/>
      <c r="Y1968" s="147"/>
    </row>
    <row r="1969" spans="3:25">
      <c r="C1969" s="146"/>
      <c r="E1969" s="147"/>
      <c r="F1969" s="146"/>
      <c r="I1969" s="147"/>
      <c r="J1969" s="146"/>
      <c r="M1969" s="147"/>
      <c r="Q1969" s="146"/>
      <c r="T1969" s="146"/>
      <c r="V1969" s="147"/>
      <c r="W1969" s="146"/>
      <c r="Y1969" s="147"/>
    </row>
    <row r="1970" spans="3:25">
      <c r="C1970" s="146"/>
      <c r="E1970" s="147"/>
      <c r="F1970" s="146"/>
      <c r="I1970" s="147"/>
      <c r="J1970" s="146"/>
      <c r="M1970" s="147"/>
      <c r="Q1970" s="146"/>
      <c r="T1970" s="146"/>
      <c r="V1970" s="147"/>
      <c r="W1970" s="146"/>
      <c r="Y1970" s="147"/>
    </row>
    <row r="1971" spans="3:25">
      <c r="C1971" s="146"/>
      <c r="E1971" s="147"/>
      <c r="F1971" s="146"/>
      <c r="I1971" s="147"/>
      <c r="J1971" s="146"/>
      <c r="M1971" s="147"/>
      <c r="Q1971" s="146"/>
      <c r="T1971" s="146"/>
      <c r="V1971" s="147"/>
      <c r="W1971" s="146"/>
      <c r="Y1971" s="147"/>
    </row>
    <row r="1972" spans="3:25">
      <c r="C1972" s="146"/>
      <c r="E1972" s="147"/>
      <c r="F1972" s="146"/>
      <c r="I1972" s="147"/>
      <c r="J1972" s="146"/>
      <c r="M1972" s="147"/>
      <c r="Q1972" s="146"/>
      <c r="T1972" s="146"/>
      <c r="V1972" s="147"/>
      <c r="W1972" s="146"/>
      <c r="Y1972" s="147"/>
    </row>
    <row r="1973" spans="3:25">
      <c r="C1973" s="146"/>
      <c r="E1973" s="147"/>
      <c r="F1973" s="146"/>
      <c r="I1973" s="147"/>
      <c r="J1973" s="146"/>
      <c r="M1973" s="147"/>
      <c r="Q1973" s="146"/>
      <c r="T1973" s="146"/>
      <c r="V1973" s="147"/>
      <c r="W1973" s="146"/>
      <c r="Y1973" s="147"/>
    </row>
    <row r="1974" spans="3:25">
      <c r="C1974" s="146"/>
      <c r="E1974" s="147"/>
      <c r="F1974" s="146"/>
      <c r="I1974" s="147"/>
      <c r="J1974" s="146"/>
      <c r="M1974" s="147"/>
      <c r="Q1974" s="146"/>
      <c r="T1974" s="146"/>
      <c r="V1974" s="147"/>
      <c r="W1974" s="146"/>
      <c r="Y1974" s="147"/>
    </row>
    <row r="1975" spans="3:25">
      <c r="C1975" s="146"/>
      <c r="E1975" s="147"/>
      <c r="F1975" s="146"/>
      <c r="I1975" s="147"/>
      <c r="J1975" s="146"/>
      <c r="M1975" s="147"/>
      <c r="Q1975" s="146"/>
      <c r="T1975" s="146"/>
      <c r="V1975" s="147"/>
      <c r="W1975" s="146"/>
      <c r="Y1975" s="147"/>
    </row>
    <row r="1976" spans="3:25">
      <c r="C1976" s="146"/>
      <c r="E1976" s="147"/>
      <c r="F1976" s="146"/>
      <c r="I1976" s="147"/>
      <c r="J1976" s="146"/>
      <c r="M1976" s="147"/>
      <c r="Q1976" s="146"/>
      <c r="T1976" s="146"/>
      <c r="V1976" s="147"/>
      <c r="W1976" s="146"/>
      <c r="Y1976" s="147"/>
    </row>
    <row r="1977" spans="3:25">
      <c r="C1977" s="146"/>
      <c r="E1977" s="147"/>
      <c r="F1977" s="146"/>
      <c r="I1977" s="147"/>
      <c r="J1977" s="146"/>
      <c r="M1977" s="147"/>
      <c r="Q1977" s="146"/>
      <c r="T1977" s="146"/>
      <c r="V1977" s="147"/>
      <c r="W1977" s="146"/>
      <c r="Y1977" s="147"/>
    </row>
    <row r="1978" spans="3:25">
      <c r="C1978" s="146"/>
      <c r="E1978" s="147"/>
      <c r="F1978" s="146"/>
      <c r="I1978" s="147"/>
      <c r="J1978" s="146"/>
      <c r="M1978" s="147"/>
      <c r="Q1978" s="146"/>
      <c r="T1978" s="146"/>
      <c r="V1978" s="147"/>
      <c r="W1978" s="146"/>
      <c r="Y1978" s="147"/>
    </row>
    <row r="1979" spans="3:25">
      <c r="C1979" s="146"/>
      <c r="E1979" s="147"/>
      <c r="F1979" s="146"/>
      <c r="I1979" s="147"/>
      <c r="J1979" s="146"/>
      <c r="M1979" s="147"/>
      <c r="Q1979" s="146"/>
      <c r="T1979" s="146"/>
      <c r="V1979" s="147"/>
      <c r="W1979" s="146"/>
      <c r="Y1979" s="147"/>
    </row>
    <row r="1980" spans="3:25">
      <c r="C1980" s="146"/>
      <c r="E1980" s="147"/>
      <c r="F1980" s="146"/>
      <c r="I1980" s="147"/>
      <c r="J1980" s="146"/>
      <c r="M1980" s="147"/>
      <c r="Q1980" s="146"/>
      <c r="T1980" s="146"/>
      <c r="V1980" s="147"/>
      <c r="W1980" s="146"/>
      <c r="Y1980" s="147"/>
    </row>
    <row r="1981" spans="3:25">
      <c r="C1981" s="146"/>
      <c r="E1981" s="147"/>
      <c r="F1981" s="146"/>
      <c r="I1981" s="147"/>
      <c r="J1981" s="146"/>
      <c r="M1981" s="147"/>
      <c r="Q1981" s="146"/>
      <c r="T1981" s="146"/>
      <c r="V1981" s="147"/>
      <c r="W1981" s="146"/>
      <c r="Y1981" s="147"/>
    </row>
    <row r="1982" spans="3:25">
      <c r="C1982" s="146"/>
      <c r="E1982" s="147"/>
      <c r="F1982" s="146"/>
      <c r="I1982" s="147"/>
      <c r="J1982" s="146"/>
      <c r="M1982" s="147"/>
      <c r="Q1982" s="146"/>
      <c r="T1982" s="146"/>
      <c r="V1982" s="147"/>
      <c r="W1982" s="146"/>
      <c r="Y1982" s="147"/>
    </row>
    <row r="1983" spans="3:25">
      <c r="C1983" s="146"/>
      <c r="E1983" s="147"/>
      <c r="F1983" s="146"/>
      <c r="I1983" s="147"/>
      <c r="J1983" s="146"/>
      <c r="M1983" s="147"/>
      <c r="Q1983" s="146"/>
      <c r="T1983" s="146"/>
      <c r="V1983" s="147"/>
      <c r="W1983" s="146"/>
      <c r="Y1983" s="147"/>
    </row>
    <row r="1984" spans="3:25">
      <c r="C1984" s="146"/>
      <c r="E1984" s="147"/>
      <c r="F1984" s="146"/>
      <c r="I1984" s="147"/>
      <c r="J1984" s="146"/>
      <c r="M1984" s="147"/>
      <c r="Q1984" s="146"/>
      <c r="T1984" s="146"/>
      <c r="V1984" s="147"/>
      <c r="W1984" s="146"/>
      <c r="Y1984" s="147"/>
    </row>
    <row r="1985" spans="3:25">
      <c r="C1985" s="146"/>
      <c r="E1985" s="147"/>
      <c r="F1985" s="146"/>
      <c r="I1985" s="147"/>
      <c r="J1985" s="146"/>
      <c r="M1985" s="147"/>
      <c r="Q1985" s="146"/>
      <c r="T1985" s="146"/>
      <c r="V1985" s="147"/>
      <c r="W1985" s="146"/>
      <c r="Y1985" s="147"/>
    </row>
    <row r="1986" spans="3:25">
      <c r="C1986" s="146"/>
      <c r="E1986" s="147"/>
      <c r="F1986" s="146"/>
      <c r="I1986" s="147"/>
      <c r="J1986" s="146"/>
      <c r="M1986" s="147"/>
      <c r="Q1986" s="146"/>
      <c r="T1986" s="146"/>
      <c r="V1986" s="147"/>
      <c r="W1986" s="146"/>
      <c r="Y1986" s="147"/>
    </row>
    <row r="1987" spans="3:25">
      <c r="C1987" s="146"/>
      <c r="E1987" s="147"/>
      <c r="F1987" s="146"/>
      <c r="I1987" s="147"/>
      <c r="J1987" s="146"/>
      <c r="M1987" s="147"/>
      <c r="Q1987" s="146"/>
      <c r="T1987" s="146"/>
      <c r="V1987" s="147"/>
      <c r="W1987" s="146"/>
      <c r="Y1987" s="147"/>
    </row>
    <row r="1988" spans="3:25">
      <c r="C1988" s="146"/>
      <c r="E1988" s="147"/>
      <c r="F1988" s="146"/>
      <c r="I1988" s="147"/>
      <c r="J1988" s="146"/>
      <c r="M1988" s="147"/>
      <c r="Q1988" s="146"/>
      <c r="T1988" s="146"/>
      <c r="V1988" s="147"/>
      <c r="W1988" s="146"/>
      <c r="Y1988" s="147"/>
    </row>
    <row r="1989" spans="3:25">
      <c r="C1989" s="146"/>
      <c r="E1989" s="147"/>
      <c r="F1989" s="146"/>
      <c r="I1989" s="147"/>
      <c r="J1989" s="146"/>
      <c r="M1989" s="147"/>
      <c r="Q1989" s="146"/>
      <c r="T1989" s="146"/>
      <c r="V1989" s="147"/>
      <c r="W1989" s="146"/>
      <c r="Y1989" s="147"/>
    </row>
    <row r="1990" spans="3:25">
      <c r="C1990" s="146"/>
      <c r="E1990" s="147"/>
      <c r="F1990" s="146"/>
      <c r="I1990" s="147"/>
      <c r="J1990" s="146"/>
      <c r="M1990" s="147"/>
      <c r="Q1990" s="146"/>
      <c r="T1990" s="146"/>
      <c r="V1990" s="147"/>
      <c r="W1990" s="146"/>
      <c r="Y1990" s="147"/>
    </row>
    <row r="1991" spans="3:25">
      <c r="C1991" s="146"/>
      <c r="E1991" s="147"/>
      <c r="F1991" s="146"/>
      <c r="I1991" s="147"/>
      <c r="J1991" s="146"/>
      <c r="M1991" s="147"/>
      <c r="Q1991" s="146"/>
      <c r="T1991" s="146"/>
      <c r="V1991" s="147"/>
      <c r="W1991" s="146"/>
      <c r="Y1991" s="147"/>
    </row>
    <row r="1992" spans="3:25">
      <c r="C1992" s="146"/>
      <c r="E1992" s="147"/>
      <c r="F1992" s="146"/>
      <c r="I1992" s="147"/>
      <c r="J1992" s="146"/>
      <c r="M1992" s="147"/>
      <c r="Q1992" s="146"/>
      <c r="T1992" s="146"/>
      <c r="V1992" s="147"/>
      <c r="W1992" s="146"/>
      <c r="Y1992" s="147"/>
    </row>
    <row r="1993" spans="3:25">
      <c r="C1993" s="146"/>
      <c r="E1993" s="147"/>
      <c r="F1993" s="146"/>
      <c r="I1993" s="147"/>
      <c r="J1993" s="146"/>
      <c r="M1993" s="147"/>
      <c r="Q1993" s="146"/>
      <c r="T1993" s="146"/>
      <c r="V1993" s="147"/>
      <c r="W1993" s="146"/>
      <c r="Y1993" s="147"/>
    </row>
    <row r="1994" spans="3:25">
      <c r="C1994" s="146"/>
      <c r="E1994" s="147"/>
      <c r="F1994" s="146"/>
      <c r="I1994" s="147"/>
      <c r="J1994" s="146"/>
      <c r="M1994" s="147"/>
      <c r="Q1994" s="146"/>
      <c r="T1994" s="146"/>
      <c r="V1994" s="147"/>
      <c r="W1994" s="146"/>
      <c r="Y1994" s="147"/>
    </row>
    <row r="1995" spans="3:25">
      <c r="C1995" s="146"/>
      <c r="E1995" s="147"/>
      <c r="F1995" s="146"/>
      <c r="I1995" s="147"/>
      <c r="J1995" s="146"/>
      <c r="M1995" s="147"/>
      <c r="Q1995" s="146"/>
      <c r="T1995" s="146"/>
      <c r="V1995" s="147"/>
      <c r="W1995" s="146"/>
      <c r="Y1995" s="147"/>
    </row>
    <row r="1996" spans="3:25">
      <c r="C1996" s="146"/>
      <c r="E1996" s="147"/>
      <c r="F1996" s="146"/>
      <c r="I1996" s="147"/>
      <c r="J1996" s="146"/>
      <c r="M1996" s="147"/>
      <c r="Q1996" s="146"/>
      <c r="T1996" s="146"/>
      <c r="V1996" s="147"/>
      <c r="W1996" s="146"/>
      <c r="Y1996" s="147"/>
    </row>
    <row r="1997" spans="3:25">
      <c r="C1997" s="146"/>
      <c r="E1997" s="147"/>
      <c r="F1997" s="146"/>
      <c r="I1997" s="147"/>
      <c r="J1997" s="146"/>
      <c r="M1997" s="147"/>
      <c r="Q1997" s="146"/>
      <c r="T1997" s="146"/>
      <c r="V1997" s="147"/>
      <c r="W1997" s="146"/>
      <c r="Y1997" s="147"/>
    </row>
    <row r="1998" spans="3:25">
      <c r="C1998" s="146"/>
      <c r="E1998" s="147"/>
      <c r="F1998" s="146"/>
      <c r="I1998" s="147"/>
      <c r="J1998" s="146"/>
      <c r="M1998" s="147"/>
      <c r="Q1998" s="146"/>
      <c r="T1998" s="146"/>
      <c r="V1998" s="147"/>
      <c r="W1998" s="146"/>
      <c r="Y1998" s="147"/>
    </row>
    <row r="1999" spans="3:25">
      <c r="C1999" s="146"/>
      <c r="E1999" s="147"/>
      <c r="F1999" s="146"/>
      <c r="I1999" s="147"/>
      <c r="J1999" s="146"/>
      <c r="M1999" s="147"/>
      <c r="Q1999" s="146"/>
      <c r="T1999" s="146"/>
      <c r="V1999" s="147"/>
      <c r="W1999" s="146"/>
      <c r="Y1999" s="147"/>
    </row>
    <row r="2000" spans="3:25">
      <c r="C2000" s="146"/>
      <c r="E2000" s="147"/>
      <c r="F2000" s="146"/>
      <c r="I2000" s="147"/>
      <c r="J2000" s="146"/>
      <c r="M2000" s="147"/>
      <c r="Q2000" s="146"/>
      <c r="T2000" s="146"/>
      <c r="V2000" s="147"/>
      <c r="W2000" s="146"/>
      <c r="Y2000" s="147"/>
    </row>
    <row r="2001" spans="3:25">
      <c r="C2001" s="146"/>
      <c r="E2001" s="147"/>
      <c r="F2001" s="146"/>
      <c r="I2001" s="147"/>
      <c r="J2001" s="146"/>
      <c r="M2001" s="147"/>
      <c r="Q2001" s="146"/>
      <c r="T2001" s="146"/>
      <c r="V2001" s="147"/>
      <c r="W2001" s="146"/>
      <c r="Y2001" s="147"/>
    </row>
    <row r="2002" spans="3:25">
      <c r="C2002" s="146"/>
      <c r="E2002" s="147"/>
      <c r="F2002" s="146"/>
      <c r="I2002" s="147"/>
      <c r="J2002" s="146"/>
      <c r="M2002" s="147"/>
      <c r="Q2002" s="146"/>
      <c r="T2002" s="146"/>
      <c r="V2002" s="147"/>
      <c r="W2002" s="146"/>
      <c r="Y2002" s="147"/>
    </row>
    <row r="2003" spans="3:25">
      <c r="C2003" s="146"/>
      <c r="E2003" s="147"/>
      <c r="F2003" s="146"/>
      <c r="I2003" s="147"/>
      <c r="J2003" s="146"/>
      <c r="M2003" s="147"/>
      <c r="Q2003" s="146"/>
      <c r="T2003" s="146"/>
      <c r="V2003" s="147"/>
      <c r="W2003" s="146"/>
      <c r="Y2003" s="147"/>
    </row>
    <row r="2004" spans="3:25">
      <c r="C2004" s="146"/>
      <c r="E2004" s="147"/>
      <c r="F2004" s="146"/>
      <c r="I2004" s="147"/>
      <c r="J2004" s="146"/>
      <c r="M2004" s="147"/>
      <c r="Q2004" s="146"/>
      <c r="T2004" s="146"/>
      <c r="V2004" s="147"/>
      <c r="W2004" s="146"/>
      <c r="Y2004" s="147"/>
    </row>
    <row r="2005" spans="3:25">
      <c r="C2005" s="146"/>
      <c r="E2005" s="147"/>
      <c r="F2005" s="146"/>
      <c r="I2005" s="147"/>
      <c r="J2005" s="146"/>
      <c r="M2005" s="147"/>
      <c r="Q2005" s="146"/>
      <c r="T2005" s="146"/>
      <c r="V2005" s="147"/>
      <c r="W2005" s="146"/>
      <c r="Y2005" s="147"/>
    </row>
    <row r="2006" spans="3:25">
      <c r="C2006" s="146"/>
      <c r="E2006" s="147"/>
      <c r="F2006" s="146"/>
      <c r="I2006" s="147"/>
      <c r="J2006" s="146"/>
      <c r="M2006" s="147"/>
      <c r="Q2006" s="146"/>
      <c r="T2006" s="146"/>
      <c r="V2006" s="147"/>
      <c r="W2006" s="146"/>
      <c r="Y2006" s="147"/>
    </row>
    <row r="2007" spans="3:25">
      <c r="C2007" s="146"/>
      <c r="E2007" s="147"/>
      <c r="F2007" s="146"/>
      <c r="I2007" s="147"/>
      <c r="J2007" s="146"/>
      <c r="M2007" s="147"/>
      <c r="Q2007" s="146"/>
      <c r="T2007" s="146"/>
      <c r="V2007" s="147"/>
      <c r="W2007" s="146"/>
      <c r="Y2007" s="147"/>
    </row>
    <row r="2008" spans="3:25">
      <c r="C2008" s="146"/>
      <c r="E2008" s="147"/>
      <c r="F2008" s="146"/>
      <c r="I2008" s="147"/>
      <c r="J2008" s="146"/>
      <c r="M2008" s="147"/>
      <c r="Q2008" s="146"/>
      <c r="T2008" s="146"/>
      <c r="V2008" s="147"/>
      <c r="W2008" s="146"/>
      <c r="Y2008" s="147"/>
    </row>
    <row r="2009" spans="3:25">
      <c r="C2009" s="146"/>
      <c r="E2009" s="147"/>
      <c r="F2009" s="146"/>
      <c r="I2009" s="147"/>
      <c r="J2009" s="146"/>
      <c r="M2009" s="147"/>
      <c r="Q2009" s="146"/>
      <c r="T2009" s="146"/>
      <c r="V2009" s="147"/>
      <c r="W2009" s="146"/>
      <c r="Y2009" s="147"/>
    </row>
    <row r="2010" spans="3:25">
      <c r="C2010" s="146"/>
      <c r="E2010" s="147"/>
      <c r="F2010" s="146"/>
      <c r="I2010" s="147"/>
      <c r="J2010" s="146"/>
      <c r="M2010" s="147"/>
      <c r="Q2010" s="146"/>
      <c r="T2010" s="146"/>
      <c r="V2010" s="147"/>
      <c r="W2010" s="146"/>
      <c r="Y2010" s="147"/>
    </row>
    <row r="2011" spans="3:25">
      <c r="C2011" s="146"/>
      <c r="E2011" s="147"/>
      <c r="F2011" s="146"/>
      <c r="I2011" s="147"/>
      <c r="J2011" s="146"/>
      <c r="M2011" s="147"/>
      <c r="Q2011" s="146"/>
      <c r="T2011" s="146"/>
      <c r="V2011" s="147"/>
      <c r="W2011" s="146"/>
      <c r="Y2011" s="147"/>
    </row>
    <row r="2012" spans="3:25">
      <c r="C2012" s="146"/>
      <c r="E2012" s="147"/>
      <c r="F2012" s="146"/>
      <c r="I2012" s="147"/>
      <c r="J2012" s="146"/>
      <c r="M2012" s="147"/>
      <c r="Q2012" s="146"/>
      <c r="T2012" s="146"/>
      <c r="V2012" s="147"/>
      <c r="W2012" s="146"/>
      <c r="Y2012" s="147"/>
    </row>
    <row r="2013" spans="3:25">
      <c r="C2013" s="146"/>
      <c r="E2013" s="147"/>
      <c r="F2013" s="146"/>
      <c r="I2013" s="147"/>
      <c r="J2013" s="146"/>
      <c r="M2013" s="147"/>
      <c r="Q2013" s="146"/>
      <c r="T2013" s="146"/>
      <c r="V2013" s="147"/>
      <c r="W2013" s="146"/>
      <c r="Y2013" s="147"/>
    </row>
    <row r="2014" spans="3:25">
      <c r="C2014" s="146"/>
      <c r="E2014" s="147"/>
      <c r="F2014" s="146"/>
      <c r="I2014" s="147"/>
      <c r="J2014" s="146"/>
      <c r="M2014" s="147"/>
      <c r="Q2014" s="146"/>
      <c r="T2014" s="146"/>
      <c r="V2014" s="147"/>
      <c r="W2014" s="146"/>
      <c r="Y2014" s="147"/>
    </row>
    <row r="2015" spans="3:25">
      <c r="C2015" s="146"/>
      <c r="E2015" s="147"/>
      <c r="F2015" s="146"/>
      <c r="I2015" s="147"/>
      <c r="J2015" s="146"/>
      <c r="M2015" s="147"/>
      <c r="Q2015" s="146"/>
      <c r="T2015" s="146"/>
      <c r="V2015" s="147"/>
      <c r="W2015" s="146"/>
      <c r="Y2015" s="147"/>
    </row>
    <row r="2016" spans="3:25">
      <c r="C2016" s="146"/>
      <c r="E2016" s="147"/>
      <c r="F2016" s="146"/>
      <c r="I2016" s="147"/>
      <c r="J2016" s="146"/>
      <c r="M2016" s="147"/>
      <c r="Q2016" s="146"/>
      <c r="T2016" s="146"/>
      <c r="V2016" s="147"/>
      <c r="W2016" s="146"/>
      <c r="Y2016" s="147"/>
    </row>
    <row r="2017" spans="3:25">
      <c r="C2017" s="146"/>
      <c r="E2017" s="147"/>
      <c r="F2017" s="146"/>
      <c r="I2017" s="147"/>
      <c r="J2017" s="146"/>
      <c r="M2017" s="147"/>
      <c r="Q2017" s="146"/>
      <c r="T2017" s="146"/>
      <c r="V2017" s="147"/>
      <c r="W2017" s="146"/>
      <c r="Y2017" s="147"/>
    </row>
    <row r="2018" spans="3:25">
      <c r="C2018" s="146"/>
      <c r="E2018" s="147"/>
      <c r="F2018" s="146"/>
      <c r="I2018" s="147"/>
      <c r="J2018" s="146"/>
      <c r="M2018" s="147"/>
      <c r="Q2018" s="146"/>
      <c r="T2018" s="146"/>
      <c r="V2018" s="147"/>
      <c r="W2018" s="146"/>
      <c r="Y2018" s="147"/>
    </row>
    <row r="2019" spans="3:25">
      <c r="C2019" s="146"/>
      <c r="E2019" s="147"/>
      <c r="F2019" s="146"/>
      <c r="I2019" s="147"/>
      <c r="J2019" s="146"/>
      <c r="M2019" s="147"/>
      <c r="Q2019" s="146"/>
      <c r="T2019" s="146"/>
      <c r="V2019" s="147"/>
      <c r="W2019" s="146"/>
      <c r="Y2019" s="147"/>
    </row>
    <row r="2020" spans="3:25">
      <c r="C2020" s="146"/>
      <c r="E2020" s="147"/>
      <c r="F2020" s="146"/>
      <c r="I2020" s="147"/>
      <c r="J2020" s="146"/>
      <c r="M2020" s="147"/>
      <c r="Q2020" s="146"/>
      <c r="T2020" s="146"/>
      <c r="V2020" s="147"/>
      <c r="W2020" s="146"/>
      <c r="Y2020" s="147"/>
    </row>
    <row r="2021" spans="3:25">
      <c r="C2021" s="146"/>
      <c r="E2021" s="147"/>
      <c r="F2021" s="146"/>
      <c r="I2021" s="147"/>
      <c r="J2021" s="146"/>
      <c r="M2021" s="147"/>
      <c r="Q2021" s="146"/>
      <c r="T2021" s="146"/>
      <c r="V2021" s="147"/>
      <c r="W2021" s="146"/>
      <c r="Y2021" s="147"/>
    </row>
    <row r="2022" spans="3:25">
      <c r="C2022" s="146"/>
      <c r="E2022" s="147"/>
      <c r="F2022" s="146"/>
      <c r="I2022" s="147"/>
      <c r="J2022" s="146"/>
      <c r="M2022" s="147"/>
      <c r="Q2022" s="146"/>
      <c r="T2022" s="146"/>
      <c r="V2022" s="147"/>
      <c r="W2022" s="146"/>
      <c r="Y2022" s="147"/>
    </row>
    <row r="2023" spans="3:25">
      <c r="C2023" s="146"/>
      <c r="E2023" s="147"/>
      <c r="F2023" s="146"/>
      <c r="I2023" s="147"/>
      <c r="J2023" s="146"/>
      <c r="M2023" s="147"/>
      <c r="Q2023" s="146"/>
      <c r="T2023" s="146"/>
      <c r="V2023" s="147"/>
      <c r="W2023" s="146"/>
      <c r="Y2023" s="147"/>
    </row>
    <row r="2024" spans="3:25">
      <c r="C2024" s="146"/>
      <c r="E2024" s="147"/>
      <c r="F2024" s="146"/>
      <c r="I2024" s="147"/>
      <c r="J2024" s="146"/>
      <c r="M2024" s="147"/>
      <c r="Q2024" s="146"/>
      <c r="T2024" s="146"/>
      <c r="V2024" s="147"/>
      <c r="W2024" s="146"/>
      <c r="Y2024" s="147"/>
    </row>
    <row r="2025" spans="3:25">
      <c r="C2025" s="146"/>
      <c r="E2025" s="147"/>
      <c r="F2025" s="146"/>
      <c r="I2025" s="147"/>
      <c r="J2025" s="146"/>
      <c r="M2025" s="147"/>
      <c r="Q2025" s="146"/>
      <c r="T2025" s="146"/>
      <c r="V2025" s="147"/>
      <c r="W2025" s="146"/>
      <c r="Y2025" s="147"/>
    </row>
    <row r="2026" spans="3:25">
      <c r="C2026" s="146"/>
      <c r="E2026" s="147"/>
      <c r="F2026" s="146"/>
      <c r="I2026" s="147"/>
      <c r="J2026" s="146"/>
      <c r="M2026" s="147"/>
      <c r="Q2026" s="146"/>
      <c r="T2026" s="146"/>
      <c r="V2026" s="147"/>
      <c r="W2026" s="146"/>
      <c r="Y2026" s="147"/>
    </row>
    <row r="2027" spans="3:25">
      <c r="C2027" s="146"/>
      <c r="E2027" s="147"/>
      <c r="F2027" s="146"/>
      <c r="I2027" s="147"/>
      <c r="J2027" s="146"/>
      <c r="M2027" s="147"/>
      <c r="Q2027" s="146"/>
      <c r="T2027" s="146"/>
      <c r="V2027" s="147"/>
      <c r="W2027" s="146"/>
      <c r="Y2027" s="147"/>
    </row>
    <row r="2028" spans="3:25">
      <c r="C2028" s="146"/>
      <c r="E2028" s="147"/>
      <c r="F2028" s="146"/>
      <c r="I2028" s="147"/>
      <c r="J2028" s="146"/>
      <c r="M2028" s="147"/>
      <c r="Q2028" s="146"/>
      <c r="T2028" s="146"/>
      <c r="V2028" s="147"/>
      <c r="W2028" s="146"/>
      <c r="Y2028" s="147"/>
    </row>
    <row r="2029" spans="3:25">
      <c r="C2029" s="146"/>
      <c r="E2029" s="147"/>
      <c r="F2029" s="146"/>
      <c r="I2029" s="147"/>
      <c r="J2029" s="146"/>
      <c r="M2029" s="147"/>
      <c r="Q2029" s="146"/>
      <c r="T2029" s="146"/>
      <c r="V2029" s="147"/>
      <c r="W2029" s="146"/>
      <c r="Y2029" s="147"/>
    </row>
    <row r="2030" spans="3:25">
      <c r="C2030" s="146"/>
      <c r="E2030" s="147"/>
      <c r="F2030" s="146"/>
      <c r="I2030" s="147"/>
      <c r="J2030" s="146"/>
      <c r="M2030" s="147"/>
      <c r="Q2030" s="146"/>
      <c r="T2030" s="146"/>
      <c r="V2030" s="147"/>
      <c r="W2030" s="146"/>
      <c r="Y2030" s="147"/>
    </row>
    <row r="2031" spans="3:25">
      <c r="C2031" s="146"/>
      <c r="E2031" s="147"/>
      <c r="F2031" s="146"/>
      <c r="I2031" s="147"/>
      <c r="J2031" s="146"/>
      <c r="M2031" s="147"/>
      <c r="Q2031" s="146"/>
      <c r="T2031" s="146"/>
      <c r="V2031" s="147"/>
      <c r="W2031" s="146"/>
      <c r="Y2031" s="147"/>
    </row>
    <row r="2032" spans="3:25">
      <c r="C2032" s="146"/>
      <c r="E2032" s="147"/>
      <c r="F2032" s="146"/>
      <c r="I2032" s="147"/>
      <c r="J2032" s="146"/>
      <c r="M2032" s="147"/>
      <c r="Q2032" s="146"/>
      <c r="T2032" s="146"/>
      <c r="V2032" s="147"/>
      <c r="W2032" s="146"/>
      <c r="Y2032" s="147"/>
    </row>
    <row r="2033" spans="3:25">
      <c r="C2033" s="146"/>
      <c r="E2033" s="147"/>
      <c r="F2033" s="146"/>
      <c r="I2033" s="147"/>
      <c r="J2033" s="146"/>
      <c r="M2033" s="147"/>
      <c r="Q2033" s="146"/>
      <c r="T2033" s="146"/>
      <c r="V2033" s="147"/>
      <c r="W2033" s="146"/>
      <c r="Y2033" s="147"/>
    </row>
    <row r="2034" spans="3:25">
      <c r="C2034" s="146"/>
      <c r="E2034" s="147"/>
      <c r="F2034" s="146"/>
      <c r="I2034" s="147"/>
      <c r="J2034" s="146"/>
      <c r="M2034" s="147"/>
      <c r="Q2034" s="146"/>
      <c r="T2034" s="146"/>
      <c r="V2034" s="147"/>
      <c r="W2034" s="146"/>
      <c r="Y2034" s="147"/>
    </row>
    <row r="2035" spans="3:25">
      <c r="C2035" s="146"/>
      <c r="E2035" s="147"/>
      <c r="F2035" s="146"/>
      <c r="I2035" s="147"/>
      <c r="J2035" s="146"/>
      <c r="M2035" s="147"/>
      <c r="Q2035" s="146"/>
      <c r="T2035" s="146"/>
      <c r="V2035" s="147"/>
      <c r="W2035" s="146"/>
      <c r="Y2035" s="147"/>
    </row>
    <row r="2036" spans="3:25">
      <c r="C2036" s="146"/>
      <c r="E2036" s="147"/>
      <c r="F2036" s="146"/>
      <c r="I2036" s="147"/>
      <c r="J2036" s="146"/>
      <c r="M2036" s="147"/>
      <c r="Q2036" s="146"/>
      <c r="T2036" s="146"/>
      <c r="V2036" s="147"/>
      <c r="W2036" s="146"/>
      <c r="Y2036" s="147"/>
    </row>
    <row r="2037" spans="3:25">
      <c r="C2037" s="146"/>
      <c r="E2037" s="147"/>
      <c r="F2037" s="146"/>
      <c r="I2037" s="147"/>
      <c r="J2037" s="146"/>
      <c r="M2037" s="147"/>
      <c r="Q2037" s="146"/>
      <c r="T2037" s="146"/>
      <c r="V2037" s="147"/>
      <c r="W2037" s="146"/>
      <c r="Y2037" s="147"/>
    </row>
    <row r="2038" spans="3:25">
      <c r="C2038" s="146"/>
      <c r="E2038" s="147"/>
      <c r="F2038" s="146"/>
      <c r="I2038" s="147"/>
      <c r="J2038" s="146"/>
      <c r="M2038" s="147"/>
      <c r="Q2038" s="146"/>
      <c r="T2038" s="146"/>
      <c r="V2038" s="147"/>
      <c r="W2038" s="146"/>
      <c r="Y2038" s="147"/>
    </row>
    <row r="2039" spans="3:25">
      <c r="C2039" s="146"/>
      <c r="E2039" s="147"/>
      <c r="F2039" s="146"/>
      <c r="I2039" s="147"/>
      <c r="J2039" s="146"/>
      <c r="M2039" s="147"/>
      <c r="Q2039" s="146"/>
      <c r="T2039" s="146"/>
      <c r="V2039" s="147"/>
      <c r="W2039" s="146"/>
      <c r="Y2039" s="147"/>
    </row>
    <row r="2040" spans="3:25">
      <c r="C2040" s="146"/>
      <c r="E2040" s="147"/>
      <c r="F2040" s="146"/>
      <c r="I2040" s="147"/>
      <c r="J2040" s="146"/>
      <c r="M2040" s="147"/>
      <c r="Q2040" s="146"/>
      <c r="T2040" s="146"/>
      <c r="V2040" s="147"/>
      <c r="W2040" s="146"/>
      <c r="Y2040" s="147"/>
    </row>
    <row r="2041" spans="3:25">
      <c r="C2041" s="146"/>
      <c r="E2041" s="147"/>
      <c r="F2041" s="146"/>
      <c r="I2041" s="147"/>
      <c r="J2041" s="146"/>
      <c r="M2041" s="147"/>
      <c r="Q2041" s="146"/>
      <c r="T2041" s="146"/>
      <c r="V2041" s="147"/>
      <c r="W2041" s="146"/>
      <c r="Y2041" s="147"/>
    </row>
    <row r="2042" spans="3:25">
      <c r="C2042" s="146"/>
      <c r="E2042" s="147"/>
      <c r="F2042" s="146"/>
      <c r="I2042" s="147"/>
      <c r="J2042" s="146"/>
      <c r="M2042" s="147"/>
      <c r="Q2042" s="146"/>
      <c r="T2042" s="146"/>
      <c r="V2042" s="147"/>
      <c r="W2042" s="146"/>
      <c r="Y2042" s="147"/>
    </row>
    <row r="2043" spans="3:25">
      <c r="C2043" s="146"/>
      <c r="E2043" s="147"/>
      <c r="F2043" s="146"/>
      <c r="I2043" s="147"/>
      <c r="J2043" s="146"/>
      <c r="M2043" s="147"/>
      <c r="Q2043" s="146"/>
      <c r="T2043" s="146"/>
      <c r="V2043" s="147"/>
      <c r="W2043" s="146"/>
      <c r="Y2043" s="147"/>
    </row>
    <row r="2044" spans="3:25">
      <c r="C2044" s="146"/>
      <c r="E2044" s="147"/>
      <c r="F2044" s="146"/>
      <c r="I2044" s="147"/>
      <c r="J2044" s="146"/>
      <c r="M2044" s="147"/>
      <c r="Q2044" s="146"/>
      <c r="T2044" s="146"/>
      <c r="V2044" s="147"/>
      <c r="W2044" s="146"/>
      <c r="Y2044" s="147"/>
    </row>
    <row r="2045" spans="3:25">
      <c r="C2045" s="146"/>
      <c r="E2045" s="147"/>
      <c r="F2045" s="146"/>
      <c r="I2045" s="147"/>
      <c r="J2045" s="146"/>
      <c r="M2045" s="147"/>
      <c r="Q2045" s="146"/>
      <c r="T2045" s="146"/>
      <c r="V2045" s="147"/>
      <c r="W2045" s="146"/>
      <c r="Y2045" s="147"/>
    </row>
    <row r="2046" spans="3:25">
      <c r="C2046" s="146"/>
      <c r="E2046" s="147"/>
      <c r="F2046" s="146"/>
      <c r="I2046" s="147"/>
      <c r="J2046" s="146"/>
      <c r="M2046" s="147"/>
      <c r="Q2046" s="146"/>
      <c r="T2046" s="146"/>
      <c r="V2046" s="147"/>
      <c r="W2046" s="146"/>
      <c r="Y2046" s="147"/>
    </row>
    <row r="2047" spans="3:25">
      <c r="C2047" s="146"/>
      <c r="E2047" s="147"/>
      <c r="F2047" s="146"/>
      <c r="I2047" s="147"/>
      <c r="J2047" s="146"/>
      <c r="M2047" s="147"/>
      <c r="Q2047" s="146"/>
      <c r="T2047" s="146"/>
      <c r="V2047" s="147"/>
      <c r="W2047" s="146"/>
      <c r="Y2047" s="147"/>
    </row>
    <row r="2048" spans="3:25">
      <c r="C2048" s="146"/>
      <c r="E2048" s="147"/>
      <c r="F2048" s="146"/>
      <c r="I2048" s="147"/>
      <c r="J2048" s="146"/>
      <c r="M2048" s="147"/>
      <c r="Q2048" s="146"/>
      <c r="T2048" s="146"/>
      <c r="V2048" s="147"/>
      <c r="W2048" s="146"/>
      <c r="Y2048" s="147"/>
    </row>
    <row r="2049" spans="3:25">
      <c r="C2049" s="146"/>
      <c r="E2049" s="147"/>
      <c r="F2049" s="146"/>
      <c r="I2049" s="147"/>
      <c r="J2049" s="146"/>
      <c r="M2049" s="147"/>
      <c r="Q2049" s="146"/>
      <c r="T2049" s="146"/>
      <c r="V2049" s="147"/>
      <c r="W2049" s="146"/>
      <c r="Y2049" s="147"/>
    </row>
    <row r="2050" spans="3:25">
      <c r="C2050" s="146"/>
      <c r="E2050" s="147"/>
      <c r="F2050" s="146"/>
      <c r="I2050" s="147"/>
      <c r="J2050" s="146"/>
      <c r="M2050" s="147"/>
      <c r="Q2050" s="146"/>
      <c r="T2050" s="146"/>
      <c r="V2050" s="147"/>
      <c r="W2050" s="146"/>
      <c r="Y2050" s="147"/>
    </row>
    <row r="2051" spans="3:25">
      <c r="C2051" s="146"/>
      <c r="E2051" s="147"/>
      <c r="F2051" s="146"/>
      <c r="I2051" s="147"/>
      <c r="J2051" s="146"/>
      <c r="M2051" s="147"/>
      <c r="Q2051" s="146"/>
      <c r="T2051" s="146"/>
      <c r="V2051" s="147"/>
      <c r="W2051" s="146"/>
      <c r="Y2051" s="147"/>
    </row>
    <row r="2052" spans="3:25">
      <c r="C2052" s="146"/>
      <c r="E2052" s="147"/>
      <c r="F2052" s="146"/>
      <c r="I2052" s="147"/>
      <c r="J2052" s="146"/>
      <c r="M2052" s="147"/>
      <c r="Q2052" s="146"/>
      <c r="T2052" s="146"/>
      <c r="V2052" s="147"/>
      <c r="W2052" s="146"/>
      <c r="Y2052" s="147"/>
    </row>
    <row r="2053" spans="3:25">
      <c r="C2053" s="146"/>
      <c r="E2053" s="147"/>
      <c r="F2053" s="146"/>
      <c r="I2053" s="147"/>
      <c r="J2053" s="146"/>
      <c r="M2053" s="147"/>
      <c r="Q2053" s="146"/>
      <c r="T2053" s="146"/>
      <c r="V2053" s="147"/>
      <c r="W2053" s="146"/>
      <c r="Y2053" s="147"/>
    </row>
    <row r="2054" spans="3:25">
      <c r="C2054" s="146"/>
      <c r="E2054" s="147"/>
      <c r="F2054" s="146"/>
      <c r="I2054" s="147"/>
      <c r="J2054" s="146"/>
      <c r="M2054" s="147"/>
      <c r="Q2054" s="146"/>
      <c r="T2054" s="146"/>
      <c r="V2054" s="147"/>
      <c r="W2054" s="146"/>
      <c r="Y2054" s="147"/>
    </row>
    <row r="2055" spans="3:25">
      <c r="C2055" s="146"/>
      <c r="E2055" s="147"/>
      <c r="F2055" s="146"/>
      <c r="I2055" s="147"/>
      <c r="J2055" s="146"/>
      <c r="M2055" s="147"/>
      <c r="Q2055" s="146"/>
      <c r="T2055" s="146"/>
      <c r="V2055" s="147"/>
      <c r="W2055" s="146"/>
      <c r="Y2055" s="147"/>
    </row>
    <row r="2056" spans="3:25">
      <c r="C2056" s="146"/>
      <c r="E2056" s="147"/>
      <c r="F2056" s="146"/>
      <c r="I2056" s="147"/>
      <c r="J2056" s="146"/>
      <c r="M2056" s="147"/>
      <c r="Q2056" s="146"/>
      <c r="T2056" s="146"/>
      <c r="V2056" s="147"/>
      <c r="W2056" s="146"/>
      <c r="Y2056" s="147"/>
    </row>
    <row r="2057" spans="3:25">
      <c r="C2057" s="146"/>
      <c r="E2057" s="147"/>
      <c r="F2057" s="146"/>
      <c r="I2057" s="147"/>
      <c r="J2057" s="146"/>
      <c r="M2057" s="147"/>
      <c r="Q2057" s="146"/>
      <c r="T2057" s="146"/>
      <c r="V2057" s="147"/>
      <c r="W2057" s="146"/>
      <c r="Y2057" s="147"/>
    </row>
    <row r="2058" spans="3:25">
      <c r="C2058" s="146"/>
      <c r="E2058" s="147"/>
      <c r="F2058" s="146"/>
      <c r="I2058" s="147"/>
      <c r="J2058" s="146"/>
      <c r="M2058" s="147"/>
      <c r="Q2058" s="146"/>
      <c r="T2058" s="146"/>
      <c r="V2058" s="147"/>
      <c r="W2058" s="146"/>
      <c r="Y2058" s="147"/>
    </row>
    <row r="2059" spans="3:25">
      <c r="C2059" s="146"/>
      <c r="E2059" s="147"/>
      <c r="F2059" s="146"/>
      <c r="I2059" s="147"/>
      <c r="J2059" s="146"/>
      <c r="M2059" s="147"/>
      <c r="Q2059" s="146"/>
      <c r="T2059" s="146"/>
      <c r="V2059" s="147"/>
      <c r="W2059" s="146"/>
      <c r="Y2059" s="147"/>
    </row>
    <row r="2060" spans="3:25">
      <c r="C2060" s="146"/>
      <c r="E2060" s="147"/>
      <c r="F2060" s="146"/>
      <c r="I2060" s="147"/>
      <c r="J2060" s="146"/>
      <c r="M2060" s="147"/>
      <c r="Q2060" s="146"/>
      <c r="T2060" s="146"/>
      <c r="V2060" s="147"/>
      <c r="W2060" s="146"/>
      <c r="Y2060" s="147"/>
    </row>
    <row r="2061" spans="3:25">
      <c r="C2061" s="146"/>
      <c r="E2061" s="147"/>
      <c r="F2061" s="146"/>
      <c r="I2061" s="147"/>
      <c r="J2061" s="146"/>
      <c r="M2061" s="147"/>
      <c r="Q2061" s="146"/>
      <c r="T2061" s="146"/>
      <c r="V2061" s="147"/>
      <c r="W2061" s="146"/>
      <c r="Y2061" s="147"/>
    </row>
    <row r="2062" spans="3:25">
      <c r="C2062" s="146"/>
      <c r="E2062" s="147"/>
      <c r="F2062" s="146"/>
      <c r="I2062" s="147"/>
      <c r="J2062" s="146"/>
      <c r="M2062" s="147"/>
      <c r="Q2062" s="146"/>
      <c r="T2062" s="146"/>
      <c r="V2062" s="147"/>
      <c r="W2062" s="146"/>
      <c r="Y2062" s="147"/>
    </row>
    <row r="2063" spans="3:25">
      <c r="C2063" s="146"/>
      <c r="E2063" s="147"/>
      <c r="F2063" s="146"/>
      <c r="I2063" s="147"/>
      <c r="J2063" s="146"/>
      <c r="M2063" s="147"/>
      <c r="Q2063" s="146"/>
      <c r="T2063" s="146"/>
      <c r="V2063" s="147"/>
      <c r="W2063" s="146"/>
      <c r="Y2063" s="147"/>
    </row>
    <row r="2064" spans="3:25">
      <c r="C2064" s="146"/>
      <c r="E2064" s="147"/>
      <c r="F2064" s="146"/>
      <c r="I2064" s="147"/>
      <c r="J2064" s="146"/>
      <c r="M2064" s="147"/>
      <c r="Q2064" s="146"/>
      <c r="T2064" s="146"/>
      <c r="V2064" s="147"/>
      <c r="W2064" s="146"/>
      <c r="Y2064" s="147"/>
    </row>
    <row r="2065" spans="3:25">
      <c r="C2065" s="146"/>
      <c r="E2065" s="147"/>
      <c r="F2065" s="146"/>
      <c r="I2065" s="147"/>
      <c r="J2065" s="146"/>
      <c r="M2065" s="147"/>
      <c r="Q2065" s="146"/>
      <c r="T2065" s="146"/>
      <c r="V2065" s="147"/>
      <c r="W2065" s="146"/>
      <c r="Y2065" s="147"/>
    </row>
    <row r="2066" spans="3:25">
      <c r="C2066" s="146"/>
      <c r="E2066" s="147"/>
      <c r="F2066" s="146"/>
      <c r="I2066" s="147"/>
      <c r="J2066" s="146"/>
      <c r="M2066" s="147"/>
      <c r="Q2066" s="146"/>
      <c r="T2066" s="146"/>
      <c r="V2066" s="147"/>
      <c r="W2066" s="146"/>
      <c r="Y2066" s="147"/>
    </row>
    <row r="2067" spans="3:25">
      <c r="C2067" s="146"/>
      <c r="E2067" s="147"/>
      <c r="F2067" s="146"/>
      <c r="I2067" s="147"/>
      <c r="J2067" s="146"/>
      <c r="M2067" s="147"/>
      <c r="Q2067" s="146"/>
      <c r="T2067" s="146"/>
      <c r="V2067" s="147"/>
      <c r="W2067" s="146"/>
      <c r="Y2067" s="147"/>
    </row>
    <row r="2068" spans="3:25">
      <c r="C2068" s="146"/>
      <c r="E2068" s="147"/>
      <c r="F2068" s="146"/>
      <c r="I2068" s="147"/>
      <c r="J2068" s="146"/>
      <c r="M2068" s="147"/>
      <c r="Q2068" s="146"/>
      <c r="T2068" s="146"/>
      <c r="V2068" s="147"/>
      <c r="W2068" s="146"/>
      <c r="Y2068" s="147"/>
    </row>
    <row r="2069" spans="3:25">
      <c r="C2069" s="146"/>
      <c r="E2069" s="147"/>
      <c r="F2069" s="146"/>
      <c r="I2069" s="147"/>
      <c r="J2069" s="146"/>
      <c r="M2069" s="147"/>
      <c r="Q2069" s="146"/>
      <c r="T2069" s="146"/>
      <c r="V2069" s="147"/>
      <c r="W2069" s="146"/>
      <c r="Y2069" s="147"/>
    </row>
    <row r="2070" spans="3:25">
      <c r="C2070" s="146"/>
      <c r="E2070" s="147"/>
      <c r="F2070" s="146"/>
      <c r="I2070" s="147"/>
      <c r="J2070" s="146"/>
      <c r="M2070" s="147"/>
      <c r="Q2070" s="146"/>
      <c r="T2070" s="146"/>
      <c r="V2070" s="147"/>
      <c r="W2070" s="146"/>
      <c r="Y2070" s="147"/>
    </row>
    <row r="2071" spans="3:25">
      <c r="C2071" s="146"/>
      <c r="E2071" s="147"/>
      <c r="F2071" s="146"/>
      <c r="I2071" s="147"/>
      <c r="J2071" s="146"/>
      <c r="M2071" s="147"/>
      <c r="Q2071" s="146"/>
      <c r="T2071" s="146"/>
      <c r="V2071" s="147"/>
      <c r="W2071" s="146"/>
      <c r="Y2071" s="147"/>
    </row>
    <row r="2072" spans="3:25">
      <c r="C2072" s="146"/>
      <c r="E2072" s="147"/>
      <c r="F2072" s="146"/>
      <c r="I2072" s="147"/>
      <c r="J2072" s="146"/>
      <c r="M2072" s="147"/>
      <c r="Q2072" s="146"/>
      <c r="T2072" s="146"/>
      <c r="V2072" s="147"/>
      <c r="W2072" s="146"/>
      <c r="Y2072" s="147"/>
    </row>
    <row r="2073" spans="3:25">
      <c r="C2073" s="146"/>
      <c r="E2073" s="147"/>
      <c r="F2073" s="146"/>
      <c r="I2073" s="147"/>
      <c r="J2073" s="146"/>
      <c r="M2073" s="147"/>
      <c r="Q2073" s="146"/>
      <c r="T2073" s="146"/>
      <c r="V2073" s="147"/>
      <c r="W2073" s="146"/>
      <c r="Y2073" s="147"/>
    </row>
    <row r="2074" spans="3:25">
      <c r="C2074" s="146"/>
      <c r="E2074" s="147"/>
      <c r="F2074" s="146"/>
      <c r="I2074" s="147"/>
      <c r="J2074" s="146"/>
      <c r="M2074" s="147"/>
      <c r="Q2074" s="146"/>
      <c r="T2074" s="146"/>
      <c r="V2074" s="147"/>
      <c r="W2074" s="146"/>
      <c r="Y2074" s="147"/>
    </row>
    <row r="2075" spans="3:25">
      <c r="C2075" s="146"/>
      <c r="E2075" s="147"/>
      <c r="F2075" s="146"/>
      <c r="I2075" s="147"/>
      <c r="J2075" s="146"/>
      <c r="M2075" s="147"/>
      <c r="Q2075" s="146"/>
      <c r="T2075" s="146"/>
      <c r="V2075" s="147"/>
      <c r="W2075" s="146"/>
      <c r="Y2075" s="147"/>
    </row>
    <row r="2076" spans="3:25">
      <c r="C2076" s="146"/>
      <c r="E2076" s="147"/>
      <c r="F2076" s="146"/>
      <c r="I2076" s="147"/>
      <c r="J2076" s="146"/>
      <c r="M2076" s="147"/>
      <c r="Q2076" s="146"/>
      <c r="T2076" s="146"/>
      <c r="V2076" s="147"/>
      <c r="W2076" s="146"/>
      <c r="Y2076" s="147"/>
    </row>
    <row r="2077" spans="3:25">
      <c r="C2077" s="146"/>
      <c r="E2077" s="147"/>
      <c r="F2077" s="146"/>
      <c r="I2077" s="147"/>
      <c r="J2077" s="146"/>
      <c r="M2077" s="147"/>
      <c r="Q2077" s="146"/>
      <c r="T2077" s="146"/>
      <c r="V2077" s="147"/>
      <c r="W2077" s="146"/>
      <c r="Y2077" s="147"/>
    </row>
    <row r="2078" spans="3:25">
      <c r="C2078" s="146"/>
      <c r="E2078" s="147"/>
      <c r="F2078" s="146"/>
      <c r="I2078" s="147"/>
      <c r="J2078" s="146"/>
      <c r="M2078" s="147"/>
      <c r="Q2078" s="146"/>
      <c r="T2078" s="146"/>
      <c r="V2078" s="147"/>
      <c r="W2078" s="146"/>
      <c r="Y2078" s="147"/>
    </row>
    <row r="2079" spans="3:25">
      <c r="C2079" s="146"/>
      <c r="E2079" s="147"/>
      <c r="F2079" s="146"/>
      <c r="I2079" s="147"/>
      <c r="J2079" s="146"/>
      <c r="M2079" s="147"/>
      <c r="Q2079" s="146"/>
      <c r="T2079" s="146"/>
      <c r="V2079" s="147"/>
      <c r="W2079" s="146"/>
      <c r="Y2079" s="147"/>
    </row>
    <row r="2080" spans="3:25">
      <c r="C2080" s="146"/>
      <c r="E2080" s="147"/>
      <c r="F2080" s="146"/>
      <c r="I2080" s="147"/>
      <c r="J2080" s="146"/>
      <c r="M2080" s="147"/>
      <c r="Q2080" s="146"/>
      <c r="T2080" s="146"/>
      <c r="V2080" s="147"/>
      <c r="W2080" s="146"/>
      <c r="Y2080" s="147"/>
    </row>
    <row r="2081" spans="3:25">
      <c r="C2081" s="146"/>
      <c r="E2081" s="147"/>
      <c r="F2081" s="146"/>
      <c r="I2081" s="147"/>
      <c r="J2081" s="146"/>
      <c r="M2081" s="147"/>
      <c r="Q2081" s="146"/>
      <c r="T2081" s="146"/>
      <c r="V2081" s="147"/>
      <c r="W2081" s="146"/>
      <c r="Y2081" s="147"/>
    </row>
    <row r="2082" spans="3:25">
      <c r="C2082" s="146"/>
      <c r="E2082" s="147"/>
      <c r="F2082" s="146"/>
      <c r="I2082" s="147"/>
      <c r="J2082" s="146"/>
      <c r="M2082" s="147"/>
      <c r="Q2082" s="146"/>
      <c r="T2082" s="146"/>
      <c r="V2082" s="147"/>
      <c r="W2082" s="146"/>
      <c r="Y2082" s="147"/>
    </row>
    <row r="2083" spans="3:25">
      <c r="C2083" s="146"/>
      <c r="E2083" s="147"/>
      <c r="F2083" s="146"/>
      <c r="I2083" s="147"/>
      <c r="J2083" s="146"/>
      <c r="M2083" s="147"/>
      <c r="Q2083" s="146"/>
      <c r="T2083" s="146"/>
      <c r="V2083" s="147"/>
      <c r="W2083" s="146"/>
      <c r="Y2083" s="147"/>
    </row>
    <row r="2084" spans="3:25">
      <c r="C2084" s="146"/>
      <c r="E2084" s="147"/>
      <c r="F2084" s="146"/>
      <c r="I2084" s="147"/>
      <c r="J2084" s="146"/>
      <c r="M2084" s="147"/>
      <c r="Q2084" s="146"/>
      <c r="T2084" s="146"/>
      <c r="V2084" s="147"/>
      <c r="W2084" s="146"/>
      <c r="Y2084" s="147"/>
    </row>
    <row r="2085" spans="3:25">
      <c r="C2085" s="146"/>
      <c r="E2085" s="147"/>
      <c r="F2085" s="146"/>
      <c r="I2085" s="147"/>
      <c r="J2085" s="146"/>
      <c r="M2085" s="147"/>
      <c r="Q2085" s="146"/>
      <c r="T2085" s="146"/>
      <c r="V2085" s="147"/>
      <c r="W2085" s="146"/>
      <c r="Y2085" s="147"/>
    </row>
    <row r="2086" spans="3:25">
      <c r="C2086" s="146"/>
      <c r="E2086" s="147"/>
      <c r="F2086" s="146"/>
      <c r="I2086" s="147"/>
      <c r="J2086" s="146"/>
      <c r="M2086" s="147"/>
      <c r="Q2086" s="146"/>
      <c r="T2086" s="146"/>
      <c r="V2086" s="147"/>
      <c r="W2086" s="146"/>
      <c r="Y2086" s="147"/>
    </row>
    <row r="2087" spans="3:25">
      <c r="C2087" s="146"/>
      <c r="E2087" s="147"/>
      <c r="F2087" s="146"/>
      <c r="I2087" s="147"/>
      <c r="J2087" s="146"/>
      <c r="M2087" s="147"/>
      <c r="Q2087" s="146"/>
      <c r="T2087" s="146"/>
      <c r="V2087" s="147"/>
      <c r="W2087" s="146"/>
      <c r="Y2087" s="147"/>
    </row>
    <row r="2088" spans="3:25">
      <c r="C2088" s="146"/>
      <c r="E2088" s="147"/>
      <c r="F2088" s="146"/>
      <c r="I2088" s="147"/>
      <c r="J2088" s="146"/>
      <c r="M2088" s="147"/>
      <c r="Q2088" s="146"/>
      <c r="T2088" s="146"/>
      <c r="V2088" s="147"/>
      <c r="W2088" s="146"/>
      <c r="Y2088" s="147"/>
    </row>
    <row r="2089" spans="3:25">
      <c r="C2089" s="146"/>
      <c r="E2089" s="147"/>
      <c r="F2089" s="146"/>
      <c r="I2089" s="147"/>
      <c r="J2089" s="146"/>
      <c r="M2089" s="147"/>
      <c r="Q2089" s="146"/>
      <c r="T2089" s="146"/>
      <c r="V2089" s="147"/>
      <c r="W2089" s="146"/>
      <c r="Y2089" s="147"/>
    </row>
    <row r="2090" spans="3:25">
      <c r="C2090" s="146"/>
      <c r="E2090" s="147"/>
      <c r="F2090" s="146"/>
      <c r="I2090" s="147"/>
      <c r="J2090" s="146"/>
      <c r="M2090" s="147"/>
      <c r="Q2090" s="146"/>
      <c r="T2090" s="146"/>
      <c r="V2090" s="147"/>
      <c r="W2090" s="146"/>
      <c r="Y2090" s="147"/>
    </row>
    <row r="2091" spans="3:25">
      <c r="C2091" s="146"/>
      <c r="E2091" s="147"/>
      <c r="F2091" s="146"/>
      <c r="I2091" s="147"/>
      <c r="J2091" s="146"/>
      <c r="M2091" s="147"/>
      <c r="Q2091" s="146"/>
      <c r="T2091" s="146"/>
      <c r="V2091" s="147"/>
      <c r="W2091" s="146"/>
      <c r="Y2091" s="147"/>
    </row>
    <row r="2092" spans="3:25">
      <c r="C2092" s="146"/>
      <c r="E2092" s="147"/>
      <c r="F2092" s="146"/>
      <c r="I2092" s="147"/>
      <c r="J2092" s="146"/>
      <c r="M2092" s="147"/>
      <c r="Q2092" s="146"/>
      <c r="T2092" s="146"/>
      <c r="V2092" s="147"/>
      <c r="W2092" s="146"/>
      <c r="Y2092" s="147"/>
    </row>
    <row r="2093" spans="3:25">
      <c r="C2093" s="146"/>
      <c r="E2093" s="147"/>
      <c r="F2093" s="146"/>
      <c r="I2093" s="147"/>
      <c r="J2093" s="146"/>
      <c r="M2093" s="147"/>
      <c r="Q2093" s="146"/>
      <c r="T2093" s="146"/>
      <c r="V2093" s="147"/>
      <c r="W2093" s="146"/>
      <c r="Y2093" s="147"/>
    </row>
    <row r="2094" spans="3:25">
      <c r="C2094" s="146"/>
      <c r="E2094" s="147"/>
      <c r="F2094" s="146"/>
      <c r="I2094" s="147"/>
      <c r="J2094" s="146"/>
      <c r="M2094" s="147"/>
      <c r="Q2094" s="146"/>
      <c r="T2094" s="146"/>
      <c r="V2094" s="147"/>
      <c r="W2094" s="146"/>
      <c r="Y2094" s="147"/>
    </row>
    <row r="2095" spans="3:25">
      <c r="C2095" s="146"/>
      <c r="E2095" s="147"/>
      <c r="F2095" s="146"/>
      <c r="I2095" s="147"/>
      <c r="J2095" s="146"/>
      <c r="M2095" s="147"/>
      <c r="Q2095" s="146"/>
      <c r="T2095" s="146"/>
      <c r="V2095" s="147"/>
      <c r="W2095" s="146"/>
      <c r="Y2095" s="147"/>
    </row>
    <row r="2096" spans="3:25">
      <c r="C2096" s="146"/>
      <c r="E2096" s="147"/>
      <c r="F2096" s="146"/>
      <c r="I2096" s="147"/>
      <c r="J2096" s="146"/>
      <c r="M2096" s="147"/>
      <c r="Q2096" s="146"/>
      <c r="T2096" s="146"/>
      <c r="V2096" s="147"/>
      <c r="W2096" s="146"/>
      <c r="Y2096" s="147"/>
    </row>
    <row r="2097" spans="3:25">
      <c r="C2097" s="146"/>
      <c r="E2097" s="147"/>
      <c r="F2097" s="146"/>
      <c r="I2097" s="147"/>
      <c r="J2097" s="146"/>
      <c r="M2097" s="147"/>
      <c r="Q2097" s="146"/>
      <c r="T2097" s="146"/>
      <c r="V2097" s="147"/>
      <c r="W2097" s="146"/>
      <c r="Y2097" s="147"/>
    </row>
    <row r="2098" spans="3:25">
      <c r="C2098" s="146"/>
      <c r="E2098" s="147"/>
      <c r="F2098" s="146"/>
      <c r="I2098" s="147"/>
      <c r="J2098" s="146"/>
      <c r="M2098" s="147"/>
      <c r="Q2098" s="146"/>
      <c r="T2098" s="146"/>
      <c r="V2098" s="147"/>
      <c r="W2098" s="146"/>
      <c r="Y2098" s="147"/>
    </row>
    <row r="2099" spans="3:25">
      <c r="C2099" s="146"/>
      <c r="E2099" s="147"/>
      <c r="F2099" s="146"/>
      <c r="I2099" s="147"/>
      <c r="J2099" s="146"/>
      <c r="M2099" s="147"/>
      <c r="Q2099" s="146"/>
      <c r="T2099" s="146"/>
      <c r="V2099" s="147"/>
      <c r="W2099" s="146"/>
      <c r="Y2099" s="147"/>
    </row>
    <row r="2100" spans="3:25">
      <c r="C2100" s="146"/>
      <c r="E2100" s="147"/>
      <c r="F2100" s="146"/>
      <c r="I2100" s="147"/>
      <c r="J2100" s="146"/>
      <c r="M2100" s="147"/>
      <c r="Q2100" s="146"/>
      <c r="T2100" s="146"/>
      <c r="V2100" s="147"/>
      <c r="W2100" s="146"/>
      <c r="Y2100" s="147"/>
    </row>
    <row r="2101" spans="3:25">
      <c r="C2101" s="146"/>
      <c r="E2101" s="147"/>
      <c r="F2101" s="146"/>
      <c r="I2101" s="147"/>
      <c r="J2101" s="146"/>
      <c r="M2101" s="147"/>
      <c r="Q2101" s="146"/>
      <c r="T2101" s="146"/>
      <c r="V2101" s="147"/>
      <c r="W2101" s="146"/>
      <c r="Y2101" s="147"/>
    </row>
    <row r="2102" spans="3:25">
      <c r="C2102" s="146"/>
      <c r="E2102" s="147"/>
      <c r="F2102" s="146"/>
      <c r="I2102" s="147"/>
      <c r="J2102" s="146"/>
      <c r="M2102" s="147"/>
      <c r="Q2102" s="146"/>
      <c r="T2102" s="146"/>
      <c r="V2102" s="147"/>
      <c r="W2102" s="146"/>
      <c r="Y2102" s="147"/>
    </row>
    <row r="2103" spans="3:25">
      <c r="C2103" s="146"/>
      <c r="E2103" s="147"/>
      <c r="F2103" s="146"/>
      <c r="I2103" s="147"/>
      <c r="J2103" s="146"/>
      <c r="M2103" s="147"/>
      <c r="Q2103" s="146"/>
      <c r="T2103" s="146"/>
      <c r="V2103" s="147"/>
      <c r="W2103" s="146"/>
      <c r="Y2103" s="147"/>
    </row>
    <row r="2104" spans="3:25">
      <c r="C2104" s="146"/>
      <c r="E2104" s="147"/>
      <c r="F2104" s="146"/>
      <c r="I2104" s="147"/>
      <c r="J2104" s="146"/>
      <c r="M2104" s="147"/>
      <c r="Q2104" s="146"/>
      <c r="T2104" s="146"/>
      <c r="V2104" s="147"/>
      <c r="W2104" s="146"/>
      <c r="Y2104" s="147"/>
    </row>
    <row r="2105" spans="3:25">
      <c r="C2105" s="146"/>
      <c r="E2105" s="147"/>
      <c r="F2105" s="146"/>
      <c r="I2105" s="147"/>
      <c r="J2105" s="146"/>
      <c r="M2105" s="147"/>
      <c r="Q2105" s="146"/>
      <c r="T2105" s="146"/>
      <c r="V2105" s="147"/>
      <c r="W2105" s="146"/>
      <c r="Y2105" s="147"/>
    </row>
    <row r="2106" spans="3:25">
      <c r="C2106" s="146"/>
      <c r="E2106" s="147"/>
      <c r="F2106" s="146"/>
      <c r="I2106" s="147"/>
      <c r="J2106" s="146"/>
      <c r="M2106" s="147"/>
      <c r="Q2106" s="146"/>
      <c r="T2106" s="146"/>
      <c r="V2106" s="147"/>
      <c r="W2106" s="146"/>
      <c r="Y2106" s="147"/>
    </row>
    <row r="2107" spans="3:25">
      <c r="C2107" s="146"/>
      <c r="E2107" s="147"/>
      <c r="F2107" s="146"/>
      <c r="I2107" s="147"/>
      <c r="J2107" s="146"/>
      <c r="M2107" s="147"/>
      <c r="Q2107" s="146"/>
      <c r="T2107" s="146"/>
      <c r="V2107" s="147"/>
      <c r="W2107" s="146"/>
      <c r="Y2107" s="147"/>
    </row>
    <row r="2108" spans="3:25">
      <c r="C2108" s="146"/>
      <c r="E2108" s="147"/>
      <c r="F2108" s="146"/>
      <c r="I2108" s="147"/>
      <c r="J2108" s="146"/>
      <c r="M2108" s="147"/>
      <c r="Q2108" s="146"/>
      <c r="T2108" s="146"/>
      <c r="V2108" s="147"/>
      <c r="W2108" s="146"/>
      <c r="Y2108" s="147"/>
    </row>
    <row r="2109" spans="3:25">
      <c r="C2109" s="146"/>
      <c r="E2109" s="147"/>
      <c r="F2109" s="146"/>
      <c r="I2109" s="147"/>
      <c r="J2109" s="146"/>
      <c r="M2109" s="147"/>
      <c r="Q2109" s="146"/>
      <c r="T2109" s="146"/>
      <c r="V2109" s="147"/>
      <c r="W2109" s="146"/>
      <c r="Y2109" s="147"/>
    </row>
    <row r="2110" spans="3:25">
      <c r="C2110" s="146"/>
      <c r="E2110" s="147"/>
      <c r="F2110" s="146"/>
      <c r="I2110" s="147"/>
      <c r="J2110" s="146"/>
      <c r="M2110" s="147"/>
      <c r="Q2110" s="146"/>
      <c r="T2110" s="146"/>
      <c r="V2110" s="147"/>
      <c r="W2110" s="146"/>
      <c r="Y2110" s="147"/>
    </row>
    <row r="2111" spans="3:25">
      <c r="C2111" s="146"/>
      <c r="E2111" s="147"/>
      <c r="F2111" s="146"/>
      <c r="I2111" s="147"/>
      <c r="J2111" s="146"/>
      <c r="M2111" s="147"/>
      <c r="Q2111" s="146"/>
      <c r="T2111" s="146"/>
      <c r="V2111" s="147"/>
      <c r="W2111" s="146"/>
      <c r="Y2111" s="147"/>
    </row>
    <row r="2112" spans="3:25">
      <c r="C2112" s="146"/>
      <c r="E2112" s="147"/>
      <c r="F2112" s="146"/>
      <c r="I2112" s="147"/>
      <c r="J2112" s="146"/>
      <c r="M2112" s="147"/>
      <c r="Q2112" s="146"/>
      <c r="T2112" s="146"/>
      <c r="V2112" s="147"/>
      <c r="W2112" s="146"/>
      <c r="Y2112" s="147"/>
    </row>
    <row r="2113" spans="3:25">
      <c r="C2113" s="146"/>
      <c r="E2113" s="147"/>
      <c r="F2113" s="146"/>
      <c r="I2113" s="147"/>
      <c r="J2113" s="146"/>
      <c r="M2113" s="147"/>
      <c r="Q2113" s="146"/>
      <c r="T2113" s="146"/>
      <c r="V2113" s="147"/>
      <c r="W2113" s="146"/>
      <c r="Y2113" s="147"/>
    </row>
    <row r="2114" spans="3:25">
      <c r="C2114" s="146"/>
      <c r="E2114" s="147"/>
      <c r="F2114" s="146"/>
      <c r="I2114" s="147"/>
      <c r="J2114" s="146"/>
      <c r="M2114" s="147"/>
      <c r="Q2114" s="146"/>
      <c r="T2114" s="146"/>
      <c r="V2114" s="147"/>
      <c r="W2114" s="146"/>
      <c r="Y2114" s="147"/>
    </row>
    <row r="2115" spans="3:25">
      <c r="C2115" s="146"/>
      <c r="E2115" s="147"/>
      <c r="F2115" s="146"/>
      <c r="I2115" s="147"/>
      <c r="J2115" s="146"/>
      <c r="M2115" s="147"/>
      <c r="Q2115" s="146"/>
      <c r="T2115" s="146"/>
      <c r="V2115" s="147"/>
      <c r="W2115" s="146"/>
      <c r="Y2115" s="147"/>
    </row>
    <row r="2116" spans="3:25">
      <c r="C2116" s="146"/>
      <c r="E2116" s="147"/>
      <c r="F2116" s="146"/>
      <c r="I2116" s="147"/>
      <c r="J2116" s="146"/>
      <c r="M2116" s="147"/>
      <c r="Q2116" s="146"/>
      <c r="T2116" s="146"/>
      <c r="V2116" s="147"/>
      <c r="W2116" s="146"/>
      <c r="Y2116" s="147"/>
    </row>
    <row r="2117" spans="3:25">
      <c r="C2117" s="146"/>
      <c r="E2117" s="147"/>
      <c r="F2117" s="146"/>
      <c r="I2117" s="147"/>
      <c r="J2117" s="146"/>
      <c r="M2117" s="147"/>
      <c r="Q2117" s="146"/>
      <c r="T2117" s="146"/>
      <c r="V2117" s="147"/>
      <c r="W2117" s="146"/>
      <c r="Y2117" s="147"/>
    </row>
    <row r="2118" spans="3:25">
      <c r="C2118" s="146"/>
      <c r="E2118" s="147"/>
      <c r="F2118" s="146"/>
      <c r="I2118" s="147"/>
      <c r="J2118" s="146"/>
      <c r="M2118" s="147"/>
      <c r="Q2118" s="146"/>
      <c r="T2118" s="146"/>
      <c r="V2118" s="147"/>
      <c r="W2118" s="146"/>
      <c r="Y2118" s="147"/>
    </row>
    <row r="2119" spans="3:25">
      <c r="C2119" s="146"/>
      <c r="E2119" s="147"/>
      <c r="F2119" s="146"/>
      <c r="I2119" s="147"/>
      <c r="J2119" s="146"/>
      <c r="M2119" s="147"/>
      <c r="Q2119" s="146"/>
      <c r="T2119" s="146"/>
      <c r="V2119" s="147"/>
      <c r="W2119" s="146"/>
      <c r="Y2119" s="147"/>
    </row>
    <row r="2120" spans="3:25">
      <c r="C2120" s="146"/>
      <c r="E2120" s="147"/>
      <c r="F2120" s="146"/>
      <c r="I2120" s="147"/>
      <c r="J2120" s="146"/>
      <c r="M2120" s="147"/>
      <c r="Q2120" s="146"/>
      <c r="T2120" s="146"/>
      <c r="V2120" s="147"/>
      <c r="W2120" s="146"/>
      <c r="Y2120" s="147"/>
    </row>
    <row r="2121" spans="3:25">
      <c r="C2121" s="146"/>
      <c r="E2121" s="147"/>
      <c r="F2121" s="146"/>
      <c r="I2121" s="147"/>
      <c r="J2121" s="146"/>
      <c r="M2121" s="147"/>
      <c r="Q2121" s="146"/>
      <c r="T2121" s="146"/>
      <c r="V2121" s="147"/>
      <c r="W2121" s="146"/>
      <c r="Y2121" s="147"/>
    </row>
    <row r="2122" spans="3:25">
      <c r="C2122" s="146"/>
      <c r="E2122" s="147"/>
      <c r="F2122" s="146"/>
      <c r="I2122" s="147"/>
      <c r="J2122" s="146"/>
      <c r="M2122" s="147"/>
      <c r="Q2122" s="146"/>
      <c r="T2122" s="146"/>
      <c r="V2122" s="147"/>
      <c r="W2122" s="146"/>
      <c r="Y2122" s="147"/>
    </row>
    <row r="2123" spans="3:25">
      <c r="C2123" s="146"/>
      <c r="E2123" s="147"/>
      <c r="F2123" s="146"/>
      <c r="I2123" s="147"/>
      <c r="J2123" s="146"/>
      <c r="M2123" s="147"/>
      <c r="Q2123" s="146"/>
      <c r="T2123" s="146"/>
      <c r="V2123" s="147"/>
      <c r="W2123" s="146"/>
      <c r="Y2123" s="147"/>
    </row>
    <row r="2124" spans="3:25">
      <c r="C2124" s="146"/>
      <c r="E2124" s="147"/>
      <c r="F2124" s="146"/>
      <c r="I2124" s="147"/>
      <c r="J2124" s="146"/>
      <c r="M2124" s="147"/>
      <c r="Q2124" s="146"/>
      <c r="T2124" s="146"/>
      <c r="V2124" s="147"/>
      <c r="W2124" s="146"/>
      <c r="Y2124" s="147"/>
    </row>
    <row r="2125" spans="3:25">
      <c r="C2125" s="146"/>
      <c r="E2125" s="147"/>
      <c r="F2125" s="146"/>
      <c r="I2125" s="147"/>
      <c r="J2125" s="146"/>
      <c r="M2125" s="147"/>
      <c r="Q2125" s="146"/>
      <c r="T2125" s="146"/>
      <c r="V2125" s="147"/>
      <c r="W2125" s="146"/>
      <c r="Y2125" s="147"/>
    </row>
    <row r="2126" spans="3:25">
      <c r="C2126" s="146"/>
      <c r="E2126" s="147"/>
      <c r="F2126" s="146"/>
      <c r="I2126" s="147"/>
      <c r="J2126" s="146"/>
      <c r="M2126" s="147"/>
      <c r="Q2126" s="146"/>
      <c r="T2126" s="146"/>
      <c r="V2126" s="147"/>
      <c r="W2126" s="146"/>
      <c r="Y2126" s="147"/>
    </row>
    <row r="2127" spans="3:25">
      <c r="C2127" s="146"/>
      <c r="E2127" s="147"/>
      <c r="F2127" s="146"/>
      <c r="I2127" s="147"/>
      <c r="J2127" s="146"/>
      <c r="M2127" s="147"/>
      <c r="Q2127" s="146"/>
      <c r="T2127" s="146"/>
      <c r="V2127" s="147"/>
      <c r="W2127" s="146"/>
      <c r="Y2127" s="147"/>
    </row>
    <row r="2128" spans="3:25">
      <c r="C2128" s="146"/>
      <c r="E2128" s="147"/>
      <c r="F2128" s="146"/>
      <c r="I2128" s="147"/>
      <c r="J2128" s="146"/>
      <c r="M2128" s="147"/>
      <c r="Q2128" s="146"/>
      <c r="T2128" s="146"/>
      <c r="V2128" s="147"/>
      <c r="W2128" s="146"/>
      <c r="Y2128" s="147"/>
    </row>
    <row r="2129" spans="3:25">
      <c r="C2129" s="146"/>
      <c r="E2129" s="147"/>
      <c r="F2129" s="146"/>
      <c r="I2129" s="147"/>
      <c r="J2129" s="146"/>
      <c r="M2129" s="147"/>
      <c r="Q2129" s="146"/>
      <c r="T2129" s="146"/>
      <c r="V2129" s="147"/>
      <c r="W2129" s="146"/>
      <c r="Y2129" s="147"/>
    </row>
    <row r="2130" spans="3:25">
      <c r="C2130" s="146"/>
      <c r="E2130" s="147"/>
      <c r="F2130" s="146"/>
      <c r="I2130" s="147"/>
      <c r="J2130" s="146"/>
      <c r="M2130" s="147"/>
      <c r="Q2130" s="146"/>
      <c r="T2130" s="146"/>
      <c r="V2130" s="147"/>
      <c r="W2130" s="146"/>
      <c r="Y2130" s="147"/>
    </row>
    <row r="2131" spans="3:25">
      <c r="C2131" s="146"/>
      <c r="E2131" s="147"/>
      <c r="F2131" s="146"/>
      <c r="I2131" s="147"/>
      <c r="J2131" s="146"/>
      <c r="M2131" s="147"/>
      <c r="Q2131" s="146"/>
      <c r="T2131" s="146"/>
      <c r="V2131" s="147"/>
      <c r="W2131" s="146"/>
      <c r="Y2131" s="147"/>
    </row>
    <row r="2132" spans="3:25">
      <c r="C2132" s="146"/>
      <c r="E2132" s="147"/>
      <c r="F2132" s="146"/>
      <c r="I2132" s="147"/>
      <c r="J2132" s="146"/>
      <c r="M2132" s="147"/>
      <c r="Q2132" s="146"/>
      <c r="T2132" s="146"/>
      <c r="V2132" s="147"/>
      <c r="W2132" s="146"/>
      <c r="Y2132" s="147"/>
    </row>
    <row r="2133" spans="3:25">
      <c r="C2133" s="146"/>
      <c r="E2133" s="147"/>
      <c r="F2133" s="146"/>
      <c r="I2133" s="147"/>
      <c r="J2133" s="146"/>
      <c r="M2133" s="147"/>
      <c r="Q2133" s="146"/>
      <c r="T2133" s="146"/>
      <c r="V2133" s="147"/>
      <c r="W2133" s="146"/>
      <c r="Y2133" s="147"/>
    </row>
    <row r="2134" spans="3:25">
      <c r="C2134" s="146"/>
      <c r="E2134" s="147"/>
      <c r="F2134" s="146"/>
      <c r="I2134" s="147"/>
      <c r="J2134" s="146"/>
      <c r="M2134" s="147"/>
      <c r="Q2134" s="146"/>
      <c r="T2134" s="146"/>
      <c r="V2134" s="147"/>
      <c r="W2134" s="146"/>
      <c r="Y2134" s="147"/>
    </row>
    <row r="2135" spans="3:25">
      <c r="C2135" s="146"/>
      <c r="E2135" s="147"/>
      <c r="F2135" s="146"/>
      <c r="I2135" s="147"/>
      <c r="J2135" s="146"/>
      <c r="M2135" s="147"/>
      <c r="Q2135" s="146"/>
      <c r="T2135" s="146"/>
      <c r="V2135" s="147"/>
      <c r="W2135" s="146"/>
      <c r="Y2135" s="147"/>
    </row>
    <row r="2136" spans="3:25">
      <c r="C2136" s="146"/>
      <c r="E2136" s="147"/>
      <c r="F2136" s="146"/>
      <c r="I2136" s="147"/>
      <c r="J2136" s="146"/>
      <c r="M2136" s="147"/>
      <c r="Q2136" s="146"/>
      <c r="T2136" s="146"/>
      <c r="V2136" s="147"/>
      <c r="W2136" s="146"/>
      <c r="Y2136" s="147"/>
    </row>
    <row r="2137" spans="3:25">
      <c r="C2137" s="146"/>
      <c r="E2137" s="147"/>
      <c r="F2137" s="146"/>
      <c r="I2137" s="147"/>
      <c r="J2137" s="146"/>
      <c r="M2137" s="147"/>
      <c r="Q2137" s="146"/>
      <c r="T2137" s="146"/>
      <c r="V2137" s="147"/>
      <c r="W2137" s="146"/>
      <c r="Y2137" s="147"/>
    </row>
    <row r="2138" spans="3:25">
      <c r="C2138" s="146"/>
      <c r="E2138" s="147"/>
      <c r="F2138" s="146"/>
      <c r="I2138" s="147"/>
      <c r="J2138" s="146"/>
      <c r="M2138" s="147"/>
      <c r="Q2138" s="146"/>
      <c r="T2138" s="146"/>
      <c r="V2138" s="147"/>
      <c r="W2138" s="146"/>
      <c r="Y2138" s="147"/>
    </row>
    <row r="2139" spans="3:25">
      <c r="C2139" s="146"/>
      <c r="E2139" s="147"/>
      <c r="F2139" s="146"/>
      <c r="I2139" s="147"/>
      <c r="J2139" s="146"/>
      <c r="M2139" s="147"/>
      <c r="Q2139" s="146"/>
      <c r="T2139" s="146"/>
      <c r="V2139" s="147"/>
      <c r="W2139" s="146"/>
      <c r="Y2139" s="147"/>
    </row>
    <row r="2140" spans="3:25">
      <c r="C2140" s="146"/>
      <c r="E2140" s="147"/>
      <c r="F2140" s="146"/>
      <c r="I2140" s="147"/>
      <c r="J2140" s="146"/>
      <c r="M2140" s="147"/>
      <c r="Q2140" s="146"/>
      <c r="T2140" s="146"/>
      <c r="V2140" s="147"/>
      <c r="W2140" s="146"/>
      <c r="Y2140" s="147"/>
    </row>
    <row r="2141" spans="3:25">
      <c r="C2141" s="146"/>
      <c r="E2141" s="147"/>
      <c r="F2141" s="146"/>
      <c r="I2141" s="147"/>
      <c r="J2141" s="146"/>
      <c r="M2141" s="147"/>
      <c r="Q2141" s="146"/>
      <c r="T2141" s="146"/>
      <c r="V2141" s="147"/>
      <c r="W2141" s="146"/>
      <c r="Y2141" s="147"/>
    </row>
    <row r="2142" spans="3:25">
      <c r="C2142" s="146"/>
      <c r="E2142" s="147"/>
      <c r="F2142" s="146"/>
      <c r="I2142" s="147"/>
      <c r="J2142" s="146"/>
      <c r="M2142" s="147"/>
      <c r="Q2142" s="146"/>
      <c r="T2142" s="146"/>
      <c r="V2142" s="147"/>
      <c r="W2142" s="146"/>
      <c r="Y2142" s="147"/>
    </row>
    <row r="2143" spans="3:25">
      <c r="C2143" s="146"/>
      <c r="E2143" s="147"/>
      <c r="F2143" s="146"/>
      <c r="I2143" s="147"/>
      <c r="J2143" s="146"/>
      <c r="M2143" s="147"/>
      <c r="Q2143" s="146"/>
      <c r="T2143" s="146"/>
      <c r="V2143" s="147"/>
      <c r="W2143" s="146"/>
      <c r="Y2143" s="147"/>
    </row>
    <row r="2144" spans="3:25">
      <c r="C2144" s="146"/>
      <c r="E2144" s="147"/>
      <c r="F2144" s="146"/>
      <c r="I2144" s="147"/>
      <c r="J2144" s="146"/>
      <c r="M2144" s="147"/>
      <c r="Q2144" s="146"/>
      <c r="T2144" s="146"/>
      <c r="V2144" s="147"/>
      <c r="W2144" s="146"/>
      <c r="Y2144" s="147"/>
    </row>
    <row r="2145" spans="3:25">
      <c r="C2145" s="146"/>
      <c r="E2145" s="147"/>
      <c r="F2145" s="146"/>
      <c r="I2145" s="147"/>
      <c r="J2145" s="146"/>
      <c r="M2145" s="147"/>
      <c r="Q2145" s="146"/>
      <c r="T2145" s="146"/>
      <c r="V2145" s="147"/>
      <c r="W2145" s="146"/>
      <c r="Y2145" s="147"/>
    </row>
    <row r="2146" spans="3:25">
      <c r="C2146" s="146"/>
      <c r="E2146" s="147"/>
      <c r="F2146" s="146"/>
      <c r="I2146" s="147"/>
      <c r="J2146" s="146"/>
      <c r="M2146" s="147"/>
      <c r="Q2146" s="146"/>
      <c r="T2146" s="146"/>
      <c r="V2146" s="147"/>
      <c r="W2146" s="146"/>
      <c r="Y2146" s="147"/>
    </row>
    <row r="2147" spans="3:25">
      <c r="C2147" s="146"/>
      <c r="E2147" s="147"/>
      <c r="F2147" s="146"/>
      <c r="I2147" s="147"/>
      <c r="J2147" s="146"/>
      <c r="M2147" s="147"/>
      <c r="Q2147" s="146"/>
      <c r="T2147" s="146"/>
      <c r="V2147" s="147"/>
      <c r="W2147" s="146"/>
      <c r="Y2147" s="147"/>
    </row>
    <row r="2148" spans="3:25">
      <c r="C2148" s="146"/>
      <c r="E2148" s="147"/>
      <c r="F2148" s="146"/>
      <c r="I2148" s="147"/>
      <c r="J2148" s="146"/>
      <c r="M2148" s="147"/>
      <c r="Q2148" s="146"/>
      <c r="T2148" s="146"/>
      <c r="V2148" s="147"/>
      <c r="W2148" s="146"/>
      <c r="Y2148" s="147"/>
    </row>
    <row r="2149" spans="3:25">
      <c r="C2149" s="146"/>
      <c r="E2149" s="147"/>
      <c r="F2149" s="146"/>
      <c r="I2149" s="147"/>
      <c r="J2149" s="146"/>
      <c r="M2149" s="147"/>
      <c r="Q2149" s="146"/>
      <c r="T2149" s="146"/>
      <c r="V2149" s="147"/>
      <c r="W2149" s="146"/>
      <c r="Y2149" s="147"/>
    </row>
    <row r="2150" spans="3:25">
      <c r="C2150" s="146"/>
      <c r="E2150" s="147"/>
      <c r="F2150" s="146"/>
      <c r="I2150" s="147"/>
      <c r="J2150" s="146"/>
      <c r="M2150" s="147"/>
      <c r="Q2150" s="146"/>
      <c r="T2150" s="146"/>
      <c r="V2150" s="147"/>
      <c r="W2150" s="146"/>
      <c r="Y2150" s="147"/>
    </row>
    <row r="2151" spans="3:25">
      <c r="C2151" s="146"/>
      <c r="E2151" s="147"/>
      <c r="F2151" s="146"/>
      <c r="I2151" s="147"/>
      <c r="J2151" s="146"/>
      <c r="M2151" s="147"/>
      <c r="Q2151" s="146"/>
      <c r="T2151" s="146"/>
      <c r="V2151" s="147"/>
      <c r="W2151" s="146"/>
      <c r="Y2151" s="147"/>
    </row>
    <row r="2152" spans="3:25">
      <c r="C2152" s="146"/>
      <c r="E2152" s="147"/>
      <c r="F2152" s="146"/>
      <c r="I2152" s="147"/>
      <c r="J2152" s="146"/>
      <c r="M2152" s="147"/>
      <c r="Q2152" s="146"/>
      <c r="T2152" s="146"/>
      <c r="V2152" s="147"/>
      <c r="W2152" s="146"/>
      <c r="Y2152" s="147"/>
    </row>
    <row r="2153" spans="3:25">
      <c r="C2153" s="146"/>
      <c r="E2153" s="147"/>
      <c r="F2153" s="146"/>
      <c r="I2153" s="147"/>
      <c r="J2153" s="146"/>
      <c r="M2153" s="147"/>
      <c r="Q2153" s="146"/>
      <c r="T2153" s="146"/>
      <c r="V2153" s="147"/>
      <c r="W2153" s="146"/>
      <c r="Y2153" s="147"/>
    </row>
    <row r="2154" spans="3:25">
      <c r="C2154" s="146"/>
      <c r="E2154" s="147"/>
      <c r="F2154" s="146"/>
      <c r="I2154" s="147"/>
      <c r="J2154" s="146"/>
      <c r="M2154" s="147"/>
      <c r="Q2154" s="146"/>
      <c r="T2154" s="146"/>
      <c r="V2154" s="147"/>
      <c r="W2154" s="146"/>
      <c r="Y2154" s="147"/>
    </row>
    <row r="2155" spans="3:25">
      <c r="C2155" s="146"/>
      <c r="E2155" s="147"/>
      <c r="F2155" s="146"/>
      <c r="I2155" s="147"/>
      <c r="J2155" s="146"/>
      <c r="M2155" s="147"/>
      <c r="Q2155" s="146"/>
      <c r="T2155" s="146"/>
      <c r="V2155" s="147"/>
      <c r="W2155" s="146"/>
      <c r="Y2155" s="147"/>
    </row>
    <row r="2156" spans="3:25">
      <c r="C2156" s="146"/>
      <c r="E2156" s="147"/>
      <c r="F2156" s="146"/>
      <c r="I2156" s="147"/>
      <c r="J2156" s="146"/>
      <c r="M2156" s="147"/>
      <c r="Q2156" s="146"/>
      <c r="T2156" s="146"/>
      <c r="V2156" s="147"/>
      <c r="W2156" s="146"/>
      <c r="Y2156" s="147"/>
    </row>
    <row r="2157" spans="3:25">
      <c r="C2157" s="146"/>
      <c r="E2157" s="147"/>
      <c r="F2157" s="146"/>
      <c r="I2157" s="147"/>
      <c r="J2157" s="146"/>
      <c r="M2157" s="147"/>
      <c r="Q2157" s="146"/>
      <c r="T2157" s="146"/>
      <c r="V2157" s="147"/>
      <c r="W2157" s="146"/>
      <c r="Y2157" s="147"/>
    </row>
    <row r="2158" spans="3:25">
      <c r="C2158" s="146"/>
      <c r="E2158" s="147"/>
      <c r="F2158" s="146"/>
      <c r="I2158" s="147"/>
      <c r="J2158" s="146"/>
      <c r="M2158" s="147"/>
      <c r="Q2158" s="146"/>
      <c r="T2158" s="146"/>
      <c r="V2158" s="147"/>
      <c r="W2158" s="146"/>
      <c r="Y2158" s="147"/>
    </row>
    <row r="2159" spans="3:25">
      <c r="C2159" s="146"/>
      <c r="E2159" s="147"/>
      <c r="F2159" s="146"/>
      <c r="I2159" s="147"/>
      <c r="J2159" s="146"/>
      <c r="M2159" s="147"/>
      <c r="Q2159" s="146"/>
      <c r="T2159" s="146"/>
      <c r="V2159" s="147"/>
      <c r="W2159" s="146"/>
      <c r="Y2159" s="147"/>
    </row>
    <row r="2160" spans="3:25">
      <c r="C2160" s="146"/>
      <c r="E2160" s="147"/>
      <c r="F2160" s="146"/>
      <c r="I2160" s="147"/>
      <c r="J2160" s="146"/>
      <c r="M2160" s="147"/>
      <c r="Q2160" s="146"/>
      <c r="T2160" s="146"/>
      <c r="V2160" s="147"/>
      <c r="W2160" s="146"/>
      <c r="Y2160" s="147"/>
    </row>
    <row r="2161" spans="3:25">
      <c r="C2161" s="146"/>
      <c r="E2161" s="147"/>
      <c r="F2161" s="146"/>
      <c r="I2161" s="147"/>
      <c r="J2161" s="146"/>
      <c r="M2161" s="147"/>
      <c r="Q2161" s="146"/>
      <c r="T2161" s="146"/>
      <c r="V2161" s="147"/>
      <c r="W2161" s="146"/>
      <c r="Y2161" s="147"/>
    </row>
    <row r="2162" spans="3:25">
      <c r="C2162" s="146"/>
      <c r="E2162" s="147"/>
      <c r="F2162" s="146"/>
      <c r="I2162" s="147"/>
      <c r="J2162" s="146"/>
      <c r="M2162" s="147"/>
      <c r="Q2162" s="146"/>
      <c r="T2162" s="146"/>
      <c r="V2162" s="147"/>
      <c r="W2162" s="146"/>
      <c r="Y2162" s="147"/>
    </row>
    <row r="2163" spans="3:25">
      <c r="C2163" s="146"/>
      <c r="E2163" s="147"/>
      <c r="F2163" s="146"/>
      <c r="I2163" s="147"/>
      <c r="J2163" s="146"/>
      <c r="M2163" s="147"/>
      <c r="Q2163" s="146"/>
      <c r="T2163" s="146"/>
      <c r="V2163" s="147"/>
      <c r="W2163" s="146"/>
      <c r="Y2163" s="147"/>
    </row>
    <row r="2164" spans="3:25">
      <c r="C2164" s="146"/>
      <c r="E2164" s="147"/>
      <c r="F2164" s="146"/>
      <c r="I2164" s="147"/>
      <c r="J2164" s="146"/>
      <c r="M2164" s="147"/>
      <c r="Q2164" s="146"/>
      <c r="T2164" s="146"/>
      <c r="V2164" s="147"/>
      <c r="W2164" s="146"/>
      <c r="Y2164" s="147"/>
    </row>
    <row r="2165" spans="3:25">
      <c r="C2165" s="146"/>
      <c r="E2165" s="147"/>
      <c r="F2165" s="146"/>
      <c r="I2165" s="147"/>
      <c r="J2165" s="146"/>
      <c r="M2165" s="147"/>
      <c r="Q2165" s="146"/>
      <c r="T2165" s="146"/>
      <c r="V2165" s="147"/>
      <c r="W2165" s="146"/>
      <c r="Y2165" s="147"/>
    </row>
    <row r="2166" spans="3:25">
      <c r="C2166" s="146"/>
      <c r="E2166" s="147"/>
      <c r="F2166" s="146"/>
      <c r="I2166" s="147"/>
      <c r="J2166" s="146"/>
      <c r="M2166" s="147"/>
      <c r="Q2166" s="146"/>
      <c r="T2166" s="146"/>
      <c r="V2166" s="147"/>
      <c r="W2166" s="146"/>
      <c r="Y2166" s="147"/>
    </row>
    <row r="2167" spans="3:25">
      <c r="C2167" s="146"/>
      <c r="E2167" s="147"/>
      <c r="F2167" s="146"/>
      <c r="I2167" s="147"/>
      <c r="J2167" s="146"/>
      <c r="M2167" s="147"/>
      <c r="Q2167" s="146"/>
      <c r="T2167" s="146"/>
      <c r="V2167" s="147"/>
      <c r="W2167" s="146"/>
      <c r="Y2167" s="147"/>
    </row>
    <row r="2168" spans="3:25">
      <c r="C2168" s="146"/>
      <c r="E2168" s="147"/>
      <c r="F2168" s="146"/>
      <c r="I2168" s="147"/>
      <c r="J2168" s="146"/>
      <c r="M2168" s="147"/>
      <c r="Q2168" s="146"/>
      <c r="T2168" s="146"/>
      <c r="V2168" s="147"/>
      <c r="W2168" s="146"/>
      <c r="Y2168" s="147"/>
    </row>
    <row r="2169" spans="3:25">
      <c r="C2169" s="146"/>
      <c r="E2169" s="147"/>
      <c r="F2169" s="146"/>
      <c r="I2169" s="147"/>
      <c r="J2169" s="146"/>
      <c r="M2169" s="147"/>
      <c r="Q2169" s="146"/>
      <c r="T2169" s="146"/>
      <c r="V2169" s="147"/>
      <c r="W2169" s="146"/>
      <c r="Y2169" s="147"/>
    </row>
    <row r="2170" spans="3:25">
      <c r="C2170" s="146"/>
      <c r="E2170" s="147"/>
      <c r="F2170" s="146"/>
      <c r="I2170" s="147"/>
      <c r="J2170" s="146"/>
      <c r="M2170" s="147"/>
      <c r="Q2170" s="146"/>
      <c r="T2170" s="146"/>
      <c r="V2170" s="147"/>
      <c r="W2170" s="146"/>
      <c r="Y2170" s="147"/>
    </row>
    <row r="2171" spans="3:25">
      <c r="C2171" s="146"/>
      <c r="E2171" s="147"/>
      <c r="F2171" s="146"/>
      <c r="I2171" s="147"/>
      <c r="J2171" s="146"/>
      <c r="M2171" s="147"/>
      <c r="Q2171" s="146"/>
      <c r="T2171" s="146"/>
      <c r="V2171" s="147"/>
      <c r="W2171" s="146"/>
      <c r="Y2171" s="147"/>
    </row>
    <row r="2172" spans="3:25">
      <c r="C2172" s="146"/>
      <c r="E2172" s="147"/>
      <c r="F2172" s="146"/>
      <c r="I2172" s="147"/>
      <c r="J2172" s="146"/>
      <c r="M2172" s="147"/>
      <c r="Q2172" s="146"/>
      <c r="T2172" s="146"/>
      <c r="V2172" s="147"/>
      <c r="W2172" s="146"/>
      <c r="Y2172" s="147"/>
    </row>
    <row r="2173" spans="3:25">
      <c r="C2173" s="146"/>
      <c r="E2173" s="147"/>
      <c r="F2173" s="146"/>
      <c r="I2173" s="147"/>
      <c r="J2173" s="146"/>
      <c r="M2173" s="147"/>
      <c r="Q2173" s="146"/>
      <c r="T2173" s="146"/>
      <c r="V2173" s="147"/>
      <c r="W2173" s="146"/>
      <c r="Y2173" s="147"/>
    </row>
    <row r="2174" spans="3:25">
      <c r="C2174" s="146"/>
      <c r="E2174" s="147"/>
      <c r="F2174" s="146"/>
      <c r="I2174" s="147"/>
      <c r="J2174" s="146"/>
      <c r="M2174" s="147"/>
      <c r="Q2174" s="146"/>
      <c r="T2174" s="146"/>
      <c r="V2174" s="147"/>
      <c r="W2174" s="146"/>
      <c r="Y2174" s="147"/>
    </row>
    <row r="2175" spans="3:25">
      <c r="C2175" s="146"/>
      <c r="E2175" s="147"/>
      <c r="F2175" s="146"/>
      <c r="I2175" s="147"/>
      <c r="J2175" s="146"/>
      <c r="M2175" s="147"/>
      <c r="Q2175" s="146"/>
      <c r="T2175" s="146"/>
      <c r="V2175" s="147"/>
      <c r="W2175" s="146"/>
      <c r="Y2175" s="147"/>
    </row>
    <row r="2176" spans="3:25">
      <c r="C2176" s="146"/>
      <c r="E2176" s="147"/>
      <c r="F2176" s="146"/>
      <c r="I2176" s="147"/>
      <c r="J2176" s="146"/>
      <c r="M2176" s="147"/>
      <c r="Q2176" s="146"/>
      <c r="T2176" s="146"/>
      <c r="V2176" s="147"/>
      <c r="W2176" s="146"/>
      <c r="Y2176" s="147"/>
    </row>
    <row r="2177" spans="3:25">
      <c r="C2177" s="146"/>
      <c r="E2177" s="147"/>
      <c r="F2177" s="146"/>
      <c r="I2177" s="147"/>
      <c r="J2177" s="146"/>
      <c r="M2177" s="147"/>
      <c r="Q2177" s="146"/>
      <c r="T2177" s="146"/>
      <c r="V2177" s="147"/>
      <c r="W2177" s="146"/>
      <c r="Y2177" s="147"/>
    </row>
    <row r="2178" spans="3:25">
      <c r="C2178" s="146"/>
      <c r="E2178" s="147"/>
      <c r="F2178" s="146"/>
      <c r="I2178" s="147"/>
      <c r="J2178" s="146"/>
      <c r="M2178" s="147"/>
      <c r="Q2178" s="146"/>
      <c r="T2178" s="146"/>
      <c r="V2178" s="147"/>
      <c r="W2178" s="146"/>
      <c r="Y2178" s="147"/>
    </row>
    <row r="2179" spans="3:25">
      <c r="C2179" s="146"/>
      <c r="E2179" s="147"/>
      <c r="F2179" s="146"/>
      <c r="I2179" s="147"/>
      <c r="J2179" s="146"/>
      <c r="M2179" s="147"/>
      <c r="Q2179" s="146"/>
      <c r="T2179" s="146"/>
      <c r="V2179" s="147"/>
      <c r="W2179" s="146"/>
      <c r="Y2179" s="147"/>
    </row>
    <row r="2180" spans="3:25">
      <c r="C2180" s="146"/>
      <c r="E2180" s="147"/>
      <c r="F2180" s="146"/>
      <c r="I2180" s="147"/>
      <c r="J2180" s="146"/>
      <c r="M2180" s="147"/>
      <c r="Q2180" s="146"/>
      <c r="T2180" s="146"/>
      <c r="V2180" s="147"/>
      <c r="W2180" s="146"/>
      <c r="Y2180" s="147"/>
    </row>
    <row r="2181" spans="3:25">
      <c r="C2181" s="146"/>
      <c r="E2181" s="147"/>
      <c r="F2181" s="146"/>
      <c r="I2181" s="147"/>
      <c r="J2181" s="146"/>
      <c r="M2181" s="147"/>
      <c r="Q2181" s="146"/>
      <c r="T2181" s="146"/>
      <c r="V2181" s="147"/>
      <c r="W2181" s="146"/>
      <c r="Y2181" s="147"/>
    </row>
    <row r="2182" spans="3:25">
      <c r="C2182" s="146"/>
      <c r="E2182" s="147"/>
      <c r="F2182" s="146"/>
      <c r="I2182" s="147"/>
      <c r="J2182" s="146"/>
      <c r="M2182" s="147"/>
      <c r="Q2182" s="146"/>
      <c r="T2182" s="146"/>
      <c r="V2182" s="147"/>
      <c r="W2182" s="146"/>
      <c r="Y2182" s="147"/>
    </row>
    <row r="2183" spans="3:25">
      <c r="C2183" s="146"/>
      <c r="E2183" s="147"/>
      <c r="F2183" s="146"/>
      <c r="I2183" s="147"/>
      <c r="J2183" s="146"/>
      <c r="M2183" s="147"/>
      <c r="Q2183" s="146"/>
      <c r="T2183" s="146"/>
      <c r="V2183" s="147"/>
      <c r="W2183" s="146"/>
      <c r="Y2183" s="147"/>
    </row>
    <row r="2184" spans="3:25">
      <c r="C2184" s="146"/>
      <c r="E2184" s="147"/>
      <c r="F2184" s="146"/>
      <c r="I2184" s="147"/>
      <c r="J2184" s="146"/>
      <c r="M2184" s="147"/>
      <c r="Q2184" s="146"/>
      <c r="T2184" s="146"/>
      <c r="V2184" s="147"/>
      <c r="W2184" s="146"/>
      <c r="Y2184" s="147"/>
    </row>
    <row r="2185" spans="3:25">
      <c r="C2185" s="146"/>
      <c r="E2185" s="147"/>
      <c r="F2185" s="146"/>
      <c r="I2185" s="147"/>
      <c r="J2185" s="146"/>
      <c r="M2185" s="147"/>
      <c r="Q2185" s="146"/>
      <c r="T2185" s="146"/>
      <c r="V2185" s="147"/>
      <c r="W2185" s="146"/>
      <c r="Y2185" s="147"/>
    </row>
    <row r="2186" spans="3:25">
      <c r="C2186" s="146"/>
      <c r="E2186" s="147"/>
      <c r="F2186" s="146"/>
      <c r="I2186" s="147"/>
      <c r="J2186" s="146"/>
      <c r="M2186" s="147"/>
      <c r="Q2186" s="146"/>
      <c r="T2186" s="146"/>
      <c r="V2186" s="147"/>
      <c r="W2186" s="146"/>
      <c r="Y2186" s="147"/>
    </row>
    <row r="2187" spans="3:25">
      <c r="C2187" s="146"/>
      <c r="E2187" s="147"/>
      <c r="F2187" s="146"/>
      <c r="I2187" s="147"/>
      <c r="J2187" s="146"/>
      <c r="M2187" s="147"/>
      <c r="Q2187" s="146"/>
      <c r="T2187" s="146"/>
      <c r="V2187" s="147"/>
      <c r="W2187" s="146"/>
      <c r="Y2187" s="147"/>
    </row>
    <row r="2188" spans="3:25">
      <c r="C2188" s="146"/>
      <c r="E2188" s="147"/>
      <c r="F2188" s="146"/>
      <c r="I2188" s="147"/>
      <c r="J2188" s="146"/>
      <c r="M2188" s="147"/>
      <c r="Q2188" s="146"/>
      <c r="T2188" s="146"/>
      <c r="V2188" s="147"/>
      <c r="W2188" s="146"/>
      <c r="Y2188" s="147"/>
    </row>
    <row r="2189" spans="3:25">
      <c r="C2189" s="146"/>
      <c r="E2189" s="147"/>
      <c r="F2189" s="146"/>
      <c r="I2189" s="147"/>
      <c r="J2189" s="146"/>
      <c r="M2189" s="147"/>
      <c r="Q2189" s="146"/>
      <c r="T2189" s="146"/>
      <c r="V2189" s="147"/>
      <c r="W2189" s="146"/>
      <c r="Y2189" s="147"/>
    </row>
    <row r="2190" spans="3:25">
      <c r="C2190" s="146"/>
      <c r="E2190" s="147"/>
      <c r="F2190" s="146"/>
      <c r="I2190" s="147"/>
      <c r="J2190" s="146"/>
      <c r="M2190" s="147"/>
      <c r="Q2190" s="146"/>
      <c r="T2190" s="146"/>
      <c r="V2190" s="147"/>
      <c r="W2190" s="146"/>
      <c r="Y2190" s="147"/>
    </row>
    <row r="2191" spans="3:25">
      <c r="C2191" s="146"/>
      <c r="E2191" s="147"/>
      <c r="F2191" s="146"/>
      <c r="I2191" s="147"/>
      <c r="J2191" s="146"/>
      <c r="M2191" s="147"/>
      <c r="Q2191" s="146"/>
      <c r="T2191" s="146"/>
      <c r="V2191" s="147"/>
      <c r="W2191" s="146"/>
      <c r="Y2191" s="147"/>
    </row>
    <row r="2192" spans="3:25">
      <c r="C2192" s="146"/>
      <c r="E2192" s="147"/>
      <c r="F2192" s="146"/>
      <c r="I2192" s="147"/>
      <c r="J2192" s="146"/>
      <c r="M2192" s="147"/>
      <c r="Q2192" s="146"/>
      <c r="T2192" s="146"/>
      <c r="V2192" s="147"/>
      <c r="W2192" s="146"/>
      <c r="Y2192" s="147"/>
    </row>
    <row r="2193" spans="3:25">
      <c r="C2193" s="146"/>
      <c r="E2193" s="147"/>
      <c r="F2193" s="146"/>
      <c r="I2193" s="147"/>
      <c r="J2193" s="146"/>
      <c r="M2193" s="147"/>
      <c r="Q2193" s="146"/>
      <c r="T2193" s="146"/>
      <c r="V2193" s="147"/>
      <c r="W2193" s="146"/>
      <c r="Y2193" s="147"/>
    </row>
    <row r="2194" spans="3:25">
      <c r="C2194" s="146"/>
      <c r="E2194" s="147"/>
      <c r="F2194" s="146"/>
      <c r="I2194" s="147"/>
      <c r="J2194" s="146"/>
      <c r="M2194" s="147"/>
      <c r="Q2194" s="146"/>
      <c r="T2194" s="146"/>
      <c r="V2194" s="147"/>
      <c r="W2194" s="146"/>
      <c r="Y2194" s="147"/>
    </row>
    <row r="2195" spans="3:25">
      <c r="C2195" s="146"/>
      <c r="E2195" s="147"/>
      <c r="F2195" s="146"/>
      <c r="I2195" s="147"/>
      <c r="J2195" s="146"/>
      <c r="M2195" s="147"/>
      <c r="Q2195" s="146"/>
      <c r="T2195" s="146"/>
      <c r="V2195" s="147"/>
      <c r="W2195" s="146"/>
      <c r="Y2195" s="147"/>
    </row>
    <row r="2196" spans="3:25">
      <c r="C2196" s="146"/>
      <c r="E2196" s="147"/>
      <c r="F2196" s="146"/>
      <c r="I2196" s="147"/>
      <c r="J2196" s="146"/>
      <c r="M2196" s="147"/>
      <c r="Q2196" s="146"/>
      <c r="T2196" s="146"/>
      <c r="V2196" s="147"/>
      <c r="W2196" s="146"/>
      <c r="Y2196" s="147"/>
    </row>
    <row r="2197" spans="3:25">
      <c r="C2197" s="146"/>
      <c r="E2197" s="147"/>
      <c r="F2197" s="146"/>
      <c r="I2197" s="147"/>
      <c r="J2197" s="146"/>
      <c r="M2197" s="147"/>
      <c r="Q2197" s="146"/>
      <c r="T2197" s="146"/>
      <c r="V2197" s="147"/>
      <c r="W2197" s="146"/>
      <c r="Y2197" s="147"/>
    </row>
    <row r="2198" spans="3:25">
      <c r="C2198" s="146"/>
      <c r="E2198" s="147"/>
      <c r="F2198" s="146"/>
      <c r="I2198" s="147"/>
      <c r="J2198" s="146"/>
      <c r="M2198" s="147"/>
      <c r="Q2198" s="146"/>
      <c r="T2198" s="146"/>
      <c r="V2198" s="147"/>
      <c r="W2198" s="146"/>
      <c r="Y2198" s="147"/>
    </row>
    <row r="2199" spans="3:25">
      <c r="C2199" s="146"/>
      <c r="E2199" s="147"/>
      <c r="F2199" s="146"/>
      <c r="I2199" s="147"/>
      <c r="J2199" s="146"/>
      <c r="M2199" s="147"/>
      <c r="Q2199" s="146"/>
      <c r="T2199" s="146"/>
      <c r="V2199" s="147"/>
      <c r="W2199" s="146"/>
      <c r="Y2199" s="147"/>
    </row>
    <row r="2200" spans="3:25">
      <c r="C2200" s="146"/>
      <c r="E2200" s="147"/>
      <c r="F2200" s="146"/>
      <c r="I2200" s="147"/>
      <c r="J2200" s="146"/>
      <c r="M2200" s="147"/>
      <c r="Q2200" s="146"/>
      <c r="T2200" s="146"/>
      <c r="V2200" s="147"/>
      <c r="W2200" s="146"/>
      <c r="Y2200" s="147"/>
    </row>
    <row r="2201" spans="3:25">
      <c r="C2201" s="146"/>
      <c r="E2201" s="147"/>
      <c r="F2201" s="146"/>
      <c r="I2201" s="147"/>
      <c r="J2201" s="146"/>
      <c r="M2201" s="147"/>
      <c r="Q2201" s="146"/>
      <c r="T2201" s="146"/>
      <c r="V2201" s="147"/>
      <c r="W2201" s="146"/>
      <c r="Y2201" s="147"/>
    </row>
    <row r="2202" spans="3:25">
      <c r="C2202" s="146"/>
      <c r="E2202" s="147"/>
      <c r="F2202" s="146"/>
      <c r="I2202" s="147"/>
      <c r="J2202" s="146"/>
      <c r="M2202" s="147"/>
      <c r="Q2202" s="146"/>
      <c r="T2202" s="146"/>
      <c r="V2202" s="147"/>
      <c r="W2202" s="146"/>
      <c r="Y2202" s="147"/>
    </row>
    <row r="2203" spans="3:25">
      <c r="C2203" s="146"/>
      <c r="E2203" s="147"/>
      <c r="F2203" s="146"/>
      <c r="I2203" s="147"/>
      <c r="J2203" s="146"/>
      <c r="M2203" s="147"/>
      <c r="Q2203" s="146"/>
      <c r="T2203" s="146"/>
      <c r="V2203" s="147"/>
      <c r="W2203" s="146"/>
      <c r="Y2203" s="147"/>
    </row>
    <row r="2204" spans="3:25">
      <c r="C2204" s="146"/>
      <c r="E2204" s="147"/>
      <c r="F2204" s="146"/>
      <c r="I2204" s="147"/>
      <c r="J2204" s="146"/>
      <c r="M2204" s="147"/>
      <c r="Q2204" s="146"/>
      <c r="T2204" s="146"/>
      <c r="V2204" s="147"/>
      <c r="W2204" s="146"/>
      <c r="Y2204" s="147"/>
    </row>
    <row r="2205" spans="3:25">
      <c r="C2205" s="146"/>
      <c r="E2205" s="147"/>
      <c r="F2205" s="146"/>
      <c r="I2205" s="147"/>
      <c r="J2205" s="146"/>
      <c r="M2205" s="147"/>
      <c r="Q2205" s="146"/>
      <c r="T2205" s="146"/>
      <c r="V2205" s="147"/>
      <c r="W2205" s="146"/>
      <c r="Y2205" s="147"/>
    </row>
    <row r="2206" spans="3:25">
      <c r="C2206" s="146"/>
      <c r="E2206" s="147"/>
      <c r="F2206" s="146"/>
      <c r="I2206" s="147"/>
      <c r="J2206" s="146"/>
      <c r="M2206" s="147"/>
      <c r="Q2206" s="146"/>
      <c r="T2206" s="146"/>
      <c r="V2206" s="147"/>
      <c r="W2206" s="146"/>
      <c r="Y2206" s="147"/>
    </row>
    <row r="2207" spans="3:25">
      <c r="C2207" s="146"/>
      <c r="E2207" s="147"/>
      <c r="F2207" s="146"/>
      <c r="I2207" s="147"/>
      <c r="J2207" s="146"/>
      <c r="M2207" s="147"/>
      <c r="Q2207" s="146"/>
      <c r="T2207" s="146"/>
      <c r="V2207" s="147"/>
      <c r="W2207" s="146"/>
      <c r="Y2207" s="147"/>
    </row>
    <row r="2208" spans="3:25">
      <c r="C2208" s="146"/>
      <c r="E2208" s="147"/>
      <c r="F2208" s="146"/>
      <c r="I2208" s="147"/>
      <c r="J2208" s="146"/>
      <c r="M2208" s="147"/>
      <c r="Q2208" s="146"/>
      <c r="T2208" s="146"/>
      <c r="V2208" s="147"/>
      <c r="W2208" s="146"/>
      <c r="Y2208" s="147"/>
    </row>
    <row r="2209" spans="3:25">
      <c r="C2209" s="146"/>
      <c r="E2209" s="147"/>
      <c r="F2209" s="146"/>
      <c r="I2209" s="147"/>
      <c r="J2209" s="146"/>
      <c r="M2209" s="147"/>
      <c r="Q2209" s="146"/>
      <c r="T2209" s="146"/>
      <c r="V2209" s="147"/>
      <c r="W2209" s="146"/>
      <c r="Y2209" s="147"/>
    </row>
    <row r="2210" spans="3:25">
      <c r="C2210" s="146"/>
      <c r="E2210" s="147"/>
      <c r="F2210" s="146"/>
      <c r="I2210" s="147"/>
      <c r="J2210" s="146"/>
      <c r="M2210" s="147"/>
      <c r="Q2210" s="146"/>
      <c r="T2210" s="146"/>
      <c r="V2210" s="147"/>
      <c r="W2210" s="146"/>
      <c r="Y2210" s="147"/>
    </row>
    <row r="2211" spans="3:25">
      <c r="C2211" s="146"/>
      <c r="E2211" s="147"/>
      <c r="F2211" s="146"/>
      <c r="I2211" s="147"/>
      <c r="J2211" s="146"/>
      <c r="M2211" s="147"/>
      <c r="Q2211" s="146"/>
      <c r="T2211" s="146"/>
      <c r="V2211" s="147"/>
      <c r="W2211" s="146"/>
      <c r="Y2211" s="147"/>
    </row>
    <row r="2212" spans="3:25">
      <c r="C2212" s="146"/>
      <c r="E2212" s="147"/>
      <c r="F2212" s="146"/>
      <c r="I2212" s="147"/>
      <c r="J2212" s="146"/>
      <c r="M2212" s="147"/>
      <c r="Q2212" s="146"/>
      <c r="T2212" s="146"/>
      <c r="V2212" s="147"/>
      <c r="W2212" s="146"/>
      <c r="Y2212" s="147"/>
    </row>
    <row r="2213" spans="3:25">
      <c r="C2213" s="146"/>
      <c r="E2213" s="147"/>
      <c r="F2213" s="146"/>
      <c r="I2213" s="147"/>
      <c r="J2213" s="146"/>
      <c r="M2213" s="147"/>
      <c r="Q2213" s="146"/>
      <c r="T2213" s="146"/>
      <c r="V2213" s="147"/>
      <c r="W2213" s="146"/>
      <c r="Y2213" s="147"/>
    </row>
    <row r="2214" spans="3:25">
      <c r="C2214" s="146"/>
      <c r="E2214" s="147"/>
      <c r="F2214" s="146"/>
      <c r="I2214" s="147"/>
      <c r="J2214" s="146"/>
      <c r="M2214" s="147"/>
      <c r="Q2214" s="146"/>
      <c r="T2214" s="146"/>
      <c r="V2214" s="147"/>
      <c r="W2214" s="146"/>
      <c r="Y2214" s="147"/>
    </row>
    <row r="2215" spans="3:25">
      <c r="C2215" s="146"/>
      <c r="E2215" s="147"/>
      <c r="F2215" s="146"/>
      <c r="I2215" s="147"/>
      <c r="J2215" s="146"/>
      <c r="M2215" s="147"/>
      <c r="Q2215" s="146"/>
      <c r="T2215" s="146"/>
      <c r="V2215" s="147"/>
      <c r="W2215" s="146"/>
      <c r="Y2215" s="147"/>
    </row>
    <row r="2216" spans="3:25">
      <c r="C2216" s="146"/>
      <c r="E2216" s="147"/>
      <c r="F2216" s="146"/>
      <c r="I2216" s="147"/>
      <c r="J2216" s="146"/>
      <c r="M2216" s="147"/>
      <c r="Q2216" s="146"/>
      <c r="T2216" s="146"/>
      <c r="V2216" s="147"/>
      <c r="W2216" s="146"/>
      <c r="Y2216" s="147"/>
    </row>
    <row r="2217" spans="3:25">
      <c r="C2217" s="146"/>
      <c r="E2217" s="147"/>
      <c r="F2217" s="146"/>
      <c r="I2217" s="147"/>
      <c r="J2217" s="146"/>
      <c r="M2217" s="147"/>
      <c r="Q2217" s="146"/>
      <c r="T2217" s="146"/>
      <c r="V2217" s="147"/>
      <c r="W2217" s="146"/>
      <c r="Y2217" s="147"/>
    </row>
    <row r="2218" spans="3:25">
      <c r="C2218" s="146"/>
      <c r="E2218" s="147"/>
      <c r="F2218" s="146"/>
      <c r="I2218" s="147"/>
      <c r="J2218" s="146"/>
      <c r="M2218" s="147"/>
      <c r="Q2218" s="146"/>
      <c r="T2218" s="146"/>
      <c r="V2218" s="147"/>
      <c r="W2218" s="146"/>
      <c r="Y2218" s="147"/>
    </row>
    <row r="2219" spans="3:25">
      <c r="C2219" s="146"/>
      <c r="E2219" s="147"/>
      <c r="F2219" s="146"/>
      <c r="I2219" s="147"/>
      <c r="J2219" s="146"/>
      <c r="M2219" s="147"/>
      <c r="Q2219" s="146"/>
      <c r="T2219" s="146"/>
      <c r="V2219" s="147"/>
      <c r="W2219" s="146"/>
      <c r="Y2219" s="147"/>
    </row>
    <row r="2220" spans="3:25">
      <c r="C2220" s="146"/>
      <c r="E2220" s="147"/>
      <c r="F2220" s="146"/>
      <c r="I2220" s="147"/>
      <c r="J2220" s="146"/>
      <c r="M2220" s="147"/>
      <c r="Q2220" s="146"/>
      <c r="T2220" s="146"/>
      <c r="V2220" s="147"/>
      <c r="W2220" s="146"/>
      <c r="Y2220" s="147"/>
    </row>
    <row r="2221" spans="3:25">
      <c r="C2221" s="146"/>
      <c r="E2221" s="147"/>
      <c r="F2221" s="146"/>
      <c r="I2221" s="147"/>
      <c r="J2221" s="146"/>
      <c r="M2221" s="147"/>
      <c r="Q2221" s="146"/>
      <c r="T2221" s="146"/>
      <c r="V2221" s="147"/>
      <c r="W2221" s="146"/>
      <c r="Y2221" s="147"/>
    </row>
    <row r="2222" spans="3:25">
      <c r="C2222" s="146"/>
      <c r="E2222" s="147"/>
      <c r="F2222" s="146"/>
      <c r="I2222" s="147"/>
      <c r="J2222" s="146"/>
      <c r="M2222" s="147"/>
      <c r="Q2222" s="146"/>
      <c r="T2222" s="146"/>
      <c r="V2222" s="147"/>
      <c r="W2222" s="146"/>
      <c r="Y2222" s="147"/>
    </row>
    <row r="2223" spans="3:25">
      <c r="C2223" s="146"/>
      <c r="E2223" s="147"/>
      <c r="F2223" s="146"/>
      <c r="I2223" s="147"/>
      <c r="J2223" s="146"/>
      <c r="M2223" s="147"/>
      <c r="Q2223" s="146"/>
      <c r="T2223" s="146"/>
      <c r="V2223" s="147"/>
      <c r="W2223" s="146"/>
      <c r="Y2223" s="147"/>
    </row>
    <row r="2224" spans="3:25">
      <c r="C2224" s="146"/>
      <c r="E2224" s="147"/>
      <c r="F2224" s="146"/>
      <c r="I2224" s="147"/>
      <c r="J2224" s="146"/>
      <c r="M2224" s="147"/>
      <c r="Q2224" s="146"/>
      <c r="T2224" s="146"/>
      <c r="V2224" s="147"/>
      <c r="W2224" s="146"/>
      <c r="Y2224" s="147"/>
    </row>
    <row r="2225" spans="3:25">
      <c r="C2225" s="146"/>
      <c r="E2225" s="147"/>
      <c r="F2225" s="146"/>
      <c r="I2225" s="147"/>
      <c r="J2225" s="146"/>
      <c r="M2225" s="147"/>
      <c r="Q2225" s="146"/>
      <c r="T2225" s="146"/>
      <c r="V2225" s="147"/>
      <c r="W2225" s="146"/>
      <c r="Y2225" s="147"/>
    </row>
    <row r="2226" spans="3:25">
      <c r="C2226" s="146"/>
      <c r="E2226" s="147"/>
      <c r="F2226" s="146"/>
      <c r="I2226" s="147"/>
      <c r="J2226" s="146"/>
      <c r="M2226" s="147"/>
      <c r="Q2226" s="146"/>
      <c r="T2226" s="146"/>
      <c r="V2226" s="147"/>
      <c r="W2226" s="146"/>
      <c r="Y2226" s="147"/>
    </row>
    <row r="2227" spans="3:25">
      <c r="C2227" s="146"/>
      <c r="E2227" s="147"/>
      <c r="F2227" s="146"/>
      <c r="I2227" s="147"/>
      <c r="J2227" s="146"/>
      <c r="M2227" s="147"/>
      <c r="Q2227" s="146"/>
      <c r="T2227" s="146"/>
      <c r="V2227" s="147"/>
      <c r="W2227" s="146"/>
      <c r="Y2227" s="147"/>
    </row>
    <row r="2228" spans="3:25">
      <c r="C2228" s="146"/>
      <c r="E2228" s="147"/>
      <c r="F2228" s="146"/>
      <c r="I2228" s="147"/>
      <c r="J2228" s="146"/>
      <c r="M2228" s="147"/>
      <c r="Q2228" s="146"/>
      <c r="T2228" s="146"/>
      <c r="V2228" s="147"/>
      <c r="W2228" s="146"/>
      <c r="Y2228" s="147"/>
    </row>
    <row r="2229" spans="3:25">
      <c r="C2229" s="146"/>
      <c r="E2229" s="147"/>
      <c r="F2229" s="146"/>
      <c r="I2229" s="147"/>
      <c r="J2229" s="146"/>
      <c r="M2229" s="147"/>
      <c r="Q2229" s="146"/>
      <c r="T2229" s="146"/>
      <c r="V2229" s="147"/>
      <c r="W2229" s="146"/>
      <c r="Y2229" s="147"/>
    </row>
    <row r="2230" spans="3:25">
      <c r="C2230" s="146"/>
      <c r="E2230" s="147"/>
      <c r="F2230" s="146"/>
      <c r="I2230" s="147"/>
      <c r="J2230" s="146"/>
      <c r="M2230" s="147"/>
      <c r="Q2230" s="146"/>
      <c r="T2230" s="146"/>
      <c r="V2230" s="147"/>
      <c r="W2230" s="146"/>
      <c r="Y2230" s="147"/>
    </row>
    <row r="2231" spans="3:25">
      <c r="C2231" s="146"/>
      <c r="E2231" s="147"/>
      <c r="F2231" s="146"/>
      <c r="I2231" s="147"/>
      <c r="J2231" s="146"/>
      <c r="M2231" s="147"/>
      <c r="Q2231" s="146"/>
      <c r="T2231" s="146"/>
      <c r="V2231" s="147"/>
      <c r="W2231" s="146"/>
      <c r="Y2231" s="147"/>
    </row>
    <row r="2232" spans="3:25">
      <c r="C2232" s="146"/>
      <c r="E2232" s="147"/>
      <c r="F2232" s="146"/>
      <c r="I2232" s="147"/>
      <c r="J2232" s="146"/>
      <c r="M2232" s="147"/>
      <c r="Q2232" s="146"/>
      <c r="T2232" s="146"/>
      <c r="V2232" s="147"/>
      <c r="W2232" s="146"/>
      <c r="Y2232" s="147"/>
    </row>
    <row r="2233" spans="3:25">
      <c r="C2233" s="146"/>
      <c r="E2233" s="147"/>
      <c r="F2233" s="146"/>
      <c r="I2233" s="147"/>
      <c r="J2233" s="146"/>
      <c r="M2233" s="147"/>
      <c r="Q2233" s="146"/>
      <c r="T2233" s="146"/>
      <c r="V2233" s="147"/>
      <c r="W2233" s="146"/>
      <c r="Y2233" s="147"/>
    </row>
    <row r="2234" spans="3:25">
      <c r="C2234" s="146"/>
      <c r="E2234" s="147"/>
      <c r="F2234" s="146"/>
      <c r="I2234" s="147"/>
      <c r="J2234" s="146"/>
      <c r="M2234" s="147"/>
      <c r="Q2234" s="146"/>
      <c r="T2234" s="146"/>
      <c r="V2234" s="147"/>
      <c r="W2234" s="146"/>
      <c r="Y2234" s="147"/>
    </row>
    <row r="2235" spans="3:25">
      <c r="C2235" s="146"/>
      <c r="E2235" s="147"/>
      <c r="F2235" s="146"/>
      <c r="I2235" s="147"/>
      <c r="J2235" s="146"/>
      <c r="M2235" s="147"/>
      <c r="Q2235" s="146"/>
      <c r="T2235" s="146"/>
      <c r="V2235" s="147"/>
      <c r="W2235" s="146"/>
      <c r="Y2235" s="147"/>
    </row>
    <row r="2236" spans="3:25">
      <c r="C2236" s="146"/>
      <c r="E2236" s="147"/>
      <c r="F2236" s="146"/>
      <c r="I2236" s="147"/>
      <c r="J2236" s="146"/>
      <c r="M2236" s="147"/>
      <c r="Q2236" s="146"/>
      <c r="T2236" s="146"/>
      <c r="V2236" s="147"/>
      <c r="W2236" s="146"/>
      <c r="Y2236" s="147"/>
    </row>
    <row r="2237" spans="3:25">
      <c r="C2237" s="146"/>
      <c r="E2237" s="147"/>
      <c r="F2237" s="146"/>
      <c r="I2237" s="147"/>
      <c r="J2237" s="146"/>
      <c r="M2237" s="147"/>
      <c r="Q2237" s="146"/>
      <c r="T2237" s="146"/>
      <c r="V2237" s="147"/>
      <c r="W2237" s="146"/>
      <c r="Y2237" s="147"/>
    </row>
    <row r="2238" spans="3:25">
      <c r="C2238" s="146"/>
      <c r="E2238" s="147"/>
      <c r="F2238" s="146"/>
      <c r="I2238" s="147"/>
      <c r="J2238" s="146"/>
      <c r="M2238" s="147"/>
      <c r="Q2238" s="146"/>
      <c r="T2238" s="146"/>
      <c r="V2238" s="147"/>
      <c r="W2238" s="146"/>
      <c r="Y2238" s="147"/>
    </row>
    <row r="2239" spans="3:25">
      <c r="C2239" s="146"/>
      <c r="E2239" s="147"/>
      <c r="F2239" s="146"/>
      <c r="I2239" s="147"/>
      <c r="J2239" s="146"/>
      <c r="M2239" s="147"/>
      <c r="Q2239" s="146"/>
      <c r="T2239" s="146"/>
      <c r="V2239" s="147"/>
      <c r="W2239" s="146"/>
      <c r="Y2239" s="147"/>
    </row>
    <row r="2240" spans="3:25">
      <c r="C2240" s="146"/>
      <c r="E2240" s="147"/>
      <c r="F2240" s="146"/>
      <c r="I2240" s="147"/>
      <c r="J2240" s="146"/>
      <c r="M2240" s="147"/>
      <c r="Q2240" s="146"/>
      <c r="T2240" s="146"/>
      <c r="V2240" s="147"/>
      <c r="W2240" s="146"/>
      <c r="Y2240" s="147"/>
    </row>
    <row r="2241" spans="3:25">
      <c r="C2241" s="146"/>
      <c r="E2241" s="147"/>
      <c r="F2241" s="146"/>
      <c r="I2241" s="147"/>
      <c r="J2241" s="146"/>
      <c r="M2241" s="147"/>
      <c r="Q2241" s="146"/>
      <c r="T2241" s="146"/>
      <c r="V2241" s="147"/>
      <c r="W2241" s="146"/>
      <c r="Y2241" s="147"/>
    </row>
    <row r="2242" spans="3:25">
      <c r="C2242" s="146"/>
      <c r="E2242" s="147"/>
      <c r="F2242" s="146"/>
      <c r="I2242" s="147"/>
      <c r="J2242" s="146"/>
      <c r="M2242" s="147"/>
      <c r="Q2242" s="146"/>
      <c r="T2242" s="146"/>
      <c r="V2242" s="147"/>
      <c r="W2242" s="146"/>
      <c r="Y2242" s="147"/>
    </row>
    <row r="2243" spans="3:25">
      <c r="C2243" s="146"/>
      <c r="E2243" s="147"/>
      <c r="F2243" s="146"/>
      <c r="I2243" s="147"/>
      <c r="J2243" s="146"/>
      <c r="M2243" s="147"/>
      <c r="Q2243" s="146"/>
      <c r="T2243" s="146"/>
      <c r="V2243" s="147"/>
      <c r="W2243" s="146"/>
      <c r="Y2243" s="147"/>
    </row>
    <row r="2244" spans="3:25">
      <c r="C2244" s="146"/>
      <c r="E2244" s="147"/>
      <c r="F2244" s="146"/>
      <c r="I2244" s="147"/>
      <c r="J2244" s="146"/>
      <c r="M2244" s="147"/>
      <c r="Q2244" s="146"/>
      <c r="T2244" s="146"/>
      <c r="V2244" s="147"/>
      <c r="W2244" s="146"/>
      <c r="Y2244" s="147"/>
    </row>
    <row r="2245" spans="3:25">
      <c r="C2245" s="146"/>
      <c r="E2245" s="147"/>
      <c r="F2245" s="146"/>
      <c r="I2245" s="147"/>
      <c r="J2245" s="146"/>
      <c r="M2245" s="147"/>
      <c r="Q2245" s="146"/>
      <c r="T2245" s="146"/>
      <c r="V2245" s="147"/>
      <c r="W2245" s="146"/>
      <c r="Y2245" s="147"/>
    </row>
    <row r="2246" spans="3:25">
      <c r="C2246" s="146"/>
      <c r="E2246" s="147"/>
      <c r="F2246" s="146"/>
      <c r="I2246" s="147"/>
      <c r="J2246" s="146"/>
      <c r="M2246" s="147"/>
      <c r="Q2246" s="146"/>
      <c r="T2246" s="146"/>
      <c r="V2246" s="147"/>
      <c r="W2246" s="146"/>
      <c r="Y2246" s="147"/>
    </row>
    <row r="2247" spans="3:25">
      <c r="C2247" s="146"/>
      <c r="E2247" s="147"/>
      <c r="F2247" s="146"/>
      <c r="I2247" s="147"/>
      <c r="J2247" s="146"/>
      <c r="M2247" s="147"/>
      <c r="Q2247" s="146"/>
      <c r="T2247" s="146"/>
      <c r="V2247" s="147"/>
      <c r="W2247" s="146"/>
      <c r="Y2247" s="147"/>
    </row>
    <row r="2248" spans="3:25">
      <c r="C2248" s="146"/>
      <c r="E2248" s="147"/>
      <c r="F2248" s="146"/>
      <c r="I2248" s="147"/>
      <c r="J2248" s="146"/>
      <c r="M2248" s="147"/>
      <c r="Q2248" s="146"/>
      <c r="T2248" s="146"/>
      <c r="V2248" s="147"/>
      <c r="W2248" s="146"/>
      <c r="Y2248" s="147"/>
    </row>
    <row r="2249" spans="3:25">
      <c r="C2249" s="146"/>
      <c r="E2249" s="147"/>
      <c r="F2249" s="146"/>
      <c r="I2249" s="147"/>
      <c r="J2249" s="146"/>
      <c r="M2249" s="147"/>
      <c r="Q2249" s="146"/>
      <c r="T2249" s="146"/>
      <c r="V2249" s="147"/>
      <c r="W2249" s="146"/>
      <c r="Y2249" s="147"/>
    </row>
    <row r="2250" spans="3:25">
      <c r="C2250" s="146"/>
      <c r="E2250" s="147"/>
      <c r="F2250" s="146"/>
      <c r="I2250" s="147"/>
      <c r="J2250" s="146"/>
      <c r="M2250" s="147"/>
      <c r="Q2250" s="146"/>
      <c r="T2250" s="146"/>
      <c r="V2250" s="147"/>
      <c r="W2250" s="146"/>
      <c r="Y2250" s="147"/>
    </row>
    <row r="2251" spans="3:25">
      <c r="C2251" s="146"/>
      <c r="E2251" s="147"/>
      <c r="F2251" s="146"/>
      <c r="I2251" s="147"/>
      <c r="J2251" s="146"/>
      <c r="M2251" s="147"/>
      <c r="Q2251" s="146"/>
      <c r="T2251" s="146"/>
      <c r="V2251" s="147"/>
      <c r="W2251" s="146"/>
      <c r="Y2251" s="147"/>
    </row>
    <row r="2252" spans="3:25">
      <c r="C2252" s="146"/>
      <c r="E2252" s="147"/>
      <c r="F2252" s="146"/>
      <c r="I2252" s="147"/>
      <c r="J2252" s="146"/>
      <c r="M2252" s="147"/>
      <c r="Q2252" s="146"/>
      <c r="T2252" s="146"/>
      <c r="V2252" s="147"/>
      <c r="W2252" s="146"/>
      <c r="Y2252" s="147"/>
    </row>
    <row r="2253" spans="3:25">
      <c r="C2253" s="146"/>
      <c r="E2253" s="147"/>
      <c r="F2253" s="146"/>
      <c r="I2253" s="147"/>
      <c r="J2253" s="146"/>
      <c r="M2253" s="147"/>
      <c r="Q2253" s="146"/>
      <c r="T2253" s="146"/>
      <c r="V2253" s="147"/>
      <c r="W2253" s="146"/>
      <c r="Y2253" s="147"/>
    </row>
    <row r="2254" spans="3:25">
      <c r="C2254" s="146"/>
      <c r="E2254" s="147"/>
      <c r="F2254" s="146"/>
      <c r="I2254" s="147"/>
      <c r="J2254" s="146"/>
      <c r="M2254" s="147"/>
      <c r="Q2254" s="146"/>
      <c r="T2254" s="146"/>
      <c r="V2254" s="147"/>
      <c r="W2254" s="146"/>
      <c r="Y2254" s="147"/>
    </row>
    <row r="2255" spans="3:25">
      <c r="C2255" s="146"/>
      <c r="E2255" s="147"/>
      <c r="F2255" s="146"/>
      <c r="I2255" s="147"/>
      <c r="J2255" s="146"/>
      <c r="M2255" s="147"/>
      <c r="Q2255" s="146"/>
      <c r="T2255" s="146"/>
      <c r="V2255" s="147"/>
      <c r="W2255" s="146"/>
      <c r="Y2255" s="147"/>
    </row>
    <row r="2256" spans="3:25">
      <c r="C2256" s="146"/>
      <c r="E2256" s="147"/>
      <c r="F2256" s="146"/>
      <c r="I2256" s="147"/>
      <c r="J2256" s="146"/>
      <c r="M2256" s="147"/>
      <c r="Q2256" s="146"/>
      <c r="T2256" s="146"/>
      <c r="V2256" s="147"/>
      <c r="W2256" s="146"/>
      <c r="Y2256" s="147"/>
    </row>
    <row r="2257" spans="3:25">
      <c r="C2257" s="146"/>
      <c r="E2257" s="147"/>
      <c r="F2257" s="146"/>
      <c r="I2257" s="147"/>
      <c r="J2257" s="146"/>
      <c r="M2257" s="147"/>
      <c r="Q2257" s="146"/>
      <c r="T2257" s="146"/>
      <c r="V2257" s="147"/>
      <c r="W2257" s="146"/>
      <c r="Y2257" s="147"/>
    </row>
    <row r="2258" spans="3:25">
      <c r="C2258" s="146"/>
      <c r="E2258" s="147"/>
      <c r="F2258" s="146"/>
      <c r="I2258" s="147"/>
      <c r="J2258" s="146"/>
      <c r="M2258" s="147"/>
      <c r="Q2258" s="146"/>
      <c r="T2258" s="146"/>
      <c r="V2258" s="147"/>
      <c r="W2258" s="146"/>
      <c r="Y2258" s="147"/>
    </row>
    <row r="2259" spans="3:25">
      <c r="C2259" s="146"/>
      <c r="E2259" s="147"/>
      <c r="F2259" s="146"/>
      <c r="I2259" s="147"/>
      <c r="J2259" s="146"/>
      <c r="M2259" s="147"/>
      <c r="Q2259" s="146"/>
      <c r="T2259" s="146"/>
      <c r="V2259" s="147"/>
      <c r="W2259" s="146"/>
      <c r="Y2259" s="147"/>
    </row>
    <row r="2260" spans="3:25">
      <c r="C2260" s="146"/>
      <c r="E2260" s="147"/>
      <c r="F2260" s="146"/>
      <c r="I2260" s="147"/>
      <c r="J2260" s="146"/>
      <c r="M2260" s="147"/>
      <c r="Q2260" s="146"/>
      <c r="T2260" s="146"/>
      <c r="V2260" s="147"/>
      <c r="W2260" s="146"/>
      <c r="Y2260" s="147"/>
    </row>
    <row r="2261" spans="3:25">
      <c r="C2261" s="146"/>
      <c r="E2261" s="147"/>
      <c r="F2261" s="146"/>
      <c r="I2261" s="147"/>
      <c r="J2261" s="146"/>
      <c r="M2261" s="147"/>
      <c r="Q2261" s="146"/>
      <c r="T2261" s="146"/>
      <c r="V2261" s="147"/>
      <c r="W2261" s="146"/>
      <c r="Y2261" s="147"/>
    </row>
    <row r="2262" spans="3:25">
      <c r="C2262" s="146"/>
      <c r="E2262" s="147"/>
      <c r="F2262" s="146"/>
      <c r="I2262" s="147"/>
      <c r="J2262" s="146"/>
      <c r="M2262" s="147"/>
      <c r="Q2262" s="146"/>
      <c r="T2262" s="146"/>
      <c r="V2262" s="147"/>
      <c r="W2262" s="146"/>
      <c r="Y2262" s="147"/>
    </row>
    <row r="2263" spans="3:25">
      <c r="C2263" s="146"/>
      <c r="E2263" s="147"/>
      <c r="F2263" s="146"/>
      <c r="I2263" s="147"/>
      <c r="J2263" s="146"/>
      <c r="M2263" s="147"/>
      <c r="Q2263" s="146"/>
      <c r="T2263" s="146"/>
      <c r="V2263" s="147"/>
      <c r="W2263" s="146"/>
      <c r="Y2263" s="147"/>
    </row>
    <row r="2264" spans="3:25">
      <c r="C2264" s="146"/>
      <c r="E2264" s="147"/>
      <c r="F2264" s="146"/>
      <c r="I2264" s="147"/>
      <c r="J2264" s="146"/>
      <c r="M2264" s="147"/>
      <c r="Q2264" s="146"/>
      <c r="T2264" s="146"/>
      <c r="V2264" s="147"/>
      <c r="W2264" s="146"/>
      <c r="Y2264" s="147"/>
    </row>
    <row r="2265" spans="3:25">
      <c r="C2265" s="146"/>
      <c r="E2265" s="147"/>
      <c r="F2265" s="146"/>
      <c r="I2265" s="147"/>
      <c r="J2265" s="146"/>
      <c r="M2265" s="147"/>
      <c r="Q2265" s="146"/>
      <c r="T2265" s="146"/>
      <c r="V2265" s="147"/>
      <c r="W2265" s="146"/>
      <c r="Y2265" s="147"/>
    </row>
    <row r="2266" spans="3:25">
      <c r="C2266" s="146"/>
      <c r="E2266" s="147"/>
      <c r="F2266" s="146"/>
      <c r="I2266" s="147"/>
      <c r="J2266" s="146"/>
      <c r="M2266" s="147"/>
      <c r="Q2266" s="146"/>
      <c r="T2266" s="146"/>
      <c r="V2266" s="147"/>
      <c r="W2266" s="146"/>
      <c r="Y2266" s="147"/>
    </row>
    <row r="2267" spans="3:25">
      <c r="C2267" s="146"/>
      <c r="E2267" s="147"/>
      <c r="F2267" s="146"/>
      <c r="I2267" s="147"/>
      <c r="J2267" s="146"/>
      <c r="M2267" s="147"/>
      <c r="Q2267" s="146"/>
      <c r="T2267" s="146"/>
      <c r="V2267" s="147"/>
      <c r="W2267" s="146"/>
      <c r="Y2267" s="147"/>
    </row>
    <row r="2268" spans="3:25">
      <c r="C2268" s="146"/>
      <c r="E2268" s="147"/>
      <c r="F2268" s="146"/>
      <c r="I2268" s="147"/>
      <c r="J2268" s="146"/>
      <c r="M2268" s="147"/>
      <c r="Q2268" s="146"/>
      <c r="T2268" s="146"/>
      <c r="V2268" s="147"/>
      <c r="W2268" s="146"/>
      <c r="Y2268" s="147"/>
    </row>
    <row r="2269" spans="3:25">
      <c r="C2269" s="146"/>
      <c r="E2269" s="147"/>
      <c r="F2269" s="146"/>
      <c r="I2269" s="147"/>
      <c r="J2269" s="146"/>
      <c r="M2269" s="147"/>
      <c r="Q2269" s="146"/>
      <c r="T2269" s="146"/>
      <c r="V2269" s="147"/>
      <c r="W2269" s="146"/>
      <c r="Y2269" s="147"/>
    </row>
    <row r="2270" spans="3:25">
      <c r="C2270" s="146"/>
      <c r="E2270" s="147"/>
      <c r="F2270" s="146"/>
      <c r="I2270" s="147"/>
      <c r="J2270" s="146"/>
      <c r="M2270" s="147"/>
      <c r="Q2270" s="146"/>
      <c r="T2270" s="146"/>
      <c r="V2270" s="147"/>
      <c r="W2270" s="146"/>
      <c r="Y2270" s="147"/>
    </row>
    <row r="2271" spans="3:25">
      <c r="C2271" s="146"/>
      <c r="E2271" s="147"/>
      <c r="F2271" s="146"/>
      <c r="I2271" s="147"/>
      <c r="J2271" s="146"/>
      <c r="M2271" s="147"/>
      <c r="Q2271" s="146"/>
      <c r="T2271" s="146"/>
      <c r="V2271" s="147"/>
      <c r="W2271" s="146"/>
      <c r="Y2271" s="147"/>
    </row>
    <row r="2272" spans="3:25">
      <c r="C2272" s="146"/>
      <c r="E2272" s="147"/>
      <c r="F2272" s="146"/>
      <c r="I2272" s="147"/>
      <c r="J2272" s="146"/>
      <c r="M2272" s="147"/>
      <c r="Q2272" s="146"/>
      <c r="T2272" s="146"/>
      <c r="V2272" s="147"/>
      <c r="W2272" s="146"/>
      <c r="Y2272" s="147"/>
    </row>
    <row r="2273" spans="3:25">
      <c r="C2273" s="146"/>
      <c r="E2273" s="147"/>
      <c r="F2273" s="146"/>
      <c r="I2273" s="147"/>
      <c r="J2273" s="146"/>
      <c r="M2273" s="147"/>
      <c r="Q2273" s="146"/>
      <c r="T2273" s="146"/>
      <c r="V2273" s="147"/>
      <c r="W2273" s="146"/>
      <c r="Y2273" s="147"/>
    </row>
    <row r="2274" spans="3:25">
      <c r="C2274" s="146"/>
      <c r="E2274" s="147"/>
      <c r="F2274" s="146"/>
      <c r="I2274" s="147"/>
      <c r="J2274" s="146"/>
      <c r="M2274" s="147"/>
      <c r="Q2274" s="146"/>
      <c r="T2274" s="146"/>
      <c r="V2274" s="147"/>
      <c r="W2274" s="146"/>
      <c r="Y2274" s="147"/>
    </row>
    <row r="2275" spans="3:25">
      <c r="C2275" s="146"/>
      <c r="E2275" s="147"/>
      <c r="F2275" s="146"/>
      <c r="I2275" s="147"/>
      <c r="J2275" s="146"/>
      <c r="M2275" s="147"/>
      <c r="Q2275" s="146"/>
      <c r="T2275" s="146"/>
      <c r="V2275" s="147"/>
      <c r="W2275" s="146"/>
      <c r="Y2275" s="147"/>
    </row>
    <row r="2276" spans="3:25">
      <c r="C2276" s="146"/>
      <c r="E2276" s="147"/>
      <c r="F2276" s="146"/>
      <c r="I2276" s="147"/>
      <c r="J2276" s="146"/>
      <c r="M2276" s="147"/>
      <c r="Q2276" s="146"/>
      <c r="T2276" s="146"/>
      <c r="V2276" s="147"/>
      <c r="W2276" s="146"/>
      <c r="Y2276" s="147"/>
    </row>
    <row r="2277" spans="3:25">
      <c r="C2277" s="146"/>
      <c r="E2277" s="147"/>
      <c r="F2277" s="146"/>
      <c r="I2277" s="147"/>
      <c r="J2277" s="146"/>
      <c r="M2277" s="147"/>
      <c r="Q2277" s="146"/>
      <c r="T2277" s="146"/>
      <c r="V2277" s="147"/>
      <c r="W2277" s="146"/>
      <c r="Y2277" s="147"/>
    </row>
    <row r="2278" spans="3:25">
      <c r="C2278" s="146"/>
      <c r="E2278" s="147"/>
      <c r="F2278" s="146"/>
      <c r="I2278" s="147"/>
      <c r="J2278" s="146"/>
      <c r="M2278" s="147"/>
      <c r="Q2278" s="146"/>
      <c r="T2278" s="146"/>
      <c r="V2278" s="147"/>
      <c r="W2278" s="146"/>
      <c r="Y2278" s="147"/>
    </row>
    <row r="2279" spans="3:25">
      <c r="C2279" s="146"/>
      <c r="E2279" s="147"/>
      <c r="F2279" s="146"/>
      <c r="I2279" s="147"/>
      <c r="J2279" s="146"/>
      <c r="M2279" s="147"/>
      <c r="Q2279" s="146"/>
      <c r="T2279" s="146"/>
      <c r="V2279" s="147"/>
      <c r="W2279" s="146"/>
      <c r="Y2279" s="147"/>
    </row>
    <row r="2280" spans="3:25">
      <c r="C2280" s="146"/>
      <c r="E2280" s="147"/>
      <c r="F2280" s="146"/>
      <c r="I2280" s="147"/>
      <c r="J2280" s="146"/>
      <c r="M2280" s="147"/>
      <c r="Q2280" s="146"/>
      <c r="T2280" s="146"/>
      <c r="V2280" s="147"/>
      <c r="W2280" s="146"/>
      <c r="Y2280" s="147"/>
    </row>
    <row r="2281" spans="3:25">
      <c r="C2281" s="146"/>
      <c r="E2281" s="147"/>
      <c r="F2281" s="146"/>
      <c r="I2281" s="147"/>
      <c r="J2281" s="146"/>
      <c r="M2281" s="147"/>
      <c r="Q2281" s="146"/>
      <c r="T2281" s="146"/>
      <c r="V2281" s="147"/>
      <c r="W2281" s="146"/>
      <c r="Y2281" s="147"/>
    </row>
    <row r="2282" spans="3:25">
      <c r="C2282" s="146"/>
      <c r="E2282" s="147"/>
      <c r="F2282" s="146"/>
      <c r="I2282" s="147"/>
      <c r="J2282" s="146"/>
      <c r="M2282" s="147"/>
      <c r="Q2282" s="146"/>
      <c r="T2282" s="146"/>
      <c r="V2282" s="147"/>
      <c r="W2282" s="146"/>
      <c r="Y2282" s="147"/>
    </row>
    <row r="2283" spans="3:25">
      <c r="C2283" s="146"/>
      <c r="E2283" s="147"/>
      <c r="F2283" s="146"/>
      <c r="I2283" s="147"/>
      <c r="J2283" s="146"/>
      <c r="M2283" s="147"/>
      <c r="Q2283" s="146"/>
      <c r="T2283" s="146"/>
      <c r="V2283" s="147"/>
      <c r="W2283" s="146"/>
      <c r="Y2283" s="147"/>
    </row>
    <row r="2284" spans="3:25">
      <c r="C2284" s="146"/>
      <c r="E2284" s="147"/>
      <c r="F2284" s="146"/>
      <c r="I2284" s="147"/>
      <c r="J2284" s="146"/>
      <c r="M2284" s="147"/>
      <c r="Q2284" s="146"/>
      <c r="T2284" s="146"/>
      <c r="V2284" s="147"/>
      <c r="W2284" s="146"/>
      <c r="Y2284" s="147"/>
    </row>
    <row r="2285" spans="3:25">
      <c r="C2285" s="146"/>
      <c r="E2285" s="147"/>
      <c r="F2285" s="146"/>
      <c r="I2285" s="147"/>
      <c r="J2285" s="146"/>
      <c r="M2285" s="147"/>
      <c r="Q2285" s="146"/>
      <c r="T2285" s="146"/>
      <c r="V2285" s="147"/>
      <c r="W2285" s="146"/>
      <c r="Y2285" s="147"/>
    </row>
    <row r="2286" spans="3:25">
      <c r="C2286" s="146"/>
      <c r="E2286" s="147"/>
      <c r="F2286" s="146"/>
      <c r="I2286" s="147"/>
      <c r="J2286" s="146"/>
      <c r="M2286" s="147"/>
      <c r="Q2286" s="146"/>
      <c r="T2286" s="146"/>
      <c r="V2286" s="147"/>
      <c r="W2286" s="146"/>
      <c r="Y2286" s="147"/>
    </row>
    <row r="2287" spans="3:25">
      <c r="C2287" s="146"/>
      <c r="E2287" s="147"/>
      <c r="F2287" s="146"/>
      <c r="I2287" s="147"/>
      <c r="J2287" s="146"/>
      <c r="M2287" s="147"/>
      <c r="Q2287" s="146"/>
      <c r="T2287" s="146"/>
      <c r="V2287" s="147"/>
      <c r="W2287" s="146"/>
      <c r="Y2287" s="147"/>
    </row>
    <row r="2288" spans="3:25">
      <c r="C2288" s="146"/>
      <c r="E2288" s="147"/>
      <c r="F2288" s="146"/>
      <c r="I2288" s="147"/>
      <c r="J2288" s="146"/>
      <c r="M2288" s="147"/>
      <c r="Q2288" s="146"/>
      <c r="T2288" s="146"/>
      <c r="V2288" s="147"/>
      <c r="W2288" s="146"/>
      <c r="Y2288" s="147"/>
    </row>
    <row r="2289" spans="3:25">
      <c r="C2289" s="146"/>
      <c r="E2289" s="147"/>
      <c r="F2289" s="146"/>
      <c r="I2289" s="147"/>
      <c r="J2289" s="146"/>
      <c r="M2289" s="147"/>
      <c r="Q2289" s="146"/>
      <c r="T2289" s="146"/>
      <c r="V2289" s="147"/>
      <c r="W2289" s="146"/>
      <c r="Y2289" s="147"/>
    </row>
    <row r="2290" spans="3:25">
      <c r="C2290" s="146"/>
      <c r="E2290" s="147"/>
      <c r="F2290" s="146"/>
      <c r="I2290" s="147"/>
      <c r="J2290" s="146"/>
      <c r="M2290" s="147"/>
      <c r="Q2290" s="146"/>
      <c r="T2290" s="146"/>
      <c r="V2290" s="147"/>
      <c r="W2290" s="146"/>
      <c r="Y2290" s="147"/>
    </row>
    <row r="2291" spans="3:25">
      <c r="C2291" s="146"/>
      <c r="E2291" s="147"/>
      <c r="F2291" s="146"/>
      <c r="I2291" s="147"/>
      <c r="J2291" s="146"/>
      <c r="M2291" s="147"/>
      <c r="Q2291" s="146"/>
      <c r="T2291" s="146"/>
      <c r="V2291" s="147"/>
      <c r="W2291" s="146"/>
      <c r="Y2291" s="147"/>
    </row>
    <row r="2292" spans="3:25">
      <c r="C2292" s="146"/>
      <c r="E2292" s="147"/>
      <c r="F2292" s="146"/>
      <c r="I2292" s="147"/>
      <c r="J2292" s="146"/>
      <c r="M2292" s="147"/>
      <c r="Q2292" s="146"/>
      <c r="T2292" s="146"/>
      <c r="V2292" s="147"/>
      <c r="W2292" s="146"/>
      <c r="Y2292" s="147"/>
    </row>
    <row r="2293" spans="3:25">
      <c r="C2293" s="146"/>
      <c r="E2293" s="147"/>
      <c r="F2293" s="146"/>
      <c r="I2293" s="147"/>
      <c r="J2293" s="146"/>
      <c r="M2293" s="147"/>
      <c r="Q2293" s="146"/>
      <c r="T2293" s="146"/>
      <c r="V2293" s="147"/>
      <c r="W2293" s="146"/>
      <c r="Y2293" s="147"/>
    </row>
    <row r="2294" spans="3:25">
      <c r="C2294" s="146"/>
      <c r="E2294" s="147"/>
      <c r="F2294" s="146"/>
      <c r="I2294" s="147"/>
      <c r="J2294" s="146"/>
      <c r="M2294" s="147"/>
      <c r="Q2294" s="146"/>
      <c r="T2294" s="146"/>
      <c r="V2294" s="147"/>
      <c r="W2294" s="146"/>
      <c r="Y2294" s="147"/>
    </row>
    <row r="2295" spans="3:25">
      <c r="C2295" s="146"/>
      <c r="E2295" s="147"/>
      <c r="F2295" s="146"/>
      <c r="I2295" s="147"/>
      <c r="J2295" s="146"/>
      <c r="M2295" s="147"/>
      <c r="Q2295" s="146"/>
      <c r="T2295" s="146"/>
      <c r="V2295" s="147"/>
      <c r="W2295" s="146"/>
      <c r="Y2295" s="147"/>
    </row>
    <row r="2296" spans="3:25">
      <c r="C2296" s="146"/>
      <c r="E2296" s="147"/>
      <c r="F2296" s="146"/>
      <c r="I2296" s="147"/>
      <c r="J2296" s="146"/>
      <c r="M2296" s="147"/>
      <c r="Q2296" s="146"/>
      <c r="T2296" s="146"/>
      <c r="V2296" s="147"/>
      <c r="W2296" s="146"/>
      <c r="Y2296" s="147"/>
    </row>
    <row r="2297" spans="3:25">
      <c r="C2297" s="146"/>
      <c r="E2297" s="147"/>
      <c r="F2297" s="146"/>
      <c r="I2297" s="147"/>
      <c r="J2297" s="146"/>
      <c r="M2297" s="147"/>
      <c r="Q2297" s="146"/>
      <c r="T2297" s="146"/>
      <c r="V2297" s="147"/>
      <c r="W2297" s="146"/>
      <c r="Y2297" s="147"/>
    </row>
    <row r="2298" spans="3:25">
      <c r="C2298" s="146"/>
      <c r="E2298" s="147"/>
      <c r="F2298" s="146"/>
      <c r="I2298" s="147"/>
      <c r="J2298" s="146"/>
      <c r="M2298" s="147"/>
      <c r="Q2298" s="146"/>
      <c r="T2298" s="146"/>
      <c r="V2298" s="147"/>
      <c r="W2298" s="146"/>
      <c r="Y2298" s="147"/>
    </row>
    <row r="2299" spans="3:25">
      <c r="C2299" s="146"/>
      <c r="E2299" s="147"/>
      <c r="F2299" s="146"/>
      <c r="I2299" s="147"/>
      <c r="J2299" s="146"/>
      <c r="M2299" s="147"/>
      <c r="Q2299" s="146"/>
      <c r="T2299" s="146"/>
      <c r="V2299" s="147"/>
      <c r="W2299" s="146"/>
      <c r="Y2299" s="147"/>
    </row>
    <row r="2300" spans="3:25">
      <c r="C2300" s="146"/>
      <c r="E2300" s="147"/>
      <c r="F2300" s="146"/>
      <c r="I2300" s="147"/>
      <c r="J2300" s="146"/>
      <c r="M2300" s="147"/>
      <c r="Q2300" s="146"/>
      <c r="T2300" s="146"/>
      <c r="V2300" s="147"/>
      <c r="W2300" s="146"/>
      <c r="Y2300" s="147"/>
    </row>
    <row r="2301" spans="3:25">
      <c r="C2301" s="146"/>
      <c r="E2301" s="147"/>
      <c r="F2301" s="146"/>
      <c r="I2301" s="147"/>
      <c r="J2301" s="146"/>
      <c r="M2301" s="147"/>
      <c r="Q2301" s="146"/>
      <c r="T2301" s="146"/>
      <c r="V2301" s="147"/>
      <c r="W2301" s="146"/>
      <c r="Y2301" s="147"/>
    </row>
    <row r="2302" spans="3:25">
      <c r="C2302" s="146"/>
      <c r="E2302" s="147"/>
      <c r="F2302" s="146"/>
      <c r="I2302" s="147"/>
      <c r="J2302" s="146"/>
      <c r="M2302" s="147"/>
      <c r="Q2302" s="146"/>
      <c r="T2302" s="146"/>
      <c r="V2302" s="147"/>
      <c r="W2302" s="146"/>
      <c r="Y2302" s="147"/>
    </row>
    <row r="2303" spans="3:25">
      <c r="C2303" s="146"/>
      <c r="E2303" s="147"/>
      <c r="F2303" s="146"/>
      <c r="I2303" s="147"/>
      <c r="J2303" s="146"/>
      <c r="M2303" s="147"/>
      <c r="Q2303" s="146"/>
      <c r="T2303" s="146"/>
      <c r="V2303" s="147"/>
      <c r="W2303" s="146"/>
      <c r="Y2303" s="147"/>
    </row>
    <row r="2304" spans="3:25">
      <c r="C2304" s="146"/>
      <c r="E2304" s="147"/>
      <c r="F2304" s="146"/>
      <c r="I2304" s="147"/>
      <c r="J2304" s="146"/>
      <c r="M2304" s="147"/>
      <c r="Q2304" s="146"/>
      <c r="T2304" s="146"/>
      <c r="V2304" s="147"/>
      <c r="W2304" s="146"/>
      <c r="Y2304" s="147"/>
    </row>
    <row r="2305" spans="3:25">
      <c r="C2305" s="146"/>
      <c r="E2305" s="147"/>
      <c r="F2305" s="146"/>
      <c r="I2305" s="147"/>
      <c r="J2305" s="146"/>
      <c r="M2305" s="147"/>
      <c r="Q2305" s="146"/>
      <c r="T2305" s="146"/>
      <c r="V2305" s="147"/>
      <c r="W2305" s="146"/>
      <c r="Y2305" s="147"/>
    </row>
    <row r="2306" spans="3:25">
      <c r="C2306" s="146"/>
      <c r="E2306" s="147"/>
      <c r="F2306" s="146"/>
      <c r="I2306" s="147"/>
      <c r="J2306" s="146"/>
      <c r="M2306" s="147"/>
      <c r="Q2306" s="146"/>
      <c r="T2306" s="146"/>
      <c r="V2306" s="147"/>
      <c r="W2306" s="146"/>
      <c r="Y2306" s="147"/>
    </row>
    <row r="2307" spans="3:25">
      <c r="C2307" s="146"/>
      <c r="E2307" s="147"/>
      <c r="F2307" s="146"/>
      <c r="I2307" s="147"/>
      <c r="J2307" s="146"/>
      <c r="M2307" s="147"/>
      <c r="Q2307" s="146"/>
      <c r="T2307" s="146"/>
      <c r="V2307" s="147"/>
      <c r="W2307" s="146"/>
      <c r="Y2307" s="147"/>
    </row>
    <row r="2308" spans="3:25">
      <c r="C2308" s="146"/>
      <c r="E2308" s="147"/>
      <c r="F2308" s="146"/>
      <c r="I2308" s="147"/>
      <c r="J2308" s="146"/>
      <c r="M2308" s="147"/>
      <c r="Q2308" s="146"/>
      <c r="T2308" s="146"/>
      <c r="V2308" s="147"/>
      <c r="W2308" s="146"/>
      <c r="Y2308" s="147"/>
    </row>
    <row r="2309" spans="3:25">
      <c r="C2309" s="146"/>
      <c r="E2309" s="147"/>
      <c r="F2309" s="146"/>
      <c r="I2309" s="147"/>
      <c r="J2309" s="146"/>
      <c r="M2309" s="147"/>
      <c r="Q2309" s="146"/>
      <c r="T2309" s="146"/>
      <c r="V2309" s="147"/>
      <c r="W2309" s="146"/>
      <c r="Y2309" s="147"/>
    </row>
    <row r="2310" spans="3:25">
      <c r="C2310" s="146"/>
      <c r="E2310" s="147"/>
      <c r="F2310" s="146"/>
      <c r="I2310" s="147"/>
      <c r="J2310" s="146"/>
      <c r="M2310" s="147"/>
      <c r="Q2310" s="146"/>
      <c r="T2310" s="146"/>
      <c r="V2310" s="147"/>
      <c r="W2310" s="146"/>
      <c r="Y2310" s="147"/>
    </row>
    <row r="2311" spans="3:25">
      <c r="C2311" s="146"/>
      <c r="E2311" s="147"/>
      <c r="F2311" s="146"/>
      <c r="I2311" s="147"/>
      <c r="J2311" s="146"/>
      <c r="M2311" s="147"/>
      <c r="Q2311" s="146"/>
      <c r="T2311" s="146"/>
      <c r="V2311" s="147"/>
      <c r="W2311" s="146"/>
      <c r="Y2311" s="147"/>
    </row>
    <row r="2312" spans="3:25">
      <c r="C2312" s="146"/>
      <c r="E2312" s="147"/>
      <c r="F2312" s="146"/>
      <c r="I2312" s="147"/>
      <c r="J2312" s="146"/>
      <c r="M2312" s="147"/>
      <c r="Q2312" s="146"/>
      <c r="T2312" s="146"/>
      <c r="V2312" s="147"/>
      <c r="W2312" s="146"/>
      <c r="Y2312" s="147"/>
    </row>
    <row r="2313" spans="3:25">
      <c r="C2313" s="146"/>
      <c r="E2313" s="147"/>
      <c r="F2313" s="146"/>
      <c r="I2313" s="147"/>
      <c r="J2313" s="146"/>
      <c r="M2313" s="147"/>
      <c r="Q2313" s="146"/>
      <c r="T2313" s="146"/>
      <c r="V2313" s="147"/>
      <c r="W2313" s="146"/>
      <c r="Y2313" s="147"/>
    </row>
    <row r="2314" spans="3:25">
      <c r="C2314" s="146"/>
      <c r="E2314" s="147"/>
      <c r="F2314" s="146"/>
      <c r="I2314" s="147"/>
      <c r="J2314" s="146"/>
      <c r="M2314" s="147"/>
      <c r="Q2314" s="146"/>
      <c r="T2314" s="146"/>
      <c r="V2314" s="147"/>
      <c r="W2314" s="146"/>
      <c r="Y2314" s="147"/>
    </row>
    <row r="2315" spans="3:25">
      <c r="C2315" s="146"/>
      <c r="E2315" s="147"/>
      <c r="F2315" s="146"/>
      <c r="I2315" s="147"/>
      <c r="J2315" s="146"/>
      <c r="M2315" s="147"/>
      <c r="Q2315" s="146"/>
      <c r="T2315" s="146"/>
      <c r="V2315" s="147"/>
      <c r="W2315" s="146"/>
      <c r="Y2315" s="147"/>
    </row>
    <row r="2316" spans="3:25">
      <c r="C2316" s="146"/>
      <c r="E2316" s="147"/>
      <c r="F2316" s="146"/>
      <c r="I2316" s="147"/>
      <c r="J2316" s="146"/>
      <c r="M2316" s="147"/>
      <c r="Q2316" s="146"/>
      <c r="T2316" s="146"/>
      <c r="V2316" s="147"/>
      <c r="W2316" s="146"/>
      <c r="Y2316" s="147"/>
    </row>
    <row r="2317" spans="3:25">
      <c r="C2317" s="146"/>
      <c r="E2317" s="147"/>
      <c r="F2317" s="146"/>
      <c r="I2317" s="147"/>
      <c r="J2317" s="146"/>
      <c r="M2317" s="147"/>
      <c r="Q2317" s="146"/>
      <c r="T2317" s="146"/>
      <c r="V2317" s="147"/>
      <c r="W2317" s="146"/>
      <c r="Y2317" s="147"/>
    </row>
    <row r="2318" spans="3:25">
      <c r="C2318" s="146"/>
      <c r="E2318" s="147"/>
      <c r="F2318" s="146"/>
      <c r="I2318" s="147"/>
      <c r="J2318" s="146"/>
      <c r="M2318" s="147"/>
      <c r="Q2318" s="146"/>
      <c r="T2318" s="146"/>
      <c r="V2318" s="147"/>
      <c r="W2318" s="146"/>
      <c r="Y2318" s="147"/>
    </row>
    <row r="2319" spans="3:25">
      <c r="C2319" s="146"/>
      <c r="E2319" s="147"/>
      <c r="F2319" s="146"/>
      <c r="I2319" s="147"/>
      <c r="J2319" s="146"/>
      <c r="M2319" s="147"/>
      <c r="Q2319" s="146"/>
      <c r="T2319" s="146"/>
      <c r="V2319" s="147"/>
      <c r="W2319" s="146"/>
      <c r="Y2319" s="147"/>
    </row>
    <row r="2320" spans="3:25">
      <c r="C2320" s="146"/>
      <c r="E2320" s="147"/>
      <c r="F2320" s="146"/>
      <c r="I2320" s="147"/>
      <c r="J2320" s="146"/>
      <c r="M2320" s="147"/>
      <c r="Q2320" s="146"/>
      <c r="T2320" s="146"/>
      <c r="V2320" s="147"/>
      <c r="W2320" s="146"/>
      <c r="Y2320" s="147"/>
    </row>
    <row r="2321" spans="3:25">
      <c r="C2321" s="146"/>
      <c r="E2321" s="147"/>
      <c r="F2321" s="146"/>
      <c r="I2321" s="147"/>
      <c r="J2321" s="146"/>
      <c r="M2321" s="147"/>
      <c r="Q2321" s="146"/>
      <c r="T2321" s="146"/>
      <c r="V2321" s="147"/>
      <c r="W2321" s="146"/>
      <c r="Y2321" s="147"/>
    </row>
    <row r="2322" spans="3:25">
      <c r="C2322" s="146"/>
      <c r="E2322" s="147"/>
      <c r="F2322" s="146"/>
      <c r="I2322" s="147"/>
      <c r="J2322" s="146"/>
      <c r="M2322" s="147"/>
      <c r="Q2322" s="146"/>
      <c r="T2322" s="146"/>
      <c r="V2322" s="147"/>
      <c r="W2322" s="146"/>
      <c r="Y2322" s="147"/>
    </row>
    <row r="2323" spans="3:25">
      <c r="C2323" s="146"/>
      <c r="E2323" s="147"/>
      <c r="F2323" s="146"/>
      <c r="I2323" s="147"/>
      <c r="J2323" s="146"/>
      <c r="M2323" s="147"/>
      <c r="Q2323" s="146"/>
      <c r="T2323" s="146"/>
      <c r="V2323" s="147"/>
      <c r="W2323" s="146"/>
      <c r="Y2323" s="147"/>
    </row>
    <row r="2324" spans="3:25">
      <c r="C2324" s="146"/>
      <c r="E2324" s="147"/>
      <c r="F2324" s="146"/>
      <c r="I2324" s="147"/>
      <c r="J2324" s="146"/>
      <c r="M2324" s="147"/>
      <c r="Q2324" s="146"/>
      <c r="T2324" s="146"/>
      <c r="V2324" s="147"/>
      <c r="W2324" s="146"/>
      <c r="Y2324" s="147"/>
    </row>
    <row r="2325" spans="3:25">
      <c r="C2325" s="146"/>
      <c r="E2325" s="147"/>
      <c r="F2325" s="146"/>
      <c r="I2325" s="147"/>
      <c r="J2325" s="146"/>
      <c r="M2325" s="147"/>
      <c r="Q2325" s="146"/>
      <c r="T2325" s="146"/>
      <c r="V2325" s="147"/>
      <c r="W2325" s="146"/>
      <c r="Y2325" s="147"/>
    </row>
    <row r="2326" spans="3:25">
      <c r="C2326" s="146"/>
      <c r="E2326" s="147"/>
      <c r="F2326" s="146"/>
      <c r="I2326" s="147"/>
      <c r="J2326" s="146"/>
      <c r="M2326" s="147"/>
      <c r="Q2326" s="146"/>
      <c r="T2326" s="146"/>
      <c r="V2326" s="147"/>
      <c r="W2326" s="146"/>
      <c r="Y2326" s="147"/>
    </row>
    <row r="2327" spans="3:25">
      <c r="C2327" s="146"/>
      <c r="E2327" s="147"/>
      <c r="F2327" s="146"/>
      <c r="I2327" s="147"/>
      <c r="J2327" s="146"/>
      <c r="M2327" s="147"/>
      <c r="Q2327" s="146"/>
      <c r="T2327" s="146"/>
      <c r="V2327" s="147"/>
      <c r="W2327" s="146"/>
      <c r="Y2327" s="147"/>
    </row>
    <row r="2328" spans="3:25">
      <c r="C2328" s="146"/>
      <c r="E2328" s="147"/>
      <c r="F2328" s="146"/>
      <c r="I2328" s="147"/>
      <c r="J2328" s="146"/>
      <c r="M2328" s="147"/>
      <c r="Q2328" s="146"/>
      <c r="T2328" s="146"/>
      <c r="V2328" s="147"/>
      <c r="W2328" s="146"/>
      <c r="Y2328" s="147"/>
    </row>
    <row r="2329" spans="3:25">
      <c r="C2329" s="146"/>
      <c r="E2329" s="147"/>
      <c r="F2329" s="146"/>
      <c r="I2329" s="147"/>
      <c r="J2329" s="146"/>
      <c r="M2329" s="147"/>
      <c r="Q2329" s="146"/>
      <c r="T2329" s="146"/>
      <c r="V2329" s="147"/>
      <c r="W2329" s="146"/>
      <c r="Y2329" s="147"/>
    </row>
    <row r="2330" spans="3:25">
      <c r="C2330" s="146"/>
      <c r="E2330" s="147"/>
      <c r="F2330" s="146"/>
      <c r="I2330" s="147"/>
      <c r="J2330" s="146"/>
      <c r="M2330" s="147"/>
      <c r="Q2330" s="146"/>
      <c r="T2330" s="146"/>
      <c r="V2330" s="147"/>
      <c r="W2330" s="146"/>
      <c r="Y2330" s="147"/>
    </row>
    <row r="2331" spans="3:25">
      <c r="C2331" s="146"/>
      <c r="E2331" s="147"/>
      <c r="F2331" s="146"/>
      <c r="I2331" s="147"/>
      <c r="J2331" s="146"/>
      <c r="M2331" s="147"/>
      <c r="Q2331" s="146"/>
      <c r="T2331" s="146"/>
      <c r="V2331" s="147"/>
      <c r="W2331" s="146"/>
      <c r="Y2331" s="147"/>
    </row>
    <row r="2332" spans="3:25">
      <c r="C2332" s="146"/>
      <c r="E2332" s="147"/>
      <c r="F2332" s="146"/>
      <c r="I2332" s="147"/>
      <c r="J2332" s="146"/>
      <c r="M2332" s="147"/>
      <c r="Q2332" s="146"/>
      <c r="T2332" s="146"/>
      <c r="V2332" s="147"/>
      <c r="W2332" s="146"/>
      <c r="Y2332" s="147"/>
    </row>
    <row r="2333" spans="3:25">
      <c r="C2333" s="146"/>
      <c r="E2333" s="147"/>
      <c r="F2333" s="146"/>
      <c r="I2333" s="147"/>
      <c r="J2333" s="146"/>
      <c r="M2333" s="147"/>
      <c r="Q2333" s="146"/>
      <c r="T2333" s="146"/>
      <c r="V2333" s="147"/>
      <c r="W2333" s="146"/>
      <c r="Y2333" s="147"/>
    </row>
    <row r="2334" spans="3:25">
      <c r="C2334" s="146"/>
      <c r="E2334" s="147"/>
      <c r="F2334" s="146"/>
      <c r="I2334" s="147"/>
      <c r="J2334" s="146"/>
      <c r="M2334" s="147"/>
      <c r="Q2334" s="146"/>
      <c r="T2334" s="146"/>
      <c r="V2334" s="147"/>
      <c r="W2334" s="146"/>
      <c r="Y2334" s="147"/>
    </row>
    <row r="2335" spans="3:25">
      <c r="C2335" s="146"/>
      <c r="E2335" s="147"/>
      <c r="F2335" s="146"/>
      <c r="I2335" s="147"/>
      <c r="J2335" s="146"/>
      <c r="M2335" s="147"/>
      <c r="Q2335" s="146"/>
      <c r="T2335" s="146"/>
      <c r="V2335" s="147"/>
      <c r="W2335" s="146"/>
      <c r="Y2335" s="147"/>
    </row>
    <row r="2336" spans="3:25">
      <c r="C2336" s="146"/>
      <c r="E2336" s="147"/>
      <c r="F2336" s="146"/>
      <c r="I2336" s="147"/>
      <c r="J2336" s="146"/>
      <c r="M2336" s="147"/>
      <c r="Q2336" s="146"/>
      <c r="T2336" s="146"/>
      <c r="V2336" s="147"/>
      <c r="W2336" s="146"/>
      <c r="Y2336" s="147"/>
    </row>
    <row r="2337" spans="3:25">
      <c r="C2337" s="146"/>
      <c r="E2337" s="147"/>
      <c r="F2337" s="146"/>
      <c r="I2337" s="147"/>
      <c r="J2337" s="146"/>
      <c r="M2337" s="147"/>
      <c r="Q2337" s="146"/>
      <c r="T2337" s="146"/>
      <c r="V2337" s="147"/>
      <c r="W2337" s="146"/>
      <c r="Y2337" s="147"/>
    </row>
    <row r="2338" spans="3:25">
      <c r="C2338" s="146"/>
      <c r="E2338" s="147"/>
      <c r="F2338" s="146"/>
      <c r="I2338" s="147"/>
      <c r="J2338" s="146"/>
      <c r="M2338" s="147"/>
      <c r="Q2338" s="146"/>
      <c r="T2338" s="146"/>
      <c r="V2338" s="147"/>
      <c r="W2338" s="146"/>
      <c r="Y2338" s="147"/>
    </row>
    <row r="2339" spans="3:25">
      <c r="C2339" s="146"/>
      <c r="E2339" s="147"/>
      <c r="F2339" s="146"/>
      <c r="I2339" s="147"/>
      <c r="J2339" s="146"/>
      <c r="M2339" s="147"/>
      <c r="Q2339" s="146"/>
      <c r="T2339" s="146"/>
      <c r="V2339" s="147"/>
      <c r="W2339" s="146"/>
      <c r="Y2339" s="147"/>
    </row>
    <row r="2340" spans="3:25">
      <c r="C2340" s="146"/>
      <c r="E2340" s="147"/>
      <c r="F2340" s="146"/>
      <c r="I2340" s="147"/>
      <c r="J2340" s="146"/>
      <c r="M2340" s="147"/>
      <c r="Q2340" s="146"/>
      <c r="T2340" s="146"/>
      <c r="V2340" s="147"/>
      <c r="W2340" s="146"/>
      <c r="Y2340" s="147"/>
    </row>
    <row r="2341" spans="3:25">
      <c r="C2341" s="146"/>
      <c r="E2341" s="147"/>
      <c r="F2341" s="146"/>
      <c r="I2341" s="147"/>
      <c r="J2341" s="146"/>
      <c r="M2341" s="147"/>
      <c r="Q2341" s="146"/>
      <c r="T2341" s="146"/>
      <c r="V2341" s="147"/>
      <c r="W2341" s="146"/>
      <c r="Y2341" s="147"/>
    </row>
    <row r="2342" spans="3:25">
      <c r="C2342" s="146"/>
      <c r="E2342" s="147"/>
      <c r="F2342" s="146"/>
      <c r="I2342" s="147"/>
      <c r="J2342" s="146"/>
      <c r="M2342" s="147"/>
      <c r="Q2342" s="146"/>
      <c r="T2342" s="146"/>
      <c r="V2342" s="147"/>
      <c r="W2342" s="146"/>
      <c r="Y2342" s="147"/>
    </row>
    <row r="2343" spans="3:25">
      <c r="C2343" s="146"/>
      <c r="E2343" s="147"/>
      <c r="F2343" s="146"/>
      <c r="I2343" s="147"/>
      <c r="J2343" s="146"/>
      <c r="M2343" s="147"/>
      <c r="Q2343" s="146"/>
      <c r="T2343" s="146"/>
      <c r="V2343" s="147"/>
      <c r="W2343" s="146"/>
      <c r="Y2343" s="147"/>
    </row>
    <row r="2344" spans="3:25">
      <c r="C2344" s="146"/>
      <c r="E2344" s="147"/>
      <c r="F2344" s="146"/>
      <c r="I2344" s="147"/>
      <c r="J2344" s="146"/>
      <c r="M2344" s="147"/>
      <c r="Q2344" s="146"/>
      <c r="T2344" s="146"/>
      <c r="V2344" s="147"/>
      <c r="W2344" s="146"/>
      <c r="Y2344" s="147"/>
    </row>
    <row r="2345" spans="3:25">
      <c r="C2345" s="146"/>
      <c r="E2345" s="147"/>
      <c r="F2345" s="146"/>
      <c r="I2345" s="147"/>
      <c r="J2345" s="146"/>
      <c r="M2345" s="147"/>
      <c r="Q2345" s="146"/>
      <c r="T2345" s="146"/>
      <c r="V2345" s="147"/>
      <c r="W2345" s="146"/>
      <c r="Y2345" s="147"/>
    </row>
    <row r="2346" spans="3:25">
      <c r="C2346" s="146"/>
      <c r="E2346" s="147"/>
      <c r="F2346" s="146"/>
      <c r="I2346" s="147"/>
      <c r="J2346" s="146"/>
      <c r="M2346" s="147"/>
      <c r="Q2346" s="146"/>
      <c r="T2346" s="146"/>
      <c r="V2346" s="147"/>
      <c r="W2346" s="146"/>
      <c r="Y2346" s="147"/>
    </row>
    <row r="2347" spans="3:25">
      <c r="C2347" s="146"/>
      <c r="E2347" s="147"/>
      <c r="F2347" s="146"/>
      <c r="I2347" s="147"/>
      <c r="J2347" s="146"/>
      <c r="M2347" s="147"/>
      <c r="Q2347" s="146"/>
      <c r="T2347" s="146"/>
      <c r="V2347" s="147"/>
      <c r="W2347" s="146"/>
      <c r="Y2347" s="147"/>
    </row>
    <row r="2348" spans="3:25">
      <c r="C2348" s="146"/>
      <c r="E2348" s="147"/>
      <c r="F2348" s="146"/>
      <c r="I2348" s="147"/>
      <c r="J2348" s="146"/>
      <c r="M2348" s="147"/>
      <c r="Q2348" s="146"/>
      <c r="T2348" s="146"/>
      <c r="V2348" s="147"/>
      <c r="W2348" s="146"/>
      <c r="Y2348" s="147"/>
    </row>
    <row r="2349" spans="3:25">
      <c r="C2349" s="146"/>
      <c r="E2349" s="147"/>
      <c r="F2349" s="146"/>
      <c r="I2349" s="147"/>
      <c r="J2349" s="146"/>
      <c r="M2349" s="147"/>
      <c r="Q2349" s="146"/>
      <c r="T2349" s="146"/>
      <c r="V2349" s="147"/>
      <c r="W2349" s="146"/>
      <c r="Y2349" s="147"/>
    </row>
    <row r="2350" spans="3:25">
      <c r="C2350" s="146"/>
      <c r="E2350" s="147"/>
      <c r="F2350" s="146"/>
      <c r="I2350" s="147"/>
      <c r="J2350" s="146"/>
      <c r="M2350" s="147"/>
      <c r="Q2350" s="146"/>
      <c r="T2350" s="146"/>
      <c r="V2350" s="147"/>
      <c r="W2350" s="146"/>
      <c r="Y2350" s="147"/>
    </row>
    <row r="2351" spans="3:25">
      <c r="C2351" s="146"/>
      <c r="E2351" s="147"/>
      <c r="F2351" s="146"/>
      <c r="I2351" s="147"/>
      <c r="J2351" s="146"/>
      <c r="M2351" s="147"/>
      <c r="Q2351" s="146"/>
      <c r="T2351" s="146"/>
      <c r="V2351" s="147"/>
      <c r="W2351" s="146"/>
      <c r="Y2351" s="147"/>
    </row>
    <row r="2352" spans="3:25">
      <c r="C2352" s="146"/>
      <c r="E2352" s="147"/>
      <c r="F2352" s="146"/>
      <c r="I2352" s="147"/>
      <c r="J2352" s="146"/>
      <c r="M2352" s="147"/>
      <c r="Q2352" s="146"/>
      <c r="T2352" s="146"/>
      <c r="V2352" s="147"/>
      <c r="W2352" s="146"/>
      <c r="Y2352" s="147"/>
    </row>
    <row r="2353" spans="3:25">
      <c r="C2353" s="146"/>
      <c r="E2353" s="147"/>
      <c r="F2353" s="146"/>
      <c r="I2353" s="147"/>
      <c r="J2353" s="146"/>
      <c r="M2353" s="147"/>
      <c r="Q2353" s="146"/>
      <c r="T2353" s="146"/>
      <c r="V2353" s="147"/>
      <c r="W2353" s="146"/>
      <c r="Y2353" s="147"/>
    </row>
    <row r="2354" spans="3:25">
      <c r="C2354" s="146"/>
      <c r="E2354" s="147"/>
      <c r="F2354" s="146"/>
      <c r="I2354" s="147"/>
      <c r="J2354" s="146"/>
      <c r="M2354" s="147"/>
      <c r="Q2354" s="146"/>
      <c r="T2354" s="146"/>
      <c r="V2354" s="147"/>
      <c r="W2354" s="146"/>
      <c r="Y2354" s="147"/>
    </row>
    <row r="2355" spans="3:25">
      <c r="C2355" s="146"/>
      <c r="E2355" s="147"/>
      <c r="F2355" s="146"/>
      <c r="I2355" s="147"/>
      <c r="J2355" s="146"/>
      <c r="M2355" s="147"/>
      <c r="Q2355" s="146"/>
      <c r="T2355" s="146"/>
      <c r="V2355" s="147"/>
      <c r="W2355" s="146"/>
      <c r="Y2355" s="147"/>
    </row>
    <row r="2356" spans="3:25">
      <c r="C2356" s="146"/>
      <c r="E2356" s="147"/>
      <c r="F2356" s="146"/>
      <c r="I2356" s="147"/>
      <c r="J2356" s="146"/>
      <c r="M2356" s="147"/>
      <c r="Q2356" s="146"/>
      <c r="T2356" s="146"/>
      <c r="V2356" s="147"/>
      <c r="W2356" s="146"/>
      <c r="Y2356" s="147"/>
    </row>
    <row r="2357" spans="3:25">
      <c r="C2357" s="146"/>
      <c r="E2357" s="147"/>
      <c r="F2357" s="146"/>
      <c r="I2357" s="147"/>
      <c r="J2357" s="146"/>
      <c r="M2357" s="147"/>
      <c r="Q2357" s="146"/>
      <c r="T2357" s="146"/>
      <c r="V2357" s="147"/>
      <c r="W2357" s="146"/>
      <c r="Y2357" s="147"/>
    </row>
    <row r="2358" spans="3:25">
      <c r="C2358" s="146"/>
      <c r="E2358" s="147"/>
      <c r="F2358" s="146"/>
      <c r="I2358" s="147"/>
      <c r="J2358" s="146"/>
      <c r="M2358" s="147"/>
      <c r="Q2358" s="146"/>
      <c r="T2358" s="146"/>
      <c r="V2358" s="147"/>
      <c r="W2358" s="146"/>
      <c r="Y2358" s="147"/>
    </row>
    <row r="2359" spans="3:25">
      <c r="C2359" s="146"/>
      <c r="E2359" s="147"/>
      <c r="F2359" s="146"/>
      <c r="I2359" s="147"/>
      <c r="J2359" s="146"/>
      <c r="M2359" s="147"/>
      <c r="Q2359" s="146"/>
      <c r="T2359" s="146"/>
      <c r="V2359" s="147"/>
      <c r="W2359" s="146"/>
      <c r="Y2359" s="147"/>
    </row>
    <row r="2360" spans="3:25">
      <c r="C2360" s="146"/>
      <c r="E2360" s="147"/>
      <c r="F2360" s="146"/>
      <c r="I2360" s="147"/>
      <c r="J2360" s="146"/>
      <c r="M2360" s="147"/>
      <c r="Q2360" s="146"/>
      <c r="T2360" s="146"/>
      <c r="V2360" s="147"/>
      <c r="W2360" s="146"/>
      <c r="Y2360" s="147"/>
    </row>
    <row r="2361" spans="3:25">
      <c r="C2361" s="146"/>
      <c r="E2361" s="147"/>
      <c r="F2361" s="146"/>
      <c r="I2361" s="147"/>
      <c r="J2361" s="146"/>
      <c r="M2361" s="147"/>
      <c r="Q2361" s="146"/>
      <c r="T2361" s="146"/>
      <c r="V2361" s="147"/>
      <c r="W2361" s="146"/>
      <c r="Y2361" s="147"/>
    </row>
    <row r="2362" spans="3:25">
      <c r="C2362" s="146"/>
      <c r="E2362" s="147"/>
      <c r="F2362" s="146"/>
      <c r="I2362" s="147"/>
      <c r="J2362" s="146"/>
      <c r="M2362" s="147"/>
      <c r="Q2362" s="146"/>
      <c r="T2362" s="146"/>
      <c r="V2362" s="147"/>
      <c r="W2362" s="146"/>
      <c r="Y2362" s="147"/>
    </row>
    <row r="2363" spans="3:25">
      <c r="C2363" s="146"/>
      <c r="E2363" s="147"/>
      <c r="F2363" s="146"/>
      <c r="I2363" s="147"/>
      <c r="J2363" s="146"/>
      <c r="M2363" s="147"/>
      <c r="Q2363" s="146"/>
      <c r="T2363" s="146"/>
      <c r="V2363" s="147"/>
      <c r="W2363" s="146"/>
      <c r="Y2363" s="147"/>
    </row>
    <row r="2364" spans="3:25">
      <c r="C2364" s="146"/>
      <c r="E2364" s="147"/>
      <c r="F2364" s="146"/>
      <c r="I2364" s="147"/>
      <c r="J2364" s="146"/>
      <c r="M2364" s="147"/>
      <c r="Q2364" s="146"/>
      <c r="T2364" s="146"/>
      <c r="V2364" s="147"/>
      <c r="W2364" s="146"/>
      <c r="Y2364" s="147"/>
    </row>
    <row r="2365" spans="3:25">
      <c r="C2365" s="146"/>
      <c r="E2365" s="147"/>
      <c r="F2365" s="146"/>
      <c r="I2365" s="147"/>
      <c r="J2365" s="146"/>
      <c r="M2365" s="147"/>
      <c r="Q2365" s="146"/>
      <c r="T2365" s="146"/>
      <c r="V2365" s="147"/>
      <c r="W2365" s="146"/>
      <c r="Y2365" s="147"/>
    </row>
    <row r="2366" spans="3:25">
      <c r="C2366" s="146"/>
      <c r="E2366" s="147"/>
      <c r="F2366" s="146"/>
      <c r="I2366" s="147"/>
      <c r="J2366" s="146"/>
      <c r="M2366" s="147"/>
      <c r="Q2366" s="146"/>
      <c r="T2366" s="146"/>
      <c r="V2366" s="147"/>
      <c r="W2366" s="146"/>
      <c r="Y2366" s="147"/>
    </row>
    <row r="2367" spans="3:25">
      <c r="C2367" s="146"/>
      <c r="E2367" s="147"/>
      <c r="F2367" s="146"/>
      <c r="I2367" s="147"/>
      <c r="J2367" s="146"/>
      <c r="M2367" s="147"/>
      <c r="Q2367" s="146"/>
      <c r="T2367" s="146"/>
      <c r="V2367" s="147"/>
      <c r="W2367" s="146"/>
      <c r="Y2367" s="147"/>
    </row>
    <row r="2368" spans="3:25">
      <c r="C2368" s="146"/>
      <c r="E2368" s="147"/>
      <c r="F2368" s="146"/>
      <c r="I2368" s="147"/>
      <c r="J2368" s="146"/>
      <c r="M2368" s="147"/>
      <c r="Q2368" s="146"/>
      <c r="T2368" s="146"/>
      <c r="V2368" s="147"/>
      <c r="W2368" s="146"/>
      <c r="Y2368" s="147"/>
    </row>
    <row r="2369" spans="3:25">
      <c r="C2369" s="146"/>
      <c r="E2369" s="147"/>
      <c r="F2369" s="146"/>
      <c r="I2369" s="147"/>
      <c r="J2369" s="146"/>
      <c r="M2369" s="147"/>
      <c r="Q2369" s="146"/>
      <c r="T2369" s="146"/>
      <c r="V2369" s="147"/>
      <c r="W2369" s="146"/>
      <c r="Y2369" s="147"/>
    </row>
    <row r="2370" spans="3:25">
      <c r="C2370" s="146"/>
      <c r="E2370" s="147"/>
      <c r="F2370" s="146"/>
      <c r="I2370" s="147"/>
      <c r="J2370" s="146"/>
      <c r="M2370" s="147"/>
      <c r="Q2370" s="146"/>
      <c r="T2370" s="146"/>
      <c r="V2370" s="147"/>
      <c r="W2370" s="146"/>
      <c r="Y2370" s="147"/>
    </row>
    <row r="2371" spans="3:25">
      <c r="C2371" s="146"/>
      <c r="E2371" s="147"/>
      <c r="F2371" s="146"/>
      <c r="I2371" s="147"/>
      <c r="J2371" s="146"/>
      <c r="M2371" s="147"/>
      <c r="Q2371" s="146"/>
      <c r="T2371" s="146"/>
      <c r="V2371" s="147"/>
      <c r="W2371" s="146"/>
      <c r="Y2371" s="147"/>
    </row>
    <row r="2372" spans="3:25">
      <c r="C2372" s="146"/>
      <c r="E2372" s="147"/>
      <c r="F2372" s="146"/>
      <c r="I2372" s="147"/>
      <c r="J2372" s="146"/>
      <c r="M2372" s="147"/>
      <c r="Q2372" s="146"/>
      <c r="T2372" s="146"/>
      <c r="V2372" s="147"/>
      <c r="W2372" s="146"/>
      <c r="Y2372" s="147"/>
    </row>
    <row r="2373" spans="3:25">
      <c r="C2373" s="146"/>
      <c r="E2373" s="147"/>
      <c r="F2373" s="146"/>
      <c r="I2373" s="147"/>
      <c r="J2373" s="146"/>
      <c r="M2373" s="147"/>
      <c r="Q2373" s="146"/>
      <c r="T2373" s="146"/>
      <c r="V2373" s="147"/>
      <c r="W2373" s="146"/>
      <c r="Y2373" s="147"/>
    </row>
    <row r="2374" spans="3:25">
      <c r="C2374" s="146"/>
      <c r="E2374" s="147"/>
      <c r="F2374" s="146"/>
      <c r="I2374" s="147"/>
      <c r="J2374" s="146"/>
      <c r="M2374" s="147"/>
      <c r="Q2374" s="146"/>
      <c r="T2374" s="146"/>
      <c r="V2374" s="147"/>
      <c r="W2374" s="146"/>
      <c r="Y2374" s="147"/>
    </row>
    <row r="2375" spans="3:25">
      <c r="C2375" s="146"/>
      <c r="E2375" s="147"/>
      <c r="F2375" s="146"/>
      <c r="I2375" s="147"/>
      <c r="J2375" s="146"/>
      <c r="M2375" s="147"/>
      <c r="Q2375" s="146"/>
      <c r="T2375" s="146"/>
      <c r="V2375" s="147"/>
      <c r="W2375" s="146"/>
      <c r="Y2375" s="147"/>
    </row>
    <row r="2376" spans="3:25">
      <c r="C2376" s="146"/>
      <c r="E2376" s="147"/>
      <c r="F2376" s="146"/>
      <c r="I2376" s="147"/>
      <c r="J2376" s="146"/>
      <c r="M2376" s="147"/>
      <c r="Q2376" s="146"/>
      <c r="T2376" s="146"/>
      <c r="V2376" s="147"/>
      <c r="W2376" s="146"/>
      <c r="Y2376" s="147"/>
    </row>
    <row r="2377" spans="3:25">
      <c r="C2377" s="146"/>
      <c r="E2377" s="147"/>
      <c r="F2377" s="146"/>
      <c r="I2377" s="147"/>
      <c r="J2377" s="146"/>
      <c r="M2377" s="147"/>
      <c r="Q2377" s="146"/>
      <c r="T2377" s="146"/>
      <c r="V2377" s="147"/>
      <c r="W2377" s="146"/>
      <c r="Y2377" s="147"/>
    </row>
    <row r="2378" spans="3:25">
      <c r="C2378" s="146"/>
      <c r="E2378" s="147"/>
      <c r="F2378" s="146"/>
      <c r="I2378" s="147"/>
      <c r="J2378" s="146"/>
      <c r="M2378" s="147"/>
      <c r="Q2378" s="146"/>
      <c r="T2378" s="146"/>
      <c r="V2378" s="147"/>
      <c r="W2378" s="146"/>
      <c r="Y2378" s="147"/>
    </row>
    <row r="2379" spans="3:25">
      <c r="C2379" s="146"/>
      <c r="E2379" s="147"/>
      <c r="F2379" s="146"/>
      <c r="I2379" s="147"/>
      <c r="J2379" s="146"/>
      <c r="M2379" s="147"/>
      <c r="Q2379" s="146"/>
      <c r="T2379" s="146"/>
      <c r="V2379" s="147"/>
      <c r="W2379" s="146"/>
      <c r="Y2379" s="147"/>
    </row>
    <row r="2380" spans="3:25">
      <c r="C2380" s="146"/>
      <c r="E2380" s="147"/>
      <c r="F2380" s="146"/>
      <c r="I2380" s="147"/>
      <c r="J2380" s="146"/>
      <c r="M2380" s="147"/>
      <c r="Q2380" s="146"/>
      <c r="T2380" s="146"/>
      <c r="V2380" s="147"/>
      <c r="W2380" s="146"/>
      <c r="Y2380" s="147"/>
    </row>
    <row r="2381" spans="3:25">
      <c r="C2381" s="146"/>
      <c r="E2381" s="147"/>
      <c r="F2381" s="146"/>
      <c r="I2381" s="147"/>
      <c r="J2381" s="146"/>
      <c r="M2381" s="147"/>
      <c r="Q2381" s="146"/>
      <c r="T2381" s="146"/>
      <c r="V2381" s="147"/>
      <c r="W2381" s="146"/>
      <c r="Y2381" s="147"/>
    </row>
    <row r="2382" spans="3:25">
      <c r="C2382" s="146"/>
      <c r="E2382" s="147"/>
      <c r="F2382" s="146"/>
      <c r="I2382" s="147"/>
      <c r="J2382" s="146"/>
      <c r="M2382" s="147"/>
      <c r="Q2382" s="146"/>
      <c r="T2382" s="146"/>
      <c r="V2382" s="147"/>
      <c r="W2382" s="146"/>
      <c r="Y2382" s="147"/>
    </row>
    <row r="2383" spans="3:25">
      <c r="C2383" s="146"/>
      <c r="E2383" s="147"/>
      <c r="F2383" s="146"/>
      <c r="I2383" s="147"/>
      <c r="J2383" s="146"/>
      <c r="M2383" s="147"/>
      <c r="Q2383" s="146"/>
      <c r="T2383" s="146"/>
      <c r="V2383" s="147"/>
      <c r="W2383" s="146"/>
      <c r="Y2383" s="147"/>
    </row>
    <row r="2384" spans="3:25">
      <c r="C2384" s="146"/>
      <c r="E2384" s="147"/>
      <c r="F2384" s="146"/>
      <c r="I2384" s="147"/>
      <c r="J2384" s="146"/>
      <c r="M2384" s="147"/>
      <c r="Q2384" s="146"/>
      <c r="T2384" s="146"/>
      <c r="V2384" s="147"/>
      <c r="W2384" s="146"/>
      <c r="Y2384" s="147"/>
    </row>
    <row r="2385" spans="3:25">
      <c r="C2385" s="146"/>
      <c r="E2385" s="147"/>
      <c r="F2385" s="146"/>
      <c r="I2385" s="147"/>
      <c r="J2385" s="146"/>
      <c r="M2385" s="147"/>
      <c r="Q2385" s="146"/>
      <c r="T2385" s="146"/>
      <c r="V2385" s="147"/>
      <c r="W2385" s="146"/>
      <c r="Y2385" s="147"/>
    </row>
    <row r="2386" spans="3:25">
      <c r="C2386" s="146"/>
      <c r="E2386" s="147"/>
      <c r="F2386" s="146"/>
      <c r="I2386" s="147"/>
      <c r="J2386" s="146"/>
      <c r="M2386" s="147"/>
      <c r="Q2386" s="146"/>
      <c r="T2386" s="146"/>
      <c r="V2386" s="147"/>
      <c r="W2386" s="146"/>
      <c r="Y2386" s="147"/>
    </row>
    <row r="2387" spans="3:25">
      <c r="C2387" s="146"/>
      <c r="E2387" s="147"/>
      <c r="F2387" s="146"/>
      <c r="I2387" s="147"/>
      <c r="J2387" s="146"/>
      <c r="M2387" s="147"/>
      <c r="Q2387" s="146"/>
      <c r="T2387" s="146"/>
      <c r="V2387" s="147"/>
      <c r="W2387" s="146"/>
      <c r="Y2387" s="147"/>
    </row>
    <row r="2388" spans="3:25">
      <c r="C2388" s="146"/>
      <c r="E2388" s="147"/>
      <c r="F2388" s="146"/>
      <c r="I2388" s="147"/>
      <c r="J2388" s="146"/>
      <c r="M2388" s="147"/>
      <c r="Q2388" s="146"/>
      <c r="T2388" s="146"/>
      <c r="V2388" s="147"/>
      <c r="W2388" s="146"/>
      <c r="Y2388" s="147"/>
    </row>
    <row r="2389" spans="3:25">
      <c r="C2389" s="146"/>
      <c r="E2389" s="147"/>
      <c r="F2389" s="146"/>
      <c r="I2389" s="147"/>
      <c r="J2389" s="146"/>
      <c r="M2389" s="147"/>
      <c r="Q2389" s="146"/>
      <c r="T2389" s="146"/>
      <c r="V2389" s="147"/>
      <c r="W2389" s="146"/>
      <c r="Y2389" s="147"/>
    </row>
    <row r="2390" spans="3:25">
      <c r="C2390" s="146"/>
      <c r="E2390" s="147"/>
      <c r="F2390" s="146"/>
      <c r="I2390" s="147"/>
      <c r="J2390" s="146"/>
      <c r="M2390" s="147"/>
      <c r="Q2390" s="146"/>
      <c r="T2390" s="146"/>
      <c r="V2390" s="147"/>
      <c r="W2390" s="146"/>
      <c r="Y2390" s="147"/>
    </row>
    <row r="2391" spans="3:25">
      <c r="C2391" s="146"/>
      <c r="E2391" s="147"/>
      <c r="F2391" s="146"/>
      <c r="I2391" s="147"/>
      <c r="J2391" s="146"/>
      <c r="M2391" s="147"/>
      <c r="Q2391" s="146"/>
      <c r="T2391" s="146"/>
      <c r="V2391" s="147"/>
      <c r="W2391" s="146"/>
      <c r="Y2391" s="147"/>
    </row>
    <row r="2392" spans="3:25">
      <c r="C2392" s="146"/>
      <c r="E2392" s="147"/>
      <c r="F2392" s="146"/>
      <c r="I2392" s="147"/>
      <c r="J2392" s="146"/>
      <c r="M2392" s="147"/>
      <c r="Q2392" s="146"/>
      <c r="T2392" s="146"/>
      <c r="V2392" s="147"/>
      <c r="W2392" s="146"/>
      <c r="Y2392" s="147"/>
    </row>
    <row r="2393" spans="3:25">
      <c r="C2393" s="146"/>
      <c r="E2393" s="147"/>
      <c r="F2393" s="146"/>
      <c r="I2393" s="147"/>
      <c r="J2393" s="146"/>
      <c r="M2393" s="147"/>
      <c r="Q2393" s="146"/>
      <c r="T2393" s="146"/>
      <c r="V2393" s="147"/>
      <c r="W2393" s="146"/>
      <c r="Y2393" s="147"/>
    </row>
    <row r="2394" spans="3:25">
      <c r="C2394" s="146"/>
      <c r="E2394" s="147"/>
      <c r="F2394" s="146"/>
      <c r="I2394" s="147"/>
      <c r="J2394" s="146"/>
      <c r="M2394" s="147"/>
      <c r="Q2394" s="146"/>
      <c r="T2394" s="146"/>
      <c r="V2394" s="147"/>
      <c r="W2394" s="146"/>
      <c r="Y2394" s="147"/>
    </row>
    <row r="2395" spans="3:25">
      <c r="C2395" s="146"/>
      <c r="E2395" s="147"/>
      <c r="F2395" s="146"/>
      <c r="I2395" s="147"/>
      <c r="J2395" s="146"/>
      <c r="M2395" s="147"/>
      <c r="Q2395" s="146"/>
      <c r="T2395" s="146"/>
      <c r="V2395" s="147"/>
      <c r="W2395" s="146"/>
      <c r="Y2395" s="147"/>
    </row>
    <row r="2396" spans="3:25">
      <c r="C2396" s="146"/>
      <c r="E2396" s="147"/>
      <c r="F2396" s="146"/>
      <c r="I2396" s="147"/>
      <c r="J2396" s="146"/>
      <c r="M2396" s="147"/>
      <c r="Q2396" s="146"/>
      <c r="T2396" s="146"/>
      <c r="V2396" s="147"/>
      <c r="W2396" s="146"/>
      <c r="Y2396" s="147"/>
    </row>
    <row r="2397" spans="3:25">
      <c r="C2397" s="146"/>
      <c r="E2397" s="147"/>
      <c r="F2397" s="146"/>
      <c r="I2397" s="147"/>
      <c r="J2397" s="146"/>
      <c r="M2397" s="147"/>
      <c r="Q2397" s="146"/>
      <c r="T2397" s="146"/>
      <c r="V2397" s="147"/>
      <c r="W2397" s="146"/>
      <c r="Y2397" s="147"/>
    </row>
    <row r="2398" spans="3:25">
      <c r="C2398" s="146"/>
      <c r="E2398" s="147"/>
      <c r="F2398" s="146"/>
      <c r="I2398" s="147"/>
      <c r="J2398" s="146"/>
      <c r="M2398" s="147"/>
      <c r="Q2398" s="146"/>
      <c r="T2398" s="146"/>
      <c r="V2398" s="147"/>
      <c r="W2398" s="146"/>
      <c r="Y2398" s="147"/>
    </row>
    <row r="2399" spans="3:25">
      <c r="C2399" s="146"/>
      <c r="E2399" s="147"/>
      <c r="F2399" s="146"/>
      <c r="I2399" s="147"/>
      <c r="J2399" s="146"/>
      <c r="M2399" s="147"/>
      <c r="Q2399" s="146"/>
      <c r="T2399" s="146"/>
      <c r="V2399" s="147"/>
      <c r="W2399" s="146"/>
      <c r="Y2399" s="147"/>
    </row>
    <row r="2400" spans="3:25">
      <c r="C2400" s="146"/>
      <c r="E2400" s="147"/>
      <c r="F2400" s="146"/>
      <c r="I2400" s="147"/>
      <c r="J2400" s="146"/>
      <c r="M2400" s="147"/>
      <c r="Q2400" s="146"/>
      <c r="T2400" s="146"/>
      <c r="V2400" s="147"/>
      <c r="W2400" s="146"/>
      <c r="Y2400" s="147"/>
    </row>
    <row r="2401" spans="3:25">
      <c r="C2401" s="146"/>
      <c r="E2401" s="147"/>
      <c r="F2401" s="146"/>
      <c r="I2401" s="147"/>
      <c r="J2401" s="146"/>
      <c r="M2401" s="147"/>
      <c r="Q2401" s="146"/>
      <c r="T2401" s="146"/>
      <c r="V2401" s="147"/>
      <c r="W2401" s="146"/>
      <c r="Y2401" s="147"/>
    </row>
    <row r="2402" spans="3:25">
      <c r="C2402" s="146"/>
      <c r="E2402" s="147"/>
      <c r="F2402" s="146"/>
      <c r="I2402" s="147"/>
      <c r="J2402" s="146"/>
      <c r="M2402" s="147"/>
      <c r="Q2402" s="146"/>
      <c r="T2402" s="146"/>
      <c r="V2402" s="147"/>
      <c r="W2402" s="146"/>
      <c r="Y2402" s="147"/>
    </row>
    <row r="2403" spans="3:25">
      <c r="C2403" s="146"/>
      <c r="E2403" s="147"/>
      <c r="F2403" s="146"/>
      <c r="I2403" s="147"/>
      <c r="J2403" s="146"/>
      <c r="M2403" s="147"/>
      <c r="Q2403" s="146"/>
      <c r="T2403" s="146"/>
      <c r="V2403" s="147"/>
      <c r="W2403" s="146"/>
      <c r="Y2403" s="147"/>
    </row>
    <row r="2404" spans="3:25">
      <c r="C2404" s="146"/>
      <c r="E2404" s="147"/>
      <c r="F2404" s="146"/>
      <c r="I2404" s="147"/>
      <c r="J2404" s="146"/>
      <c r="M2404" s="147"/>
      <c r="Q2404" s="146"/>
      <c r="T2404" s="146"/>
      <c r="V2404" s="147"/>
      <c r="W2404" s="146"/>
      <c r="Y2404" s="147"/>
    </row>
    <row r="2405" spans="3:25">
      <c r="C2405" s="146"/>
      <c r="E2405" s="147"/>
      <c r="F2405" s="146"/>
      <c r="I2405" s="147"/>
      <c r="J2405" s="146"/>
      <c r="M2405" s="147"/>
      <c r="Q2405" s="146"/>
      <c r="T2405" s="146"/>
      <c r="V2405" s="147"/>
      <c r="W2405" s="146"/>
      <c r="Y2405" s="147"/>
    </row>
    <row r="2406" spans="3:25">
      <c r="C2406" s="146"/>
      <c r="E2406" s="147"/>
      <c r="F2406" s="146"/>
      <c r="I2406" s="147"/>
      <c r="J2406" s="146"/>
      <c r="M2406" s="147"/>
      <c r="Q2406" s="146"/>
      <c r="T2406" s="146"/>
      <c r="V2406" s="147"/>
      <c r="W2406" s="146"/>
      <c r="Y2406" s="147"/>
    </row>
    <row r="2407" spans="3:25">
      <c r="C2407" s="146"/>
      <c r="E2407" s="147"/>
      <c r="F2407" s="146"/>
      <c r="I2407" s="147"/>
      <c r="J2407" s="146"/>
      <c r="M2407" s="147"/>
      <c r="Q2407" s="146"/>
      <c r="T2407" s="146"/>
      <c r="V2407" s="147"/>
      <c r="W2407" s="146"/>
      <c r="Y2407" s="147"/>
    </row>
    <row r="2408" spans="3:25">
      <c r="C2408" s="146"/>
      <c r="E2408" s="147"/>
      <c r="F2408" s="146"/>
      <c r="I2408" s="147"/>
      <c r="J2408" s="146"/>
      <c r="M2408" s="147"/>
      <c r="Q2408" s="146"/>
      <c r="T2408" s="146"/>
      <c r="V2408" s="147"/>
      <c r="W2408" s="146"/>
      <c r="Y2408" s="147"/>
    </row>
    <row r="2409" spans="3:25">
      <c r="C2409" s="146"/>
      <c r="E2409" s="147"/>
      <c r="F2409" s="146"/>
      <c r="I2409" s="147"/>
      <c r="J2409" s="146"/>
      <c r="M2409" s="147"/>
      <c r="Q2409" s="146"/>
      <c r="T2409" s="146"/>
      <c r="V2409" s="147"/>
      <c r="W2409" s="146"/>
      <c r="Y2409" s="147"/>
    </row>
    <row r="2410" spans="3:25">
      <c r="C2410" s="146"/>
      <c r="E2410" s="147"/>
      <c r="F2410" s="146"/>
      <c r="I2410" s="147"/>
      <c r="J2410" s="146"/>
      <c r="M2410" s="147"/>
      <c r="Q2410" s="146"/>
      <c r="T2410" s="146"/>
      <c r="V2410" s="147"/>
      <c r="W2410" s="146"/>
      <c r="Y2410" s="147"/>
    </row>
    <row r="2411" spans="3:25">
      <c r="C2411" s="146"/>
      <c r="E2411" s="147"/>
      <c r="F2411" s="146"/>
      <c r="I2411" s="147"/>
      <c r="J2411" s="146"/>
      <c r="M2411" s="147"/>
      <c r="Q2411" s="146"/>
      <c r="T2411" s="146"/>
      <c r="V2411" s="147"/>
      <c r="W2411" s="146"/>
      <c r="Y2411" s="147"/>
    </row>
    <row r="2412" spans="3:25">
      <c r="C2412" s="146"/>
      <c r="E2412" s="147"/>
      <c r="F2412" s="146"/>
      <c r="I2412" s="147"/>
      <c r="J2412" s="146"/>
      <c r="M2412" s="147"/>
      <c r="Q2412" s="146"/>
      <c r="T2412" s="146"/>
      <c r="V2412" s="147"/>
      <c r="W2412" s="146"/>
      <c r="Y2412" s="147"/>
    </row>
    <row r="2413" spans="3:25">
      <c r="C2413" s="146"/>
      <c r="E2413" s="147"/>
      <c r="F2413" s="146"/>
      <c r="I2413" s="147"/>
      <c r="J2413" s="146"/>
      <c r="M2413" s="147"/>
      <c r="Q2413" s="146"/>
      <c r="T2413" s="146"/>
      <c r="V2413" s="147"/>
      <c r="W2413" s="146"/>
      <c r="Y2413" s="147"/>
    </row>
    <row r="2414" spans="3:25">
      <c r="C2414" s="146"/>
      <c r="E2414" s="147"/>
      <c r="F2414" s="146"/>
      <c r="I2414" s="147"/>
      <c r="J2414" s="146"/>
      <c r="M2414" s="147"/>
      <c r="Q2414" s="146"/>
      <c r="T2414" s="146"/>
      <c r="V2414" s="147"/>
      <c r="W2414" s="146"/>
      <c r="Y2414" s="147"/>
    </row>
    <row r="2415" spans="3:25">
      <c r="C2415" s="146"/>
      <c r="E2415" s="147"/>
      <c r="F2415" s="146"/>
      <c r="I2415" s="147"/>
      <c r="J2415" s="146"/>
      <c r="M2415" s="147"/>
      <c r="Q2415" s="146"/>
      <c r="T2415" s="146"/>
      <c r="V2415" s="147"/>
      <c r="W2415" s="146"/>
      <c r="Y2415" s="147"/>
    </row>
    <row r="2416" spans="3:25">
      <c r="C2416" s="146"/>
      <c r="E2416" s="147"/>
      <c r="F2416" s="146"/>
      <c r="I2416" s="147"/>
      <c r="J2416" s="146"/>
      <c r="M2416" s="147"/>
      <c r="Q2416" s="146"/>
      <c r="T2416" s="146"/>
      <c r="V2416" s="147"/>
      <c r="W2416" s="146"/>
      <c r="Y2416" s="147"/>
    </row>
    <row r="2417" spans="3:25">
      <c r="C2417" s="146"/>
      <c r="E2417" s="147"/>
      <c r="F2417" s="146"/>
      <c r="I2417" s="147"/>
      <c r="J2417" s="146"/>
      <c r="M2417" s="147"/>
      <c r="Q2417" s="146"/>
      <c r="T2417" s="146"/>
      <c r="V2417" s="147"/>
      <c r="W2417" s="146"/>
      <c r="Y2417" s="147"/>
    </row>
    <row r="2418" spans="3:25">
      <c r="C2418" s="146"/>
      <c r="E2418" s="147"/>
      <c r="F2418" s="146"/>
      <c r="I2418" s="147"/>
      <c r="J2418" s="146"/>
      <c r="M2418" s="147"/>
      <c r="Q2418" s="146"/>
      <c r="T2418" s="146"/>
      <c r="V2418" s="147"/>
      <c r="W2418" s="146"/>
      <c r="Y2418" s="147"/>
    </row>
    <row r="2419" spans="3:25">
      <c r="C2419" s="146"/>
      <c r="E2419" s="147"/>
      <c r="F2419" s="146"/>
      <c r="I2419" s="147"/>
      <c r="J2419" s="146"/>
      <c r="M2419" s="147"/>
      <c r="Q2419" s="146"/>
      <c r="T2419" s="146"/>
      <c r="V2419" s="147"/>
      <c r="W2419" s="146"/>
      <c r="Y2419" s="147"/>
    </row>
    <row r="2420" spans="3:25">
      <c r="C2420" s="146"/>
      <c r="E2420" s="147"/>
      <c r="F2420" s="146"/>
      <c r="I2420" s="147"/>
      <c r="J2420" s="146"/>
      <c r="M2420" s="147"/>
      <c r="Q2420" s="146"/>
      <c r="T2420" s="146"/>
      <c r="V2420" s="147"/>
      <c r="W2420" s="146"/>
      <c r="Y2420" s="147"/>
    </row>
    <row r="2421" spans="3:25">
      <c r="C2421" s="146"/>
      <c r="E2421" s="147"/>
      <c r="F2421" s="146"/>
      <c r="I2421" s="147"/>
      <c r="J2421" s="146"/>
      <c r="M2421" s="147"/>
      <c r="Q2421" s="146"/>
      <c r="T2421" s="146"/>
      <c r="V2421" s="147"/>
      <c r="W2421" s="146"/>
      <c r="Y2421" s="147"/>
    </row>
    <row r="2422" spans="3:25">
      <c r="C2422" s="146"/>
      <c r="E2422" s="147"/>
      <c r="F2422" s="146"/>
      <c r="I2422" s="147"/>
      <c r="J2422" s="146"/>
      <c r="M2422" s="147"/>
      <c r="Q2422" s="146"/>
      <c r="T2422" s="146"/>
      <c r="V2422" s="147"/>
      <c r="W2422" s="146"/>
      <c r="Y2422" s="147"/>
    </row>
    <row r="2423" spans="3:25">
      <c r="C2423" s="146"/>
      <c r="E2423" s="147"/>
      <c r="F2423" s="146"/>
      <c r="I2423" s="147"/>
      <c r="J2423" s="146"/>
      <c r="M2423" s="147"/>
      <c r="Q2423" s="146"/>
      <c r="T2423" s="146"/>
      <c r="V2423" s="147"/>
      <c r="W2423" s="146"/>
      <c r="Y2423" s="147"/>
    </row>
    <row r="2424" spans="3:25">
      <c r="C2424" s="146"/>
      <c r="E2424" s="147"/>
      <c r="F2424" s="146"/>
      <c r="I2424" s="147"/>
      <c r="J2424" s="146"/>
      <c r="M2424" s="147"/>
      <c r="Q2424" s="146"/>
      <c r="T2424" s="146"/>
      <c r="V2424" s="147"/>
      <c r="W2424" s="146"/>
      <c r="Y2424" s="147"/>
    </row>
    <row r="2425" spans="3:25">
      <c r="C2425" s="146"/>
      <c r="E2425" s="147"/>
      <c r="F2425" s="146"/>
      <c r="I2425" s="147"/>
      <c r="J2425" s="146"/>
      <c r="M2425" s="147"/>
      <c r="Q2425" s="146"/>
      <c r="T2425" s="146"/>
      <c r="V2425" s="147"/>
      <c r="W2425" s="146"/>
      <c r="Y2425" s="147"/>
    </row>
    <row r="2426" spans="3:25">
      <c r="C2426" s="146"/>
      <c r="E2426" s="147"/>
      <c r="F2426" s="146"/>
      <c r="I2426" s="147"/>
      <c r="J2426" s="146"/>
      <c r="M2426" s="147"/>
      <c r="Q2426" s="146"/>
      <c r="T2426" s="146"/>
      <c r="V2426" s="147"/>
      <c r="W2426" s="146"/>
      <c r="Y2426" s="147"/>
    </row>
    <row r="2427" spans="3:25">
      <c r="C2427" s="146"/>
      <c r="E2427" s="147"/>
      <c r="F2427" s="146"/>
      <c r="I2427" s="147"/>
      <c r="J2427" s="146"/>
      <c r="M2427" s="147"/>
      <c r="Q2427" s="146"/>
      <c r="T2427" s="146"/>
      <c r="V2427" s="147"/>
      <c r="W2427" s="146"/>
      <c r="Y2427" s="147"/>
    </row>
    <row r="2428" spans="3:25">
      <c r="C2428" s="146"/>
      <c r="E2428" s="147"/>
      <c r="F2428" s="146"/>
      <c r="I2428" s="147"/>
      <c r="J2428" s="146"/>
      <c r="M2428" s="147"/>
      <c r="Q2428" s="146"/>
      <c r="T2428" s="146"/>
      <c r="V2428" s="147"/>
      <c r="W2428" s="146"/>
      <c r="Y2428" s="147"/>
    </row>
    <row r="2429" spans="3:25">
      <c r="C2429" s="146"/>
      <c r="E2429" s="147"/>
      <c r="F2429" s="146"/>
      <c r="I2429" s="147"/>
      <c r="J2429" s="146"/>
      <c r="M2429" s="147"/>
      <c r="Q2429" s="146"/>
      <c r="T2429" s="146"/>
      <c r="V2429" s="147"/>
      <c r="W2429" s="146"/>
      <c r="Y2429" s="147"/>
    </row>
    <row r="2430" spans="3:25">
      <c r="C2430" s="146"/>
      <c r="E2430" s="147"/>
      <c r="F2430" s="146"/>
      <c r="I2430" s="147"/>
      <c r="J2430" s="146"/>
      <c r="M2430" s="147"/>
      <c r="Q2430" s="146"/>
      <c r="T2430" s="146"/>
      <c r="V2430" s="147"/>
      <c r="W2430" s="146"/>
      <c r="Y2430" s="147"/>
    </row>
    <row r="2431" spans="3:25">
      <c r="C2431" s="146"/>
      <c r="E2431" s="147"/>
      <c r="F2431" s="146"/>
      <c r="I2431" s="147"/>
      <c r="J2431" s="146"/>
      <c r="M2431" s="147"/>
      <c r="Q2431" s="146"/>
      <c r="T2431" s="146"/>
      <c r="V2431" s="147"/>
      <c r="W2431" s="146"/>
      <c r="Y2431" s="147"/>
    </row>
    <row r="2432" spans="3:25">
      <c r="C2432" s="146"/>
      <c r="E2432" s="147"/>
      <c r="F2432" s="146"/>
      <c r="I2432" s="147"/>
      <c r="J2432" s="146"/>
      <c r="M2432" s="147"/>
      <c r="Q2432" s="146"/>
      <c r="T2432" s="146"/>
      <c r="V2432" s="147"/>
      <c r="W2432" s="146"/>
      <c r="Y2432" s="147"/>
    </row>
    <row r="2433" spans="3:25">
      <c r="C2433" s="146"/>
      <c r="E2433" s="147"/>
      <c r="F2433" s="146"/>
      <c r="I2433" s="147"/>
      <c r="J2433" s="146"/>
      <c r="M2433" s="147"/>
      <c r="Q2433" s="146"/>
      <c r="T2433" s="146"/>
      <c r="V2433" s="147"/>
      <c r="W2433" s="146"/>
      <c r="Y2433" s="147"/>
    </row>
    <row r="2434" spans="3:25">
      <c r="C2434" s="146"/>
      <c r="E2434" s="147"/>
      <c r="F2434" s="146"/>
      <c r="I2434" s="147"/>
      <c r="J2434" s="146"/>
      <c r="M2434" s="147"/>
      <c r="Q2434" s="146"/>
      <c r="T2434" s="146"/>
      <c r="V2434" s="147"/>
      <c r="W2434" s="146"/>
      <c r="Y2434" s="147"/>
    </row>
    <row r="2435" spans="3:25">
      <c r="C2435" s="146"/>
      <c r="E2435" s="147"/>
      <c r="F2435" s="146"/>
      <c r="I2435" s="147"/>
      <c r="J2435" s="146"/>
      <c r="M2435" s="147"/>
      <c r="Q2435" s="146"/>
      <c r="T2435" s="146"/>
      <c r="V2435" s="147"/>
      <c r="W2435" s="146"/>
      <c r="Y2435" s="147"/>
    </row>
    <row r="2436" spans="3:25">
      <c r="C2436" s="146"/>
      <c r="E2436" s="147"/>
      <c r="F2436" s="146"/>
      <c r="I2436" s="147"/>
      <c r="J2436" s="146"/>
      <c r="M2436" s="147"/>
      <c r="Q2436" s="146"/>
      <c r="T2436" s="146"/>
      <c r="V2436" s="147"/>
      <c r="W2436" s="146"/>
      <c r="Y2436" s="147"/>
    </row>
    <row r="2437" spans="3:25">
      <c r="C2437" s="146"/>
      <c r="E2437" s="147"/>
      <c r="F2437" s="146"/>
      <c r="I2437" s="147"/>
      <c r="J2437" s="146"/>
      <c r="M2437" s="147"/>
      <c r="Q2437" s="146"/>
      <c r="T2437" s="146"/>
      <c r="V2437" s="147"/>
      <c r="W2437" s="146"/>
      <c r="Y2437" s="147"/>
    </row>
    <row r="2438" spans="3:25">
      <c r="C2438" s="146"/>
      <c r="E2438" s="147"/>
      <c r="F2438" s="146"/>
      <c r="I2438" s="147"/>
      <c r="J2438" s="146"/>
      <c r="M2438" s="147"/>
      <c r="Q2438" s="146"/>
      <c r="T2438" s="146"/>
      <c r="V2438" s="147"/>
      <c r="W2438" s="146"/>
      <c r="Y2438" s="147"/>
    </row>
    <row r="2439" spans="3:25">
      <c r="C2439" s="146"/>
      <c r="E2439" s="147"/>
      <c r="F2439" s="146"/>
      <c r="I2439" s="147"/>
      <c r="J2439" s="146"/>
      <c r="M2439" s="147"/>
      <c r="Q2439" s="146"/>
      <c r="T2439" s="146"/>
      <c r="V2439" s="147"/>
      <c r="W2439" s="146"/>
      <c r="Y2439" s="147"/>
    </row>
    <row r="2440" spans="3:25">
      <c r="C2440" s="146"/>
      <c r="E2440" s="147"/>
      <c r="F2440" s="146"/>
      <c r="I2440" s="147"/>
      <c r="J2440" s="146"/>
      <c r="M2440" s="147"/>
      <c r="Q2440" s="146"/>
      <c r="T2440" s="146"/>
      <c r="V2440" s="147"/>
      <c r="W2440" s="146"/>
      <c r="Y2440" s="147"/>
    </row>
    <row r="2441" spans="3:25">
      <c r="C2441" s="146"/>
      <c r="E2441" s="147"/>
      <c r="F2441" s="146"/>
      <c r="I2441" s="147"/>
      <c r="J2441" s="146"/>
      <c r="M2441" s="147"/>
      <c r="Q2441" s="146"/>
      <c r="T2441" s="146"/>
      <c r="V2441" s="147"/>
      <c r="W2441" s="146"/>
      <c r="Y2441" s="147"/>
    </row>
    <row r="2442" spans="3:25">
      <c r="C2442" s="146"/>
      <c r="E2442" s="147"/>
      <c r="F2442" s="146"/>
      <c r="I2442" s="147"/>
      <c r="J2442" s="146"/>
      <c r="M2442" s="147"/>
      <c r="Q2442" s="146"/>
      <c r="T2442" s="146"/>
      <c r="V2442" s="147"/>
      <c r="W2442" s="146"/>
      <c r="Y2442" s="147"/>
    </row>
    <row r="2443" spans="3:25">
      <c r="C2443" s="146"/>
      <c r="E2443" s="147"/>
      <c r="F2443" s="146"/>
      <c r="I2443" s="147"/>
      <c r="J2443" s="146"/>
      <c r="M2443" s="147"/>
      <c r="Q2443" s="146"/>
      <c r="T2443" s="146"/>
      <c r="V2443" s="147"/>
      <c r="W2443" s="146"/>
      <c r="Y2443" s="147"/>
    </row>
    <row r="2444" spans="3:25">
      <c r="C2444" s="146"/>
      <c r="E2444" s="147"/>
      <c r="F2444" s="146"/>
      <c r="I2444" s="147"/>
      <c r="J2444" s="146"/>
      <c r="M2444" s="147"/>
      <c r="Q2444" s="146"/>
      <c r="T2444" s="146"/>
      <c r="V2444" s="147"/>
      <c r="W2444" s="146"/>
      <c r="Y2444" s="147"/>
    </row>
    <row r="2445" spans="3:25">
      <c r="C2445" s="146"/>
      <c r="E2445" s="147"/>
      <c r="F2445" s="146"/>
      <c r="I2445" s="147"/>
      <c r="J2445" s="146"/>
      <c r="M2445" s="147"/>
      <c r="Q2445" s="146"/>
      <c r="T2445" s="146"/>
      <c r="V2445" s="147"/>
      <c r="W2445" s="146"/>
      <c r="Y2445" s="147"/>
    </row>
    <row r="2446" spans="3:25">
      <c r="C2446" s="146"/>
      <c r="E2446" s="147"/>
      <c r="F2446" s="146"/>
      <c r="I2446" s="147"/>
      <c r="J2446" s="146"/>
      <c r="M2446" s="147"/>
      <c r="Q2446" s="146"/>
      <c r="T2446" s="146"/>
      <c r="V2446" s="147"/>
      <c r="W2446" s="146"/>
      <c r="Y2446" s="147"/>
    </row>
    <row r="2447" spans="3:25">
      <c r="C2447" s="146"/>
      <c r="E2447" s="147"/>
      <c r="F2447" s="146"/>
      <c r="I2447" s="147"/>
      <c r="J2447" s="146"/>
      <c r="M2447" s="147"/>
      <c r="Q2447" s="146"/>
      <c r="T2447" s="146"/>
      <c r="V2447" s="147"/>
      <c r="W2447" s="146"/>
      <c r="Y2447" s="147"/>
    </row>
    <row r="2448" spans="3:25">
      <c r="C2448" s="146"/>
      <c r="E2448" s="147"/>
      <c r="F2448" s="146"/>
      <c r="I2448" s="147"/>
      <c r="J2448" s="146"/>
      <c r="M2448" s="147"/>
      <c r="Q2448" s="146"/>
      <c r="T2448" s="146"/>
      <c r="V2448" s="147"/>
      <c r="W2448" s="146"/>
      <c r="Y2448" s="147"/>
    </row>
    <row r="2449" spans="3:25">
      <c r="C2449" s="146"/>
      <c r="E2449" s="147"/>
      <c r="F2449" s="146"/>
      <c r="I2449" s="147"/>
      <c r="J2449" s="146"/>
      <c r="M2449" s="147"/>
      <c r="Q2449" s="146"/>
      <c r="T2449" s="146"/>
      <c r="V2449" s="147"/>
      <c r="W2449" s="146"/>
      <c r="Y2449" s="147"/>
    </row>
    <row r="2450" spans="3:25">
      <c r="C2450" s="146"/>
      <c r="E2450" s="147"/>
      <c r="F2450" s="146"/>
      <c r="I2450" s="147"/>
      <c r="J2450" s="146"/>
      <c r="M2450" s="147"/>
      <c r="Q2450" s="146"/>
      <c r="T2450" s="146"/>
      <c r="V2450" s="147"/>
      <c r="W2450" s="146"/>
      <c r="Y2450" s="147"/>
    </row>
    <row r="2451" spans="3:25">
      <c r="C2451" s="146"/>
      <c r="E2451" s="147"/>
      <c r="F2451" s="146"/>
      <c r="I2451" s="147"/>
      <c r="J2451" s="146"/>
      <c r="M2451" s="147"/>
      <c r="Q2451" s="146"/>
      <c r="T2451" s="146"/>
      <c r="V2451" s="147"/>
      <c r="W2451" s="146"/>
      <c r="Y2451" s="147"/>
    </row>
    <row r="2452" spans="3:25">
      <c r="C2452" s="146"/>
      <c r="E2452" s="147"/>
      <c r="F2452" s="146"/>
      <c r="I2452" s="147"/>
      <c r="J2452" s="146"/>
      <c r="M2452" s="147"/>
      <c r="Q2452" s="146"/>
      <c r="T2452" s="146"/>
      <c r="V2452" s="147"/>
      <c r="W2452" s="146"/>
      <c r="Y2452" s="147"/>
    </row>
    <row r="2453" spans="3:25">
      <c r="C2453" s="146"/>
      <c r="E2453" s="147"/>
      <c r="F2453" s="146"/>
      <c r="I2453" s="147"/>
      <c r="J2453" s="146"/>
      <c r="M2453" s="147"/>
      <c r="Q2453" s="146"/>
      <c r="T2453" s="146"/>
      <c r="V2453" s="147"/>
      <c r="W2453" s="146"/>
      <c r="Y2453" s="147"/>
    </row>
    <row r="2454" spans="3:25">
      <c r="C2454" s="146"/>
      <c r="E2454" s="147"/>
      <c r="F2454" s="146"/>
      <c r="I2454" s="147"/>
      <c r="J2454" s="146"/>
      <c r="M2454" s="147"/>
      <c r="Q2454" s="146"/>
      <c r="T2454" s="146"/>
      <c r="V2454" s="147"/>
      <c r="W2454" s="146"/>
      <c r="Y2454" s="147"/>
    </row>
    <row r="2455" spans="3:25">
      <c r="C2455" s="146"/>
      <c r="E2455" s="147"/>
      <c r="F2455" s="146"/>
      <c r="I2455" s="147"/>
      <c r="J2455" s="146"/>
      <c r="M2455" s="147"/>
      <c r="Q2455" s="146"/>
      <c r="T2455" s="146"/>
      <c r="V2455" s="147"/>
      <c r="W2455" s="146"/>
      <c r="Y2455" s="147"/>
    </row>
    <row r="2456" spans="3:25">
      <c r="C2456" s="146"/>
      <c r="E2456" s="147"/>
      <c r="F2456" s="146"/>
      <c r="I2456" s="147"/>
      <c r="J2456" s="146"/>
      <c r="M2456" s="147"/>
      <c r="Q2456" s="146"/>
      <c r="T2456" s="146"/>
      <c r="V2456" s="147"/>
      <c r="W2456" s="146"/>
      <c r="Y2456" s="147"/>
    </row>
    <row r="2457" spans="3:25">
      <c r="C2457" s="146"/>
      <c r="E2457" s="147"/>
      <c r="F2457" s="146"/>
      <c r="I2457" s="147"/>
      <c r="J2457" s="146"/>
      <c r="M2457" s="147"/>
      <c r="Q2457" s="146"/>
      <c r="T2457" s="146"/>
      <c r="V2457" s="147"/>
      <c r="W2457" s="146"/>
      <c r="Y2457" s="147"/>
    </row>
    <row r="2458" spans="3:25">
      <c r="C2458" s="146"/>
      <c r="E2458" s="147"/>
      <c r="F2458" s="146"/>
      <c r="I2458" s="147"/>
      <c r="J2458" s="146"/>
      <c r="M2458" s="147"/>
      <c r="Q2458" s="146"/>
      <c r="T2458" s="146"/>
      <c r="V2458" s="147"/>
      <c r="W2458" s="146"/>
      <c r="Y2458" s="147"/>
    </row>
    <row r="2459" spans="3:25">
      <c r="C2459" s="146"/>
      <c r="E2459" s="147"/>
      <c r="F2459" s="146"/>
      <c r="I2459" s="147"/>
      <c r="J2459" s="146"/>
      <c r="M2459" s="147"/>
      <c r="Q2459" s="146"/>
      <c r="T2459" s="146"/>
      <c r="V2459" s="147"/>
      <c r="W2459" s="146"/>
      <c r="Y2459" s="147"/>
    </row>
    <row r="2460" spans="3:25">
      <c r="C2460" s="146"/>
      <c r="E2460" s="147"/>
      <c r="F2460" s="146"/>
      <c r="I2460" s="147"/>
      <c r="J2460" s="146"/>
      <c r="M2460" s="147"/>
      <c r="Q2460" s="146"/>
      <c r="T2460" s="146"/>
      <c r="V2460" s="147"/>
      <c r="W2460" s="146"/>
      <c r="Y2460" s="147"/>
    </row>
    <row r="2461" spans="3:25">
      <c r="C2461" s="146"/>
      <c r="E2461" s="147"/>
      <c r="F2461" s="146"/>
      <c r="I2461" s="147"/>
      <c r="J2461" s="146"/>
      <c r="M2461" s="147"/>
      <c r="Q2461" s="146"/>
      <c r="T2461" s="146"/>
      <c r="V2461" s="147"/>
      <c r="W2461" s="146"/>
      <c r="Y2461" s="147"/>
    </row>
    <row r="2462" spans="3:25">
      <c r="C2462" s="146"/>
      <c r="E2462" s="147"/>
      <c r="F2462" s="146"/>
      <c r="I2462" s="147"/>
      <c r="J2462" s="146"/>
      <c r="M2462" s="147"/>
      <c r="Q2462" s="146"/>
      <c r="T2462" s="146"/>
      <c r="V2462" s="147"/>
      <c r="W2462" s="146"/>
      <c r="Y2462" s="147"/>
    </row>
    <row r="2463" spans="3:25">
      <c r="C2463" s="146"/>
      <c r="E2463" s="147"/>
      <c r="F2463" s="146"/>
      <c r="I2463" s="147"/>
      <c r="J2463" s="146"/>
      <c r="M2463" s="147"/>
      <c r="Q2463" s="146"/>
      <c r="T2463" s="146"/>
      <c r="V2463" s="147"/>
      <c r="W2463" s="146"/>
      <c r="Y2463" s="147"/>
    </row>
    <row r="2464" spans="3:25">
      <c r="C2464" s="146"/>
      <c r="E2464" s="147"/>
      <c r="F2464" s="146"/>
      <c r="I2464" s="147"/>
      <c r="J2464" s="146"/>
      <c r="M2464" s="147"/>
      <c r="Q2464" s="146"/>
      <c r="T2464" s="146"/>
      <c r="V2464" s="147"/>
      <c r="W2464" s="146"/>
      <c r="Y2464" s="147"/>
    </row>
    <row r="2465" spans="3:25">
      <c r="C2465" s="146"/>
      <c r="E2465" s="147"/>
      <c r="F2465" s="146"/>
      <c r="I2465" s="147"/>
      <c r="J2465" s="146"/>
      <c r="M2465" s="147"/>
      <c r="Q2465" s="146"/>
      <c r="T2465" s="146"/>
      <c r="V2465" s="147"/>
      <c r="W2465" s="146"/>
      <c r="Y2465" s="147"/>
    </row>
    <row r="2466" spans="3:25">
      <c r="C2466" s="146"/>
      <c r="E2466" s="147"/>
      <c r="F2466" s="146"/>
      <c r="I2466" s="147"/>
      <c r="J2466" s="146"/>
      <c r="M2466" s="147"/>
      <c r="Q2466" s="146"/>
      <c r="T2466" s="146"/>
      <c r="V2466" s="147"/>
      <c r="W2466" s="146"/>
      <c r="Y2466" s="147"/>
    </row>
    <row r="2467" spans="3:25">
      <c r="C2467" s="146"/>
      <c r="E2467" s="147"/>
      <c r="F2467" s="146"/>
      <c r="I2467" s="147"/>
      <c r="J2467" s="146"/>
      <c r="M2467" s="147"/>
      <c r="Q2467" s="146"/>
      <c r="T2467" s="146"/>
      <c r="V2467" s="147"/>
      <c r="W2467" s="146"/>
      <c r="Y2467" s="147"/>
    </row>
    <row r="2468" spans="3:25">
      <c r="C2468" s="146"/>
      <c r="E2468" s="147"/>
      <c r="F2468" s="146"/>
      <c r="I2468" s="147"/>
      <c r="J2468" s="146"/>
      <c r="M2468" s="147"/>
      <c r="Q2468" s="146"/>
      <c r="T2468" s="146"/>
      <c r="V2468" s="147"/>
      <c r="W2468" s="146"/>
      <c r="Y2468" s="147"/>
    </row>
    <row r="2469" spans="3:25">
      <c r="C2469" s="146"/>
      <c r="E2469" s="147"/>
      <c r="F2469" s="146"/>
      <c r="I2469" s="147"/>
      <c r="J2469" s="146"/>
      <c r="M2469" s="147"/>
      <c r="Q2469" s="146"/>
      <c r="T2469" s="146"/>
      <c r="V2469" s="147"/>
      <c r="W2469" s="146"/>
      <c r="Y2469" s="147"/>
    </row>
    <row r="2470" spans="3:25">
      <c r="C2470" s="146"/>
      <c r="E2470" s="147"/>
      <c r="F2470" s="146"/>
      <c r="I2470" s="147"/>
      <c r="J2470" s="146"/>
      <c r="M2470" s="147"/>
      <c r="Q2470" s="146"/>
      <c r="T2470" s="146"/>
      <c r="V2470" s="147"/>
      <c r="W2470" s="146"/>
      <c r="Y2470" s="147"/>
    </row>
    <row r="2471" spans="3:25">
      <c r="C2471" s="146"/>
      <c r="E2471" s="147"/>
      <c r="F2471" s="146"/>
      <c r="I2471" s="147"/>
      <c r="J2471" s="146"/>
      <c r="M2471" s="147"/>
      <c r="Q2471" s="146"/>
      <c r="T2471" s="146"/>
      <c r="V2471" s="147"/>
      <c r="W2471" s="146"/>
      <c r="Y2471" s="147"/>
    </row>
    <row r="2472" spans="3:25">
      <c r="C2472" s="146"/>
      <c r="E2472" s="147"/>
      <c r="F2472" s="146"/>
      <c r="I2472" s="147"/>
      <c r="J2472" s="146"/>
      <c r="M2472" s="147"/>
      <c r="Q2472" s="146"/>
      <c r="T2472" s="146"/>
      <c r="V2472" s="147"/>
      <c r="W2472" s="146"/>
      <c r="Y2472" s="147"/>
    </row>
    <row r="2473" spans="3:25">
      <c r="C2473" s="146"/>
      <c r="E2473" s="147"/>
      <c r="F2473" s="146"/>
      <c r="I2473" s="147"/>
      <c r="J2473" s="146"/>
      <c r="M2473" s="147"/>
      <c r="Q2473" s="146"/>
      <c r="T2473" s="146"/>
      <c r="V2473" s="147"/>
      <c r="W2473" s="146"/>
      <c r="Y2473" s="147"/>
    </row>
    <row r="2474" spans="3:25">
      <c r="C2474" s="146"/>
      <c r="E2474" s="147"/>
      <c r="F2474" s="146"/>
      <c r="I2474" s="147"/>
      <c r="J2474" s="146"/>
      <c r="M2474" s="147"/>
      <c r="Q2474" s="146"/>
      <c r="T2474" s="146"/>
      <c r="V2474" s="147"/>
      <c r="W2474" s="146"/>
      <c r="Y2474" s="147"/>
    </row>
    <row r="2475" spans="3:25">
      <c r="C2475" s="146"/>
      <c r="E2475" s="147"/>
      <c r="F2475" s="146"/>
      <c r="I2475" s="147"/>
      <c r="J2475" s="146"/>
      <c r="M2475" s="147"/>
      <c r="Q2475" s="146"/>
      <c r="T2475" s="146"/>
      <c r="V2475" s="147"/>
      <c r="W2475" s="146"/>
      <c r="Y2475" s="147"/>
    </row>
    <row r="2476" spans="3:25">
      <c r="C2476" s="146"/>
      <c r="E2476" s="147"/>
      <c r="F2476" s="146"/>
      <c r="I2476" s="147"/>
      <c r="J2476" s="146"/>
      <c r="M2476" s="147"/>
      <c r="Q2476" s="146"/>
      <c r="T2476" s="146"/>
      <c r="V2476" s="147"/>
      <c r="W2476" s="146"/>
      <c r="Y2476" s="147"/>
    </row>
    <row r="2477" spans="3:25">
      <c r="C2477" s="146"/>
      <c r="E2477" s="147"/>
      <c r="F2477" s="146"/>
      <c r="I2477" s="147"/>
      <c r="J2477" s="146"/>
      <c r="M2477" s="147"/>
      <c r="Q2477" s="146"/>
      <c r="T2477" s="146"/>
      <c r="V2477" s="147"/>
      <c r="W2477" s="146"/>
      <c r="Y2477" s="147"/>
    </row>
    <row r="2478" spans="3:25">
      <c r="C2478" s="146"/>
      <c r="E2478" s="147"/>
      <c r="F2478" s="146"/>
      <c r="I2478" s="147"/>
      <c r="J2478" s="146"/>
      <c r="M2478" s="147"/>
      <c r="Q2478" s="146"/>
      <c r="T2478" s="146"/>
      <c r="V2478" s="147"/>
      <c r="W2478" s="146"/>
      <c r="Y2478" s="147"/>
    </row>
    <row r="2479" spans="3:25">
      <c r="C2479" s="146"/>
      <c r="E2479" s="147"/>
      <c r="F2479" s="146"/>
      <c r="I2479" s="147"/>
      <c r="J2479" s="146"/>
      <c r="M2479" s="147"/>
      <c r="Q2479" s="146"/>
      <c r="T2479" s="146"/>
      <c r="V2479" s="147"/>
      <c r="W2479" s="146"/>
      <c r="Y2479" s="147"/>
    </row>
    <row r="2480" spans="3:25">
      <c r="C2480" s="146"/>
      <c r="E2480" s="147"/>
      <c r="F2480" s="146"/>
      <c r="I2480" s="147"/>
      <c r="J2480" s="146"/>
      <c r="M2480" s="147"/>
      <c r="Q2480" s="146"/>
      <c r="T2480" s="146"/>
      <c r="V2480" s="147"/>
      <c r="W2480" s="146"/>
      <c r="Y2480" s="147"/>
    </row>
    <row r="2481" spans="3:25">
      <c r="C2481" s="146"/>
      <c r="E2481" s="147"/>
      <c r="F2481" s="146"/>
      <c r="I2481" s="147"/>
      <c r="J2481" s="146"/>
      <c r="M2481" s="147"/>
      <c r="Q2481" s="146"/>
      <c r="T2481" s="146"/>
      <c r="V2481" s="147"/>
      <c r="W2481" s="146"/>
      <c r="Y2481" s="147"/>
    </row>
    <row r="2482" spans="3:25">
      <c r="C2482" s="146"/>
      <c r="E2482" s="147"/>
      <c r="F2482" s="146"/>
      <c r="I2482" s="147"/>
      <c r="J2482" s="146"/>
      <c r="M2482" s="147"/>
      <c r="Q2482" s="146"/>
      <c r="T2482" s="146"/>
      <c r="V2482" s="147"/>
      <c r="W2482" s="146"/>
      <c r="Y2482" s="147"/>
    </row>
    <row r="2483" spans="3:25">
      <c r="C2483" s="146"/>
      <c r="E2483" s="147"/>
      <c r="F2483" s="146"/>
      <c r="I2483" s="147"/>
      <c r="J2483" s="146"/>
      <c r="M2483" s="147"/>
      <c r="Q2483" s="146"/>
      <c r="T2483" s="146"/>
      <c r="V2483" s="147"/>
      <c r="W2483" s="146"/>
      <c r="Y2483" s="147"/>
    </row>
    <row r="2484" spans="3:25">
      <c r="C2484" s="146"/>
      <c r="E2484" s="147"/>
      <c r="F2484" s="146"/>
      <c r="I2484" s="147"/>
      <c r="J2484" s="146"/>
      <c r="M2484" s="147"/>
      <c r="Q2484" s="146"/>
      <c r="T2484" s="146"/>
      <c r="V2484" s="147"/>
      <c r="W2484" s="146"/>
      <c r="Y2484" s="147"/>
    </row>
    <row r="2485" spans="3:25">
      <c r="C2485" s="146"/>
      <c r="E2485" s="147"/>
      <c r="F2485" s="146"/>
      <c r="I2485" s="147"/>
      <c r="J2485" s="146"/>
      <c r="M2485" s="147"/>
      <c r="Q2485" s="146"/>
      <c r="T2485" s="146"/>
      <c r="V2485" s="147"/>
      <c r="W2485" s="146"/>
      <c r="Y2485" s="147"/>
    </row>
    <row r="2486" spans="3:25">
      <c r="C2486" s="146"/>
      <c r="E2486" s="147"/>
      <c r="F2486" s="146"/>
      <c r="I2486" s="147"/>
      <c r="J2486" s="146"/>
      <c r="M2486" s="147"/>
      <c r="Q2486" s="146"/>
      <c r="T2486" s="146"/>
      <c r="V2486" s="147"/>
      <c r="W2486" s="146"/>
      <c r="Y2486" s="147"/>
    </row>
    <row r="2487" spans="3:25">
      <c r="C2487" s="146"/>
      <c r="E2487" s="147"/>
      <c r="F2487" s="146"/>
      <c r="I2487" s="147"/>
      <c r="J2487" s="146"/>
      <c r="M2487" s="147"/>
      <c r="Q2487" s="146"/>
      <c r="T2487" s="146"/>
      <c r="V2487" s="147"/>
      <c r="W2487" s="146"/>
      <c r="Y2487" s="147"/>
    </row>
    <row r="2488" spans="3:25">
      <c r="C2488" s="146"/>
      <c r="E2488" s="147"/>
      <c r="F2488" s="146"/>
      <c r="I2488" s="147"/>
      <c r="J2488" s="146"/>
      <c r="M2488" s="147"/>
      <c r="Q2488" s="146"/>
      <c r="T2488" s="146"/>
      <c r="V2488" s="147"/>
      <c r="W2488" s="146"/>
      <c r="Y2488" s="147"/>
    </row>
    <row r="2489" spans="3:25">
      <c r="C2489" s="146"/>
      <c r="E2489" s="147"/>
      <c r="F2489" s="146"/>
      <c r="I2489" s="147"/>
      <c r="J2489" s="146"/>
      <c r="M2489" s="147"/>
      <c r="Q2489" s="146"/>
      <c r="T2489" s="146"/>
      <c r="V2489" s="147"/>
      <c r="W2489" s="146"/>
      <c r="Y2489" s="147"/>
    </row>
    <row r="2490" spans="3:25">
      <c r="C2490" s="146"/>
      <c r="E2490" s="147"/>
      <c r="F2490" s="146"/>
      <c r="I2490" s="147"/>
      <c r="J2490" s="146"/>
      <c r="M2490" s="147"/>
      <c r="Q2490" s="146"/>
      <c r="T2490" s="146"/>
      <c r="V2490" s="147"/>
      <c r="W2490" s="146"/>
      <c r="Y2490" s="147"/>
    </row>
    <row r="2491" spans="3:25">
      <c r="C2491" s="146"/>
      <c r="E2491" s="147"/>
      <c r="F2491" s="146"/>
      <c r="I2491" s="147"/>
      <c r="J2491" s="146"/>
      <c r="M2491" s="147"/>
      <c r="Q2491" s="146"/>
      <c r="T2491" s="146"/>
      <c r="V2491" s="147"/>
      <c r="W2491" s="146"/>
      <c r="Y2491" s="147"/>
    </row>
    <row r="2492" spans="3:25">
      <c r="C2492" s="146"/>
      <c r="E2492" s="147"/>
      <c r="F2492" s="146"/>
      <c r="I2492" s="147"/>
      <c r="J2492" s="146"/>
      <c r="M2492" s="147"/>
      <c r="Q2492" s="146"/>
      <c r="T2492" s="146"/>
      <c r="V2492" s="147"/>
      <c r="W2492" s="146"/>
      <c r="Y2492" s="147"/>
    </row>
    <row r="2493" spans="3:25">
      <c r="C2493" s="146"/>
      <c r="E2493" s="147"/>
      <c r="F2493" s="146"/>
      <c r="I2493" s="147"/>
      <c r="J2493" s="146"/>
      <c r="M2493" s="147"/>
      <c r="Q2493" s="146"/>
      <c r="T2493" s="146"/>
      <c r="V2493" s="147"/>
      <c r="W2493" s="146"/>
      <c r="Y2493" s="147"/>
    </row>
    <row r="2494" spans="3:25">
      <c r="C2494" s="146"/>
      <c r="E2494" s="147"/>
      <c r="F2494" s="146"/>
      <c r="I2494" s="147"/>
      <c r="J2494" s="146"/>
      <c r="M2494" s="147"/>
      <c r="Q2494" s="146"/>
      <c r="T2494" s="146"/>
      <c r="V2494" s="147"/>
      <c r="W2494" s="146"/>
      <c r="Y2494" s="147"/>
    </row>
    <row r="2495" spans="3:25">
      <c r="C2495" s="146"/>
      <c r="E2495" s="147"/>
      <c r="F2495" s="146"/>
      <c r="I2495" s="147"/>
      <c r="J2495" s="146"/>
      <c r="M2495" s="147"/>
      <c r="Q2495" s="146"/>
      <c r="T2495" s="146"/>
      <c r="V2495" s="147"/>
      <c r="W2495" s="146"/>
      <c r="Y2495" s="147"/>
    </row>
    <row r="2496" spans="3:25">
      <c r="C2496" s="146"/>
      <c r="E2496" s="147"/>
      <c r="F2496" s="146"/>
      <c r="I2496" s="147"/>
      <c r="J2496" s="146"/>
      <c r="M2496" s="147"/>
      <c r="Q2496" s="146"/>
      <c r="T2496" s="146"/>
      <c r="V2496" s="147"/>
      <c r="W2496" s="146"/>
      <c r="Y2496" s="147"/>
    </row>
    <row r="2497" spans="3:25">
      <c r="C2497" s="146"/>
      <c r="E2497" s="147"/>
      <c r="F2497" s="146"/>
      <c r="I2497" s="147"/>
      <c r="J2497" s="146"/>
      <c r="M2497" s="147"/>
      <c r="Q2497" s="146"/>
      <c r="T2497" s="146"/>
      <c r="V2497" s="147"/>
      <c r="W2497" s="146"/>
      <c r="Y2497" s="147"/>
    </row>
    <row r="2498" spans="3:25">
      <c r="C2498" s="146"/>
      <c r="E2498" s="147"/>
      <c r="F2498" s="146"/>
      <c r="I2498" s="147"/>
      <c r="J2498" s="146"/>
      <c r="M2498" s="147"/>
      <c r="Q2498" s="146"/>
      <c r="T2498" s="146"/>
      <c r="V2498" s="147"/>
      <c r="W2498" s="146"/>
      <c r="Y2498" s="147"/>
    </row>
    <row r="2499" spans="3:25">
      <c r="C2499" s="146"/>
      <c r="E2499" s="147"/>
      <c r="F2499" s="146"/>
      <c r="I2499" s="147"/>
      <c r="J2499" s="146"/>
      <c r="M2499" s="147"/>
      <c r="Q2499" s="146"/>
      <c r="T2499" s="146"/>
      <c r="V2499" s="147"/>
      <c r="W2499" s="146"/>
      <c r="Y2499" s="147"/>
    </row>
    <row r="2500" spans="3:25">
      <c r="C2500" s="146"/>
      <c r="E2500" s="147"/>
      <c r="F2500" s="146"/>
      <c r="I2500" s="147"/>
      <c r="J2500" s="146"/>
      <c r="M2500" s="147"/>
      <c r="Q2500" s="146"/>
      <c r="T2500" s="146"/>
      <c r="V2500" s="147"/>
      <c r="W2500" s="146"/>
      <c r="Y2500" s="147"/>
    </row>
    <row r="2501" spans="3:25">
      <c r="C2501" s="146"/>
      <c r="E2501" s="147"/>
      <c r="F2501" s="146"/>
      <c r="I2501" s="147"/>
      <c r="J2501" s="146"/>
      <c r="M2501" s="147"/>
      <c r="Q2501" s="146"/>
      <c r="T2501" s="146"/>
      <c r="V2501" s="147"/>
      <c r="W2501" s="146"/>
      <c r="Y2501" s="147"/>
    </row>
    <row r="2502" spans="3:25">
      <c r="C2502" s="146"/>
      <c r="E2502" s="147"/>
      <c r="F2502" s="146"/>
      <c r="I2502" s="147"/>
      <c r="J2502" s="146"/>
      <c r="M2502" s="147"/>
      <c r="Q2502" s="146"/>
      <c r="T2502" s="146"/>
      <c r="V2502" s="147"/>
      <c r="W2502" s="146"/>
      <c r="Y2502" s="147"/>
    </row>
    <row r="2503" spans="3:25">
      <c r="C2503" s="146"/>
      <c r="E2503" s="147"/>
      <c r="F2503" s="146"/>
      <c r="I2503" s="147"/>
      <c r="J2503" s="146"/>
      <c r="M2503" s="147"/>
      <c r="Q2503" s="146"/>
      <c r="T2503" s="146"/>
      <c r="V2503" s="147"/>
      <c r="W2503" s="146"/>
      <c r="Y2503" s="147"/>
    </row>
    <row r="2504" spans="3:25">
      <c r="C2504" s="146"/>
      <c r="E2504" s="147"/>
      <c r="F2504" s="146"/>
      <c r="I2504" s="147"/>
      <c r="J2504" s="146"/>
      <c r="M2504" s="147"/>
      <c r="Q2504" s="146"/>
      <c r="T2504" s="146"/>
      <c r="V2504" s="147"/>
      <c r="W2504" s="146"/>
      <c r="Y2504" s="147"/>
    </row>
    <row r="2505" spans="3:25">
      <c r="C2505" s="146"/>
      <c r="E2505" s="147"/>
      <c r="F2505" s="146"/>
      <c r="I2505" s="147"/>
      <c r="J2505" s="146"/>
      <c r="M2505" s="147"/>
      <c r="Q2505" s="146"/>
      <c r="T2505" s="146"/>
      <c r="V2505" s="147"/>
      <c r="W2505" s="146"/>
      <c r="Y2505" s="147"/>
    </row>
    <row r="2506" spans="3:25">
      <c r="C2506" s="146"/>
      <c r="E2506" s="147"/>
      <c r="F2506" s="146"/>
      <c r="I2506" s="147"/>
      <c r="J2506" s="146"/>
      <c r="M2506" s="147"/>
      <c r="Q2506" s="146"/>
      <c r="T2506" s="146"/>
      <c r="V2506" s="147"/>
      <c r="W2506" s="146"/>
      <c r="Y2506" s="147"/>
    </row>
    <row r="2507" spans="3:25">
      <c r="C2507" s="146"/>
      <c r="E2507" s="147"/>
      <c r="F2507" s="146"/>
      <c r="I2507" s="147"/>
      <c r="J2507" s="146"/>
      <c r="M2507" s="147"/>
      <c r="Q2507" s="146"/>
      <c r="T2507" s="146"/>
      <c r="V2507" s="147"/>
      <c r="W2507" s="146"/>
      <c r="Y2507" s="147"/>
    </row>
    <row r="2508" spans="3:25">
      <c r="C2508" s="146"/>
      <c r="E2508" s="147"/>
      <c r="F2508" s="146"/>
      <c r="I2508" s="147"/>
      <c r="J2508" s="146"/>
      <c r="M2508" s="147"/>
      <c r="Q2508" s="146"/>
      <c r="T2508" s="146"/>
      <c r="V2508" s="147"/>
      <c r="W2508" s="146"/>
      <c r="Y2508" s="147"/>
    </row>
    <row r="2509" spans="3:25">
      <c r="C2509" s="146"/>
      <c r="E2509" s="147"/>
      <c r="F2509" s="146"/>
      <c r="I2509" s="147"/>
      <c r="J2509" s="146"/>
      <c r="M2509" s="147"/>
      <c r="Q2509" s="146"/>
      <c r="T2509" s="146"/>
      <c r="V2509" s="147"/>
      <c r="W2509" s="146"/>
      <c r="Y2509" s="147"/>
    </row>
    <row r="2510" spans="3:25">
      <c r="C2510" s="146"/>
      <c r="E2510" s="147"/>
      <c r="F2510" s="146"/>
      <c r="I2510" s="147"/>
      <c r="J2510" s="146"/>
      <c r="M2510" s="147"/>
      <c r="Q2510" s="146"/>
      <c r="T2510" s="146"/>
      <c r="V2510" s="147"/>
      <c r="W2510" s="146"/>
      <c r="Y2510" s="147"/>
    </row>
    <row r="2511" spans="3:25">
      <c r="C2511" s="146"/>
      <c r="E2511" s="147"/>
      <c r="F2511" s="146"/>
      <c r="I2511" s="147"/>
      <c r="J2511" s="146"/>
      <c r="M2511" s="147"/>
      <c r="Q2511" s="146"/>
      <c r="T2511" s="146"/>
      <c r="V2511" s="147"/>
      <c r="W2511" s="146"/>
      <c r="Y2511" s="147"/>
    </row>
    <row r="2512" spans="3:25">
      <c r="C2512" s="146"/>
      <c r="E2512" s="147"/>
      <c r="F2512" s="146"/>
      <c r="I2512" s="147"/>
      <c r="J2512" s="146"/>
      <c r="M2512" s="147"/>
      <c r="Q2512" s="146"/>
      <c r="T2512" s="146"/>
      <c r="V2512" s="147"/>
      <c r="W2512" s="146"/>
      <c r="Y2512" s="147"/>
    </row>
    <row r="2513" spans="3:25">
      <c r="C2513" s="146"/>
      <c r="E2513" s="147"/>
      <c r="F2513" s="146"/>
      <c r="I2513" s="147"/>
      <c r="J2513" s="146"/>
      <c r="M2513" s="147"/>
      <c r="Q2513" s="146"/>
      <c r="T2513" s="146"/>
      <c r="V2513" s="147"/>
      <c r="W2513" s="146"/>
      <c r="Y2513" s="147"/>
    </row>
    <row r="2514" spans="3:25">
      <c r="C2514" s="146"/>
      <c r="E2514" s="147"/>
      <c r="F2514" s="146"/>
      <c r="I2514" s="147"/>
      <c r="J2514" s="146"/>
      <c r="M2514" s="147"/>
      <c r="Q2514" s="146"/>
      <c r="T2514" s="146"/>
      <c r="V2514" s="147"/>
      <c r="W2514" s="146"/>
      <c r="Y2514" s="147"/>
    </row>
    <row r="2515" spans="3:25">
      <c r="C2515" s="146"/>
      <c r="E2515" s="147"/>
      <c r="F2515" s="146"/>
      <c r="I2515" s="147"/>
      <c r="J2515" s="146"/>
      <c r="M2515" s="147"/>
      <c r="Q2515" s="146"/>
      <c r="T2515" s="146"/>
      <c r="V2515" s="147"/>
      <c r="W2515" s="146"/>
      <c r="Y2515" s="147"/>
    </row>
    <row r="2516" spans="3:25">
      <c r="C2516" s="146"/>
      <c r="E2516" s="147"/>
      <c r="F2516" s="146"/>
      <c r="I2516" s="147"/>
      <c r="J2516" s="146"/>
      <c r="M2516" s="147"/>
      <c r="Q2516" s="146"/>
      <c r="T2516" s="146"/>
      <c r="V2516" s="147"/>
      <c r="W2516" s="146"/>
      <c r="Y2516" s="147"/>
    </row>
    <row r="2517" spans="3:25">
      <c r="C2517" s="146"/>
      <c r="E2517" s="147"/>
      <c r="F2517" s="146"/>
      <c r="I2517" s="147"/>
      <c r="J2517" s="146"/>
      <c r="M2517" s="147"/>
      <c r="Q2517" s="146"/>
      <c r="T2517" s="146"/>
      <c r="V2517" s="147"/>
      <c r="W2517" s="146"/>
      <c r="Y2517" s="147"/>
    </row>
    <row r="2518" spans="3:25">
      <c r="C2518" s="146"/>
      <c r="E2518" s="147"/>
      <c r="F2518" s="146"/>
      <c r="I2518" s="147"/>
      <c r="J2518" s="146"/>
      <c r="M2518" s="147"/>
      <c r="Q2518" s="146"/>
      <c r="T2518" s="146"/>
      <c r="V2518" s="147"/>
      <c r="W2518" s="146"/>
      <c r="Y2518" s="147"/>
    </row>
    <row r="2519" spans="3:25">
      <c r="C2519" s="146"/>
      <c r="E2519" s="147"/>
      <c r="F2519" s="146"/>
      <c r="I2519" s="147"/>
      <c r="J2519" s="146"/>
      <c r="M2519" s="147"/>
      <c r="Q2519" s="146"/>
      <c r="T2519" s="146"/>
      <c r="V2519" s="147"/>
      <c r="W2519" s="146"/>
      <c r="Y2519" s="147"/>
    </row>
    <row r="2520" spans="3:25">
      <c r="C2520" s="146"/>
      <c r="E2520" s="147"/>
      <c r="F2520" s="146"/>
      <c r="I2520" s="147"/>
      <c r="J2520" s="146"/>
      <c r="M2520" s="147"/>
      <c r="Q2520" s="146"/>
      <c r="T2520" s="146"/>
      <c r="V2520" s="147"/>
      <c r="W2520" s="146"/>
      <c r="Y2520" s="147"/>
    </row>
    <row r="2521" spans="3:25">
      <c r="C2521" s="146"/>
      <c r="E2521" s="147"/>
      <c r="F2521" s="146"/>
      <c r="I2521" s="147"/>
      <c r="J2521" s="146"/>
      <c r="M2521" s="147"/>
      <c r="Q2521" s="146"/>
      <c r="T2521" s="146"/>
      <c r="V2521" s="147"/>
      <c r="W2521" s="146"/>
      <c r="Y2521" s="147"/>
    </row>
    <row r="2522" spans="3:25">
      <c r="C2522" s="146"/>
      <c r="E2522" s="147"/>
      <c r="F2522" s="146"/>
      <c r="I2522" s="147"/>
      <c r="J2522" s="146"/>
      <c r="M2522" s="147"/>
      <c r="Q2522" s="146"/>
      <c r="T2522" s="146"/>
      <c r="V2522" s="147"/>
      <c r="W2522" s="146"/>
      <c r="Y2522" s="147"/>
    </row>
    <row r="2523" spans="3:25">
      <c r="C2523" s="146"/>
      <c r="E2523" s="147"/>
      <c r="F2523" s="146"/>
      <c r="I2523" s="147"/>
      <c r="J2523" s="146"/>
      <c r="M2523" s="147"/>
      <c r="Q2523" s="146"/>
      <c r="T2523" s="146"/>
      <c r="V2523" s="147"/>
      <c r="W2523" s="146"/>
      <c r="Y2523" s="147"/>
    </row>
    <row r="2524" spans="3:25">
      <c r="C2524" s="146"/>
      <c r="E2524" s="147"/>
      <c r="F2524" s="146"/>
      <c r="I2524" s="147"/>
      <c r="J2524" s="146"/>
      <c r="M2524" s="147"/>
      <c r="Q2524" s="146"/>
      <c r="T2524" s="146"/>
      <c r="V2524" s="147"/>
      <c r="W2524" s="146"/>
      <c r="Y2524" s="147"/>
    </row>
    <row r="2525" spans="3:25">
      <c r="C2525" s="146"/>
      <c r="E2525" s="147"/>
      <c r="F2525" s="146"/>
      <c r="I2525" s="147"/>
      <c r="J2525" s="146"/>
      <c r="M2525" s="147"/>
      <c r="Q2525" s="146"/>
      <c r="T2525" s="146"/>
      <c r="V2525" s="147"/>
      <c r="W2525" s="146"/>
      <c r="Y2525" s="147"/>
    </row>
    <row r="2526" spans="3:25">
      <c r="C2526" s="146"/>
      <c r="E2526" s="147"/>
      <c r="F2526" s="146"/>
      <c r="I2526" s="147"/>
      <c r="J2526" s="146"/>
      <c r="M2526" s="147"/>
      <c r="Q2526" s="146"/>
      <c r="T2526" s="146"/>
      <c r="V2526" s="147"/>
      <c r="W2526" s="146"/>
      <c r="Y2526" s="147"/>
    </row>
    <row r="2527" spans="3:25">
      <c r="C2527" s="146"/>
      <c r="E2527" s="147"/>
      <c r="F2527" s="146"/>
      <c r="I2527" s="147"/>
      <c r="J2527" s="146"/>
      <c r="M2527" s="147"/>
      <c r="Q2527" s="146"/>
      <c r="T2527" s="146"/>
      <c r="V2527" s="147"/>
      <c r="W2527" s="146"/>
      <c r="Y2527" s="147"/>
    </row>
    <row r="2528" spans="3:25">
      <c r="C2528" s="146"/>
      <c r="E2528" s="147"/>
      <c r="F2528" s="146"/>
      <c r="I2528" s="147"/>
      <c r="J2528" s="146"/>
      <c r="M2528" s="147"/>
      <c r="Q2528" s="146"/>
      <c r="T2528" s="146"/>
      <c r="V2528" s="147"/>
      <c r="W2528" s="146"/>
      <c r="Y2528" s="147"/>
    </row>
    <row r="2529" spans="3:25">
      <c r="C2529" s="146"/>
      <c r="E2529" s="147"/>
      <c r="F2529" s="146"/>
      <c r="I2529" s="147"/>
      <c r="J2529" s="146"/>
      <c r="M2529" s="147"/>
      <c r="Q2529" s="146"/>
      <c r="T2529" s="146"/>
      <c r="V2529" s="147"/>
      <c r="W2529" s="146"/>
      <c r="Y2529" s="147"/>
    </row>
    <row r="2530" spans="3:25">
      <c r="C2530" s="146"/>
      <c r="E2530" s="147"/>
      <c r="F2530" s="146"/>
      <c r="I2530" s="147"/>
      <c r="J2530" s="146"/>
      <c r="M2530" s="147"/>
      <c r="Q2530" s="146"/>
      <c r="T2530" s="146"/>
      <c r="V2530" s="147"/>
      <c r="W2530" s="146"/>
      <c r="Y2530" s="147"/>
    </row>
    <row r="2531" spans="3:25">
      <c r="C2531" s="146"/>
      <c r="E2531" s="147"/>
      <c r="F2531" s="146"/>
      <c r="I2531" s="147"/>
      <c r="J2531" s="146"/>
      <c r="M2531" s="147"/>
      <c r="Q2531" s="146"/>
      <c r="T2531" s="146"/>
      <c r="V2531" s="147"/>
      <c r="W2531" s="146"/>
      <c r="Y2531" s="147"/>
    </row>
    <row r="2532" spans="3:25">
      <c r="C2532" s="146"/>
      <c r="E2532" s="147"/>
      <c r="F2532" s="146"/>
      <c r="I2532" s="147"/>
      <c r="J2532" s="146"/>
      <c r="M2532" s="147"/>
      <c r="Q2532" s="146"/>
      <c r="T2532" s="146"/>
      <c r="V2532" s="147"/>
      <c r="W2532" s="146"/>
      <c r="Y2532" s="147"/>
    </row>
    <row r="2533" spans="3:25">
      <c r="C2533" s="146"/>
      <c r="E2533" s="147"/>
      <c r="F2533" s="146"/>
      <c r="I2533" s="147"/>
      <c r="J2533" s="146"/>
      <c r="M2533" s="147"/>
      <c r="Q2533" s="146"/>
      <c r="T2533" s="146"/>
      <c r="V2533" s="147"/>
      <c r="W2533" s="146"/>
      <c r="Y2533" s="147"/>
    </row>
    <row r="2534" spans="3:25">
      <c r="C2534" s="146"/>
      <c r="E2534" s="147"/>
      <c r="F2534" s="146"/>
      <c r="I2534" s="147"/>
      <c r="J2534" s="146"/>
      <c r="M2534" s="147"/>
      <c r="Q2534" s="146"/>
      <c r="T2534" s="146"/>
      <c r="V2534" s="147"/>
      <c r="W2534" s="146"/>
      <c r="Y2534" s="147"/>
    </row>
    <row r="2535" spans="3:25">
      <c r="C2535" s="146"/>
      <c r="E2535" s="147"/>
      <c r="F2535" s="146"/>
      <c r="I2535" s="147"/>
      <c r="J2535" s="146"/>
      <c r="M2535" s="147"/>
      <c r="Q2535" s="146"/>
      <c r="T2535" s="146"/>
      <c r="V2535" s="147"/>
      <c r="W2535" s="146"/>
      <c r="Y2535" s="147"/>
    </row>
    <row r="2536" spans="3:25">
      <c r="C2536" s="146"/>
      <c r="E2536" s="147"/>
      <c r="F2536" s="146"/>
      <c r="I2536" s="147"/>
      <c r="J2536" s="146"/>
      <c r="M2536" s="147"/>
      <c r="Q2536" s="146"/>
      <c r="T2536" s="146"/>
      <c r="V2536" s="147"/>
      <c r="W2536" s="146"/>
      <c r="Y2536" s="147"/>
    </row>
    <row r="2537" spans="3:25">
      <c r="C2537" s="146"/>
      <c r="E2537" s="147"/>
      <c r="F2537" s="146"/>
      <c r="I2537" s="147"/>
      <c r="J2537" s="146"/>
      <c r="M2537" s="147"/>
      <c r="Q2537" s="146"/>
      <c r="T2537" s="146"/>
      <c r="V2537" s="147"/>
      <c r="W2537" s="146"/>
      <c r="Y2537" s="147"/>
    </row>
    <row r="2538" spans="3:25">
      <c r="C2538" s="146"/>
      <c r="E2538" s="147"/>
      <c r="F2538" s="146"/>
      <c r="I2538" s="147"/>
      <c r="J2538" s="146"/>
      <c r="M2538" s="147"/>
      <c r="Q2538" s="146"/>
      <c r="T2538" s="146"/>
      <c r="V2538" s="147"/>
      <c r="W2538" s="146"/>
      <c r="Y2538" s="147"/>
    </row>
    <row r="2539" spans="3:25">
      <c r="C2539" s="146"/>
      <c r="E2539" s="147"/>
      <c r="F2539" s="146"/>
      <c r="I2539" s="147"/>
      <c r="J2539" s="146"/>
      <c r="M2539" s="147"/>
      <c r="Q2539" s="146"/>
      <c r="T2539" s="146"/>
      <c r="V2539" s="147"/>
      <c r="W2539" s="146"/>
      <c r="Y2539" s="147"/>
    </row>
    <row r="2540" spans="3:25">
      <c r="C2540" s="146"/>
      <c r="E2540" s="147"/>
      <c r="F2540" s="146"/>
      <c r="I2540" s="147"/>
      <c r="J2540" s="146"/>
      <c r="M2540" s="147"/>
      <c r="Q2540" s="146"/>
      <c r="T2540" s="146"/>
      <c r="V2540" s="147"/>
      <c r="W2540" s="146"/>
      <c r="Y2540" s="147"/>
    </row>
    <row r="2541" spans="3:25">
      <c r="C2541" s="146"/>
      <c r="E2541" s="147"/>
      <c r="F2541" s="146"/>
      <c r="I2541" s="147"/>
      <c r="J2541" s="146"/>
      <c r="M2541" s="147"/>
      <c r="Q2541" s="146"/>
      <c r="T2541" s="146"/>
      <c r="V2541" s="147"/>
      <c r="W2541" s="146"/>
      <c r="Y2541" s="147"/>
    </row>
    <row r="2542" spans="3:25">
      <c r="C2542" s="146"/>
      <c r="E2542" s="147"/>
      <c r="F2542" s="146"/>
      <c r="I2542" s="147"/>
      <c r="J2542" s="146"/>
      <c r="M2542" s="147"/>
      <c r="Q2542" s="146"/>
      <c r="T2542" s="146"/>
      <c r="V2542" s="147"/>
      <c r="W2542" s="146"/>
      <c r="Y2542" s="147"/>
    </row>
    <row r="2543" spans="3:25">
      <c r="C2543" s="146"/>
      <c r="E2543" s="147"/>
      <c r="F2543" s="146"/>
      <c r="I2543" s="147"/>
      <c r="J2543" s="146"/>
      <c r="M2543" s="147"/>
      <c r="Q2543" s="146"/>
      <c r="T2543" s="146"/>
      <c r="V2543" s="147"/>
      <c r="W2543" s="146"/>
      <c r="Y2543" s="147"/>
    </row>
    <row r="2544" spans="3:25">
      <c r="C2544" s="146"/>
      <c r="E2544" s="147"/>
      <c r="F2544" s="146"/>
      <c r="I2544" s="147"/>
      <c r="J2544" s="146"/>
      <c r="M2544" s="147"/>
      <c r="Q2544" s="146"/>
      <c r="T2544" s="146"/>
      <c r="V2544" s="147"/>
      <c r="W2544" s="146"/>
      <c r="Y2544" s="147"/>
    </row>
    <row r="2545" spans="3:25">
      <c r="C2545" s="146"/>
      <c r="E2545" s="147"/>
      <c r="F2545" s="146"/>
      <c r="I2545" s="147"/>
      <c r="J2545" s="146"/>
      <c r="M2545" s="147"/>
      <c r="Q2545" s="146"/>
      <c r="T2545" s="146"/>
      <c r="V2545" s="147"/>
      <c r="W2545" s="146"/>
      <c r="Y2545" s="147"/>
    </row>
    <row r="2546" spans="3:25">
      <c r="C2546" s="146"/>
      <c r="E2546" s="147"/>
      <c r="F2546" s="146"/>
      <c r="I2546" s="147"/>
      <c r="J2546" s="146"/>
      <c r="M2546" s="147"/>
      <c r="Q2546" s="146"/>
      <c r="T2546" s="146"/>
      <c r="V2546" s="147"/>
      <c r="W2546" s="146"/>
      <c r="Y2546" s="147"/>
    </row>
    <row r="2547" spans="3:25">
      <c r="C2547" s="146"/>
      <c r="E2547" s="147"/>
      <c r="F2547" s="146"/>
      <c r="I2547" s="147"/>
      <c r="J2547" s="146"/>
      <c r="M2547" s="147"/>
      <c r="Q2547" s="146"/>
      <c r="T2547" s="146"/>
      <c r="V2547" s="147"/>
      <c r="W2547" s="146"/>
      <c r="Y2547" s="147"/>
    </row>
    <row r="2548" spans="3:25">
      <c r="C2548" s="146"/>
      <c r="E2548" s="147"/>
      <c r="F2548" s="146"/>
      <c r="I2548" s="147"/>
      <c r="J2548" s="146"/>
      <c r="M2548" s="147"/>
      <c r="Q2548" s="146"/>
      <c r="T2548" s="146"/>
      <c r="V2548" s="147"/>
      <c r="W2548" s="146"/>
      <c r="Y2548" s="147"/>
    </row>
    <row r="2549" spans="3:25">
      <c r="C2549" s="146"/>
      <c r="E2549" s="147"/>
      <c r="F2549" s="146"/>
      <c r="I2549" s="147"/>
      <c r="J2549" s="146"/>
      <c r="M2549" s="147"/>
      <c r="Q2549" s="146"/>
      <c r="T2549" s="146"/>
      <c r="V2549" s="147"/>
      <c r="W2549" s="146"/>
      <c r="Y2549" s="147"/>
    </row>
    <row r="2550" spans="3:25">
      <c r="C2550" s="146"/>
      <c r="E2550" s="147"/>
      <c r="F2550" s="146"/>
      <c r="I2550" s="147"/>
      <c r="J2550" s="146"/>
      <c r="M2550" s="147"/>
      <c r="Q2550" s="146"/>
      <c r="T2550" s="146"/>
      <c r="V2550" s="147"/>
      <c r="W2550" s="146"/>
      <c r="Y2550" s="147"/>
    </row>
    <row r="2551" spans="3:25">
      <c r="C2551" s="146"/>
      <c r="E2551" s="147"/>
      <c r="F2551" s="146"/>
      <c r="I2551" s="147"/>
      <c r="J2551" s="146"/>
      <c r="M2551" s="147"/>
      <c r="Q2551" s="146"/>
      <c r="T2551" s="146"/>
      <c r="V2551" s="147"/>
      <c r="W2551" s="146"/>
      <c r="Y2551" s="147"/>
    </row>
    <row r="2552" spans="3:25">
      <c r="C2552" s="146"/>
      <c r="E2552" s="147"/>
      <c r="F2552" s="146"/>
      <c r="I2552" s="147"/>
      <c r="J2552" s="146"/>
      <c r="M2552" s="147"/>
      <c r="Q2552" s="146"/>
      <c r="T2552" s="146"/>
      <c r="V2552" s="147"/>
      <c r="W2552" s="146"/>
      <c r="Y2552" s="147"/>
    </row>
    <row r="2553" spans="3:25">
      <c r="C2553" s="146"/>
      <c r="E2553" s="147"/>
      <c r="F2553" s="146"/>
      <c r="I2553" s="147"/>
      <c r="J2553" s="146"/>
      <c r="M2553" s="147"/>
      <c r="Q2553" s="146"/>
      <c r="T2553" s="146"/>
      <c r="V2553" s="147"/>
      <c r="W2553" s="146"/>
      <c r="Y2553" s="147"/>
    </row>
    <row r="2554" spans="3:25">
      <c r="C2554" s="146"/>
      <c r="E2554" s="147"/>
      <c r="F2554" s="146"/>
      <c r="I2554" s="147"/>
      <c r="J2554" s="146"/>
      <c r="M2554" s="147"/>
      <c r="Q2554" s="146"/>
      <c r="T2554" s="146"/>
      <c r="V2554" s="147"/>
      <c r="W2554" s="146"/>
      <c r="Y2554" s="147"/>
    </row>
    <row r="2555" spans="3:25">
      <c r="C2555" s="146"/>
      <c r="E2555" s="147"/>
      <c r="F2555" s="146"/>
      <c r="I2555" s="147"/>
      <c r="J2555" s="146"/>
      <c r="M2555" s="147"/>
      <c r="Q2555" s="146"/>
      <c r="T2555" s="146"/>
      <c r="V2555" s="147"/>
      <c r="W2555" s="146"/>
      <c r="Y2555" s="147"/>
    </row>
    <row r="2556" spans="3:25">
      <c r="C2556" s="146"/>
      <c r="E2556" s="147"/>
      <c r="F2556" s="146"/>
      <c r="I2556" s="147"/>
      <c r="J2556" s="146"/>
      <c r="M2556" s="147"/>
      <c r="Q2556" s="146"/>
      <c r="T2556" s="146"/>
      <c r="V2556" s="147"/>
      <c r="W2556" s="146"/>
      <c r="Y2556" s="147"/>
    </row>
    <row r="2557" spans="3:25">
      <c r="C2557" s="146"/>
      <c r="E2557" s="147"/>
      <c r="F2557" s="146"/>
      <c r="I2557" s="147"/>
      <c r="J2557" s="146"/>
      <c r="M2557" s="147"/>
      <c r="Q2557" s="146"/>
      <c r="T2557" s="146"/>
      <c r="V2557" s="147"/>
      <c r="W2557" s="146"/>
      <c r="Y2557" s="147"/>
    </row>
    <row r="2558" spans="3:25">
      <c r="C2558" s="146"/>
      <c r="E2558" s="147"/>
      <c r="F2558" s="146"/>
      <c r="I2558" s="147"/>
      <c r="J2558" s="146"/>
      <c r="M2558" s="147"/>
      <c r="Q2558" s="146"/>
      <c r="T2558" s="146"/>
      <c r="V2558" s="147"/>
      <c r="W2558" s="146"/>
      <c r="Y2558" s="147"/>
    </row>
    <row r="2559" spans="3:25">
      <c r="C2559" s="146"/>
      <c r="E2559" s="147"/>
      <c r="F2559" s="146"/>
      <c r="I2559" s="147"/>
      <c r="J2559" s="146"/>
      <c r="M2559" s="147"/>
      <c r="Q2559" s="146"/>
      <c r="T2559" s="146"/>
      <c r="V2559" s="147"/>
      <c r="W2559" s="146"/>
      <c r="Y2559" s="147"/>
    </row>
    <row r="2560" spans="3:25">
      <c r="C2560" s="146"/>
      <c r="E2560" s="147"/>
      <c r="F2560" s="146"/>
      <c r="I2560" s="147"/>
      <c r="J2560" s="146"/>
      <c r="M2560" s="147"/>
      <c r="Q2560" s="146"/>
      <c r="T2560" s="146"/>
      <c r="V2560" s="147"/>
      <c r="W2560" s="146"/>
      <c r="Y2560" s="147"/>
    </row>
    <row r="2561" spans="3:25">
      <c r="C2561" s="146"/>
      <c r="E2561" s="147"/>
      <c r="F2561" s="146"/>
      <c r="I2561" s="147"/>
      <c r="J2561" s="146"/>
      <c r="M2561" s="147"/>
      <c r="Q2561" s="146"/>
      <c r="T2561" s="146"/>
      <c r="V2561" s="147"/>
      <c r="W2561" s="146"/>
      <c r="Y2561" s="147"/>
    </row>
    <row r="2562" spans="3:25">
      <c r="C2562" s="146"/>
      <c r="E2562" s="147"/>
      <c r="F2562" s="146"/>
      <c r="I2562" s="147"/>
      <c r="J2562" s="146"/>
      <c r="M2562" s="147"/>
      <c r="Q2562" s="146"/>
      <c r="T2562" s="146"/>
      <c r="V2562" s="147"/>
      <c r="W2562" s="146"/>
      <c r="Y2562" s="147"/>
    </row>
    <row r="2563" spans="3:25">
      <c r="C2563" s="146"/>
      <c r="E2563" s="147"/>
      <c r="F2563" s="146"/>
      <c r="I2563" s="147"/>
      <c r="J2563" s="146"/>
      <c r="M2563" s="147"/>
      <c r="Q2563" s="146"/>
      <c r="T2563" s="146"/>
      <c r="V2563" s="147"/>
      <c r="W2563" s="146"/>
      <c r="Y2563" s="147"/>
    </row>
    <row r="2564" spans="3:25">
      <c r="C2564" s="146"/>
      <c r="E2564" s="147"/>
      <c r="F2564" s="146"/>
      <c r="I2564" s="147"/>
      <c r="J2564" s="146"/>
      <c r="M2564" s="147"/>
      <c r="Q2564" s="146"/>
      <c r="T2564" s="146"/>
      <c r="V2564" s="147"/>
      <c r="W2564" s="146"/>
      <c r="Y2564" s="147"/>
    </row>
    <row r="2565" spans="3:25">
      <c r="C2565" s="146"/>
      <c r="E2565" s="147"/>
      <c r="F2565" s="146"/>
      <c r="I2565" s="147"/>
      <c r="J2565" s="146"/>
      <c r="M2565" s="147"/>
      <c r="Q2565" s="146"/>
      <c r="T2565" s="146"/>
      <c r="V2565" s="147"/>
      <c r="W2565" s="146"/>
      <c r="Y2565" s="147"/>
    </row>
    <row r="2566" spans="3:25">
      <c r="C2566" s="146"/>
      <c r="E2566" s="147"/>
      <c r="F2566" s="146"/>
      <c r="I2566" s="147"/>
      <c r="J2566" s="146"/>
      <c r="M2566" s="147"/>
      <c r="Q2566" s="146"/>
      <c r="T2566" s="146"/>
      <c r="V2566" s="147"/>
      <c r="W2566" s="146"/>
      <c r="Y2566" s="147"/>
    </row>
    <row r="2567" spans="3:25">
      <c r="C2567" s="146"/>
      <c r="E2567" s="147"/>
      <c r="F2567" s="146"/>
      <c r="I2567" s="147"/>
      <c r="J2567" s="146"/>
      <c r="M2567" s="147"/>
      <c r="Q2567" s="146"/>
      <c r="T2567" s="146"/>
      <c r="V2567" s="147"/>
      <c r="W2567" s="146"/>
      <c r="Y2567" s="147"/>
    </row>
    <row r="2568" spans="3:25">
      <c r="C2568" s="146"/>
      <c r="E2568" s="147"/>
      <c r="F2568" s="146"/>
      <c r="I2568" s="147"/>
      <c r="J2568" s="146"/>
      <c r="M2568" s="147"/>
      <c r="Q2568" s="146"/>
      <c r="T2568" s="146"/>
      <c r="V2568" s="147"/>
      <c r="W2568" s="146"/>
      <c r="Y2568" s="147"/>
    </row>
    <row r="2569" spans="3:25">
      <c r="C2569" s="146"/>
      <c r="E2569" s="147"/>
      <c r="F2569" s="146"/>
      <c r="I2569" s="147"/>
      <c r="J2569" s="146"/>
      <c r="M2569" s="147"/>
      <c r="Q2569" s="146"/>
      <c r="T2569" s="146"/>
      <c r="V2569" s="147"/>
      <c r="W2569" s="146"/>
      <c r="Y2569" s="147"/>
    </row>
    <row r="2570" spans="3:25">
      <c r="C2570" s="146"/>
      <c r="E2570" s="147"/>
      <c r="F2570" s="146"/>
      <c r="I2570" s="147"/>
      <c r="J2570" s="146"/>
      <c r="M2570" s="147"/>
      <c r="Q2570" s="146"/>
      <c r="T2570" s="146"/>
      <c r="V2570" s="147"/>
      <c r="W2570" s="146"/>
      <c r="Y2570" s="147"/>
    </row>
    <row r="2571" spans="3:25">
      <c r="C2571" s="146"/>
      <c r="E2571" s="147"/>
      <c r="F2571" s="146"/>
      <c r="I2571" s="147"/>
      <c r="J2571" s="146"/>
      <c r="M2571" s="147"/>
      <c r="Q2571" s="146"/>
      <c r="T2571" s="146"/>
      <c r="V2571" s="147"/>
      <c r="W2571" s="146"/>
      <c r="Y2571" s="147"/>
    </row>
    <row r="2572" spans="3:25">
      <c r="C2572" s="146"/>
      <c r="E2572" s="147"/>
      <c r="F2572" s="146"/>
      <c r="I2572" s="147"/>
      <c r="J2572" s="146"/>
      <c r="M2572" s="147"/>
      <c r="Q2572" s="146"/>
      <c r="T2572" s="146"/>
      <c r="V2572" s="147"/>
      <c r="W2572" s="146"/>
      <c r="Y2572" s="147"/>
    </row>
    <row r="2573" spans="3:25">
      <c r="C2573" s="146"/>
      <c r="E2573" s="147"/>
      <c r="F2573" s="146"/>
      <c r="I2573" s="147"/>
      <c r="J2573" s="146"/>
      <c r="M2573" s="147"/>
      <c r="Q2573" s="146"/>
      <c r="T2573" s="146"/>
      <c r="V2573" s="147"/>
      <c r="W2573" s="146"/>
      <c r="Y2573" s="147"/>
    </row>
    <row r="2574" spans="3:25">
      <c r="C2574" s="146"/>
      <c r="E2574" s="147"/>
      <c r="F2574" s="146"/>
      <c r="I2574" s="147"/>
      <c r="J2574" s="146"/>
      <c r="M2574" s="147"/>
      <c r="Q2574" s="146"/>
      <c r="T2574" s="146"/>
      <c r="V2574" s="147"/>
      <c r="W2574" s="146"/>
      <c r="Y2574" s="147"/>
    </row>
    <row r="2575" spans="3:25">
      <c r="C2575" s="146"/>
      <c r="E2575" s="147"/>
      <c r="F2575" s="146"/>
      <c r="I2575" s="147"/>
      <c r="J2575" s="146"/>
      <c r="M2575" s="147"/>
      <c r="Q2575" s="146"/>
      <c r="T2575" s="146"/>
      <c r="V2575" s="147"/>
      <c r="W2575" s="146"/>
      <c r="Y2575" s="147"/>
    </row>
    <row r="2576" spans="3:25">
      <c r="C2576" s="146"/>
      <c r="E2576" s="147"/>
      <c r="F2576" s="146"/>
      <c r="I2576" s="147"/>
      <c r="J2576" s="146"/>
      <c r="M2576" s="147"/>
      <c r="Q2576" s="146"/>
      <c r="T2576" s="146"/>
      <c r="V2576" s="147"/>
      <c r="W2576" s="146"/>
      <c r="Y2576" s="147"/>
    </row>
    <row r="2577" spans="3:25">
      <c r="C2577" s="146"/>
      <c r="E2577" s="147"/>
      <c r="F2577" s="146"/>
      <c r="I2577" s="147"/>
      <c r="J2577" s="146"/>
      <c r="M2577" s="147"/>
      <c r="Q2577" s="146"/>
      <c r="T2577" s="146"/>
      <c r="V2577" s="147"/>
      <c r="W2577" s="146"/>
      <c r="Y2577" s="147"/>
    </row>
    <row r="2578" spans="3:25">
      <c r="C2578" s="146"/>
      <c r="E2578" s="147"/>
      <c r="F2578" s="146"/>
      <c r="I2578" s="147"/>
      <c r="J2578" s="146"/>
      <c r="M2578" s="147"/>
      <c r="Q2578" s="146"/>
      <c r="T2578" s="146"/>
      <c r="V2578" s="147"/>
      <c r="W2578" s="146"/>
      <c r="Y2578" s="147"/>
    </row>
    <row r="2579" spans="3:25">
      <c r="C2579" s="146"/>
      <c r="E2579" s="147"/>
      <c r="F2579" s="146"/>
      <c r="I2579" s="147"/>
      <c r="J2579" s="146"/>
      <c r="M2579" s="147"/>
      <c r="Q2579" s="146"/>
      <c r="T2579" s="146"/>
      <c r="V2579" s="147"/>
      <c r="W2579" s="146"/>
      <c r="Y2579" s="147"/>
    </row>
    <row r="2580" spans="3:25">
      <c r="C2580" s="146"/>
      <c r="E2580" s="147"/>
      <c r="F2580" s="146"/>
      <c r="I2580" s="147"/>
      <c r="J2580" s="146"/>
      <c r="M2580" s="147"/>
      <c r="Q2580" s="146"/>
      <c r="T2580" s="146"/>
      <c r="V2580" s="147"/>
      <c r="W2580" s="146"/>
      <c r="Y2580" s="147"/>
    </row>
    <row r="2581" spans="3:25">
      <c r="C2581" s="146"/>
      <c r="E2581" s="147"/>
      <c r="F2581" s="146"/>
      <c r="I2581" s="147"/>
      <c r="J2581" s="146"/>
      <c r="M2581" s="147"/>
      <c r="Q2581" s="146"/>
      <c r="T2581" s="146"/>
      <c r="V2581" s="147"/>
      <c r="W2581" s="146"/>
      <c r="Y2581" s="147"/>
    </row>
    <row r="2582" spans="3:25">
      <c r="C2582" s="146"/>
      <c r="E2582" s="147"/>
      <c r="F2582" s="146"/>
      <c r="I2582" s="147"/>
      <c r="J2582" s="146"/>
      <c r="M2582" s="147"/>
      <c r="Q2582" s="146"/>
      <c r="T2582" s="146"/>
      <c r="V2582" s="147"/>
      <c r="W2582" s="146"/>
      <c r="Y2582" s="147"/>
    </row>
    <row r="2583" spans="3:25">
      <c r="C2583" s="146"/>
      <c r="E2583" s="147"/>
      <c r="F2583" s="146"/>
      <c r="I2583" s="147"/>
      <c r="J2583" s="146"/>
      <c r="M2583" s="147"/>
      <c r="Q2583" s="146"/>
      <c r="T2583" s="146"/>
      <c r="V2583" s="147"/>
      <c r="W2583" s="146"/>
      <c r="Y2583" s="147"/>
    </row>
    <row r="2584" spans="3:25">
      <c r="C2584" s="146"/>
      <c r="E2584" s="147"/>
      <c r="F2584" s="146"/>
      <c r="I2584" s="147"/>
      <c r="J2584" s="146"/>
      <c r="M2584" s="147"/>
      <c r="Q2584" s="146"/>
      <c r="T2584" s="146"/>
      <c r="V2584" s="147"/>
      <c r="W2584" s="146"/>
      <c r="Y2584" s="147"/>
    </row>
    <row r="2585" spans="3:25">
      <c r="C2585" s="146"/>
      <c r="E2585" s="147"/>
      <c r="F2585" s="146"/>
      <c r="I2585" s="147"/>
      <c r="J2585" s="146"/>
      <c r="M2585" s="147"/>
      <c r="Q2585" s="146"/>
      <c r="T2585" s="146"/>
      <c r="V2585" s="147"/>
      <c r="W2585" s="146"/>
      <c r="Y2585" s="147"/>
    </row>
    <row r="2586" spans="3:25">
      <c r="C2586" s="146"/>
      <c r="E2586" s="147"/>
      <c r="F2586" s="146"/>
      <c r="I2586" s="147"/>
      <c r="J2586" s="146"/>
      <c r="M2586" s="147"/>
      <c r="Q2586" s="146"/>
      <c r="T2586" s="146"/>
      <c r="V2586" s="147"/>
      <c r="W2586" s="146"/>
      <c r="Y2586" s="147"/>
    </row>
    <row r="2587" spans="3:25">
      <c r="C2587" s="146"/>
      <c r="E2587" s="147"/>
      <c r="F2587" s="146"/>
      <c r="I2587" s="147"/>
      <c r="J2587" s="146"/>
      <c r="M2587" s="147"/>
      <c r="Q2587" s="146"/>
      <c r="T2587" s="146"/>
      <c r="V2587" s="147"/>
      <c r="W2587" s="146"/>
      <c r="Y2587" s="147"/>
    </row>
    <row r="2588" spans="3:25">
      <c r="C2588" s="146"/>
      <c r="E2588" s="147"/>
      <c r="F2588" s="146"/>
      <c r="I2588" s="147"/>
      <c r="J2588" s="146"/>
      <c r="M2588" s="147"/>
      <c r="Q2588" s="146"/>
      <c r="T2588" s="146"/>
      <c r="V2588" s="147"/>
      <c r="W2588" s="146"/>
      <c r="Y2588" s="147"/>
    </row>
    <row r="2589" spans="3:25">
      <c r="C2589" s="146"/>
      <c r="E2589" s="147"/>
      <c r="F2589" s="146"/>
      <c r="I2589" s="147"/>
      <c r="J2589" s="146"/>
      <c r="M2589" s="147"/>
      <c r="Q2589" s="146"/>
      <c r="T2589" s="146"/>
      <c r="V2589" s="147"/>
      <c r="W2589" s="146"/>
      <c r="Y2589" s="147"/>
    </row>
    <row r="2590" spans="3:25">
      <c r="C2590" s="146"/>
      <c r="E2590" s="147"/>
      <c r="F2590" s="146"/>
      <c r="I2590" s="147"/>
      <c r="J2590" s="146"/>
      <c r="M2590" s="147"/>
      <c r="Q2590" s="146"/>
      <c r="T2590" s="146"/>
      <c r="V2590" s="147"/>
      <c r="W2590" s="146"/>
      <c r="Y2590" s="147"/>
    </row>
    <row r="2591" spans="3:25">
      <c r="C2591" s="146"/>
      <c r="E2591" s="147"/>
      <c r="F2591" s="146"/>
      <c r="I2591" s="147"/>
      <c r="J2591" s="146"/>
      <c r="M2591" s="147"/>
      <c r="Q2591" s="146"/>
      <c r="T2591" s="146"/>
      <c r="V2591" s="147"/>
      <c r="W2591" s="146"/>
      <c r="Y2591" s="147"/>
    </row>
    <row r="2592" spans="3:25">
      <c r="C2592" s="146"/>
      <c r="E2592" s="147"/>
      <c r="F2592" s="146"/>
      <c r="I2592" s="147"/>
      <c r="J2592" s="146"/>
      <c r="M2592" s="147"/>
      <c r="Q2592" s="146"/>
      <c r="T2592" s="146"/>
      <c r="V2592" s="147"/>
      <c r="W2592" s="146"/>
      <c r="Y2592" s="147"/>
    </row>
    <row r="2593" spans="3:25">
      <c r="C2593" s="146"/>
      <c r="E2593" s="147"/>
      <c r="F2593" s="146"/>
      <c r="I2593" s="147"/>
      <c r="J2593" s="146"/>
      <c r="M2593" s="147"/>
      <c r="Q2593" s="146"/>
      <c r="T2593" s="146"/>
      <c r="V2593" s="147"/>
      <c r="W2593" s="146"/>
      <c r="Y2593" s="147"/>
    </row>
    <row r="2594" spans="3:25">
      <c r="C2594" s="146"/>
      <c r="E2594" s="147"/>
      <c r="F2594" s="146"/>
      <c r="I2594" s="147"/>
      <c r="J2594" s="146"/>
      <c r="M2594" s="147"/>
      <c r="Q2594" s="146"/>
      <c r="T2594" s="146"/>
      <c r="V2594" s="147"/>
      <c r="W2594" s="146"/>
      <c r="Y2594" s="147"/>
    </row>
    <row r="2595" spans="3:25">
      <c r="C2595" s="146"/>
      <c r="E2595" s="147"/>
      <c r="F2595" s="146"/>
      <c r="I2595" s="147"/>
      <c r="J2595" s="146"/>
      <c r="M2595" s="147"/>
      <c r="Q2595" s="146"/>
      <c r="T2595" s="146"/>
      <c r="V2595" s="147"/>
      <c r="W2595" s="146"/>
      <c r="Y2595" s="147"/>
    </row>
    <row r="2596" spans="3:25">
      <c r="C2596" s="146"/>
      <c r="E2596" s="147"/>
      <c r="F2596" s="146"/>
      <c r="I2596" s="147"/>
      <c r="J2596" s="146"/>
      <c r="M2596" s="147"/>
      <c r="Q2596" s="146"/>
      <c r="T2596" s="146"/>
      <c r="V2596" s="147"/>
      <c r="W2596" s="146"/>
      <c r="Y2596" s="147"/>
    </row>
    <row r="2597" spans="3:25">
      <c r="C2597" s="146"/>
      <c r="E2597" s="147"/>
      <c r="F2597" s="146"/>
      <c r="I2597" s="147"/>
      <c r="J2597" s="146"/>
      <c r="M2597" s="147"/>
      <c r="Q2597" s="146"/>
      <c r="T2597" s="146"/>
      <c r="V2597" s="147"/>
      <c r="W2597" s="146"/>
      <c r="Y2597" s="147"/>
    </row>
    <row r="2598" spans="3:25">
      <c r="C2598" s="146"/>
      <c r="E2598" s="147"/>
      <c r="F2598" s="146"/>
      <c r="I2598" s="147"/>
      <c r="J2598" s="146"/>
      <c r="M2598" s="147"/>
      <c r="Q2598" s="146"/>
      <c r="T2598" s="146"/>
      <c r="V2598" s="147"/>
      <c r="W2598" s="146"/>
      <c r="Y2598" s="147"/>
    </row>
    <row r="2599" spans="3:25">
      <c r="C2599" s="146"/>
      <c r="E2599" s="147"/>
      <c r="F2599" s="146"/>
      <c r="I2599" s="147"/>
      <c r="J2599" s="146"/>
      <c r="M2599" s="147"/>
      <c r="Q2599" s="146"/>
      <c r="T2599" s="146"/>
      <c r="V2599" s="147"/>
      <c r="W2599" s="146"/>
      <c r="Y2599" s="147"/>
    </row>
    <row r="2600" spans="3:25">
      <c r="C2600" s="146"/>
      <c r="E2600" s="147"/>
      <c r="F2600" s="146"/>
      <c r="I2600" s="147"/>
      <c r="J2600" s="146"/>
      <c r="M2600" s="147"/>
      <c r="Q2600" s="146"/>
      <c r="T2600" s="146"/>
      <c r="V2600" s="147"/>
      <c r="W2600" s="146"/>
      <c r="Y2600" s="147"/>
    </row>
    <row r="2601" spans="3:25">
      <c r="C2601" s="146"/>
      <c r="E2601" s="147"/>
      <c r="F2601" s="146"/>
      <c r="I2601" s="147"/>
      <c r="J2601" s="146"/>
      <c r="M2601" s="147"/>
      <c r="Q2601" s="146"/>
      <c r="T2601" s="146"/>
      <c r="V2601" s="147"/>
      <c r="W2601" s="146"/>
      <c r="Y2601" s="147"/>
    </row>
    <row r="2602" spans="3:25">
      <c r="C2602" s="146"/>
      <c r="E2602" s="147"/>
      <c r="F2602" s="146"/>
      <c r="I2602" s="147"/>
      <c r="J2602" s="146"/>
      <c r="M2602" s="147"/>
      <c r="Q2602" s="146"/>
      <c r="T2602" s="146"/>
      <c r="V2602" s="147"/>
      <c r="W2602" s="146"/>
      <c r="Y2602" s="147"/>
    </row>
    <row r="2603" spans="3:25">
      <c r="C2603" s="146"/>
      <c r="E2603" s="147"/>
      <c r="F2603" s="146"/>
      <c r="I2603" s="147"/>
      <c r="J2603" s="146"/>
      <c r="M2603" s="147"/>
      <c r="Q2603" s="146"/>
      <c r="T2603" s="146"/>
      <c r="V2603" s="147"/>
      <c r="W2603" s="146"/>
      <c r="Y2603" s="147"/>
    </row>
    <row r="2604" spans="3:25">
      <c r="C2604" s="146"/>
      <c r="E2604" s="147"/>
      <c r="F2604" s="146"/>
      <c r="I2604" s="147"/>
      <c r="J2604" s="146"/>
      <c r="M2604" s="147"/>
      <c r="Q2604" s="146"/>
      <c r="T2604" s="146"/>
      <c r="V2604" s="147"/>
      <c r="W2604" s="146"/>
      <c r="Y2604" s="147"/>
    </row>
    <row r="2605" spans="3:25">
      <c r="C2605" s="146"/>
      <c r="E2605" s="147"/>
      <c r="F2605" s="146"/>
      <c r="I2605" s="147"/>
      <c r="J2605" s="146"/>
      <c r="M2605" s="147"/>
      <c r="Q2605" s="146"/>
      <c r="T2605" s="146"/>
      <c r="V2605" s="147"/>
      <c r="W2605" s="146"/>
      <c r="Y2605" s="147"/>
    </row>
    <row r="2606" spans="3:25">
      <c r="C2606" s="146"/>
      <c r="E2606" s="147"/>
      <c r="F2606" s="146"/>
      <c r="I2606" s="147"/>
      <c r="J2606" s="146"/>
      <c r="M2606" s="147"/>
      <c r="Q2606" s="146"/>
      <c r="T2606" s="146"/>
      <c r="V2606" s="147"/>
      <c r="W2606" s="146"/>
      <c r="Y2606" s="147"/>
    </row>
    <row r="2607" spans="3:25">
      <c r="C2607" s="146"/>
      <c r="E2607" s="147"/>
      <c r="F2607" s="146"/>
      <c r="I2607" s="147"/>
      <c r="J2607" s="146"/>
      <c r="M2607" s="147"/>
      <c r="Q2607" s="146"/>
      <c r="T2607" s="146"/>
      <c r="V2607" s="147"/>
      <c r="W2607" s="146"/>
      <c r="Y2607" s="147"/>
    </row>
    <row r="2608" spans="3:25">
      <c r="C2608" s="146"/>
      <c r="E2608" s="147"/>
      <c r="F2608" s="146"/>
      <c r="I2608" s="147"/>
      <c r="J2608" s="146"/>
      <c r="M2608" s="147"/>
      <c r="Q2608" s="146"/>
      <c r="T2608" s="146"/>
      <c r="V2608" s="147"/>
      <c r="W2608" s="146"/>
      <c r="Y2608" s="147"/>
    </row>
    <row r="2609" spans="3:25">
      <c r="C2609" s="146"/>
      <c r="E2609" s="147"/>
      <c r="F2609" s="146"/>
      <c r="I2609" s="147"/>
      <c r="J2609" s="146"/>
      <c r="M2609" s="147"/>
      <c r="Q2609" s="146"/>
      <c r="T2609" s="146"/>
      <c r="V2609" s="147"/>
      <c r="W2609" s="146"/>
      <c r="Y2609" s="147"/>
    </row>
    <row r="2610" spans="3:25">
      <c r="C2610" s="146"/>
      <c r="E2610" s="147"/>
      <c r="F2610" s="146"/>
      <c r="I2610" s="147"/>
      <c r="J2610" s="146"/>
      <c r="M2610" s="147"/>
      <c r="Q2610" s="146"/>
      <c r="T2610" s="146"/>
      <c r="V2610" s="147"/>
      <c r="W2610" s="146"/>
      <c r="Y2610" s="147"/>
    </row>
    <row r="2611" spans="3:25">
      <c r="C2611" s="146"/>
      <c r="E2611" s="147"/>
      <c r="F2611" s="146"/>
      <c r="I2611" s="147"/>
      <c r="J2611" s="146"/>
      <c r="M2611" s="147"/>
      <c r="Q2611" s="146"/>
      <c r="T2611" s="146"/>
      <c r="V2611" s="147"/>
      <c r="W2611" s="146"/>
      <c r="Y2611" s="147"/>
    </row>
    <row r="2612" spans="3:25">
      <c r="C2612" s="146"/>
      <c r="E2612" s="147"/>
      <c r="F2612" s="146"/>
      <c r="I2612" s="147"/>
      <c r="J2612" s="146"/>
      <c r="M2612" s="147"/>
      <c r="Q2612" s="146"/>
      <c r="T2612" s="146"/>
      <c r="V2612" s="147"/>
      <c r="W2612" s="146"/>
      <c r="Y2612" s="147"/>
    </row>
    <row r="2613" spans="3:25">
      <c r="C2613" s="146"/>
      <c r="E2613" s="147"/>
      <c r="F2613" s="146"/>
      <c r="I2613" s="147"/>
      <c r="J2613" s="146"/>
      <c r="M2613" s="147"/>
      <c r="Q2613" s="146"/>
      <c r="T2613" s="146"/>
      <c r="V2613" s="147"/>
      <c r="W2613" s="146"/>
      <c r="Y2613" s="147"/>
    </row>
    <row r="2614" spans="3:25">
      <c r="C2614" s="146"/>
      <c r="E2614" s="147"/>
      <c r="F2614" s="146"/>
      <c r="I2614" s="147"/>
      <c r="J2614" s="146"/>
      <c r="M2614" s="147"/>
      <c r="Q2614" s="146"/>
      <c r="T2614" s="146"/>
      <c r="V2614" s="147"/>
      <c r="W2614" s="146"/>
      <c r="Y2614" s="147"/>
    </row>
    <row r="2615" spans="3:25">
      <c r="C2615" s="146"/>
      <c r="E2615" s="147"/>
      <c r="F2615" s="146"/>
      <c r="I2615" s="147"/>
      <c r="J2615" s="146"/>
      <c r="M2615" s="147"/>
      <c r="Q2615" s="146"/>
      <c r="T2615" s="146"/>
      <c r="V2615" s="147"/>
      <c r="W2615" s="146"/>
      <c r="Y2615" s="147"/>
    </row>
    <row r="2616" spans="3:25">
      <c r="C2616" s="146"/>
      <c r="E2616" s="147"/>
      <c r="F2616" s="146"/>
      <c r="I2616" s="147"/>
      <c r="J2616" s="146"/>
      <c r="M2616" s="147"/>
      <c r="Q2616" s="146"/>
      <c r="T2616" s="146"/>
      <c r="V2616" s="147"/>
      <c r="W2616" s="146"/>
      <c r="Y2616" s="147"/>
    </row>
    <row r="2617" spans="3:25">
      <c r="C2617" s="146"/>
      <c r="E2617" s="147"/>
      <c r="F2617" s="146"/>
      <c r="I2617" s="147"/>
      <c r="J2617" s="146"/>
      <c r="M2617" s="147"/>
      <c r="Q2617" s="146"/>
      <c r="T2617" s="146"/>
      <c r="V2617" s="147"/>
      <c r="W2617" s="146"/>
      <c r="Y2617" s="147"/>
    </row>
    <row r="2618" spans="3:25">
      <c r="C2618" s="146"/>
      <c r="E2618" s="147"/>
      <c r="F2618" s="146"/>
      <c r="I2618" s="147"/>
      <c r="J2618" s="146"/>
      <c r="M2618" s="147"/>
      <c r="Q2618" s="146"/>
      <c r="T2618" s="146"/>
      <c r="V2618" s="147"/>
      <c r="W2618" s="146"/>
      <c r="Y2618" s="147"/>
    </row>
    <row r="2619" spans="3:25">
      <c r="C2619" s="146"/>
      <c r="E2619" s="147"/>
      <c r="F2619" s="146"/>
      <c r="I2619" s="147"/>
      <c r="J2619" s="146"/>
      <c r="M2619" s="147"/>
      <c r="Q2619" s="146"/>
      <c r="T2619" s="146"/>
      <c r="V2619" s="147"/>
      <c r="W2619" s="146"/>
      <c r="Y2619" s="147"/>
    </row>
    <row r="2620" spans="3:25">
      <c r="C2620" s="146"/>
      <c r="E2620" s="147"/>
      <c r="F2620" s="146"/>
      <c r="I2620" s="147"/>
      <c r="J2620" s="146"/>
      <c r="M2620" s="147"/>
      <c r="Q2620" s="146"/>
      <c r="T2620" s="146"/>
      <c r="V2620" s="147"/>
      <c r="W2620" s="146"/>
      <c r="Y2620" s="147"/>
    </row>
    <row r="2621" spans="3:25">
      <c r="C2621" s="146"/>
      <c r="E2621" s="147"/>
      <c r="F2621" s="146"/>
      <c r="I2621" s="147"/>
      <c r="J2621" s="146"/>
      <c r="M2621" s="147"/>
      <c r="Q2621" s="146"/>
      <c r="T2621" s="146"/>
      <c r="V2621" s="147"/>
      <c r="W2621" s="146"/>
      <c r="Y2621" s="147"/>
    </row>
    <row r="2622" spans="3:25">
      <c r="C2622" s="146"/>
      <c r="E2622" s="147"/>
      <c r="F2622" s="146"/>
      <c r="I2622" s="147"/>
      <c r="J2622" s="146"/>
      <c r="M2622" s="147"/>
      <c r="Q2622" s="146"/>
      <c r="T2622" s="146"/>
      <c r="V2622" s="147"/>
      <c r="W2622" s="146"/>
      <c r="Y2622" s="147"/>
    </row>
    <row r="2623" spans="3:25">
      <c r="C2623" s="146"/>
      <c r="E2623" s="147"/>
      <c r="F2623" s="146"/>
      <c r="I2623" s="147"/>
      <c r="J2623" s="146"/>
      <c r="M2623" s="147"/>
      <c r="Q2623" s="146"/>
      <c r="T2623" s="146"/>
      <c r="V2623" s="147"/>
      <c r="W2623" s="146"/>
      <c r="Y2623" s="147"/>
    </row>
    <row r="2624" spans="3:25">
      <c r="C2624" s="146"/>
      <c r="E2624" s="147"/>
      <c r="F2624" s="146"/>
      <c r="I2624" s="147"/>
      <c r="J2624" s="146"/>
      <c r="M2624" s="147"/>
      <c r="Q2624" s="146"/>
      <c r="T2624" s="146"/>
      <c r="V2624" s="147"/>
      <c r="W2624" s="146"/>
      <c r="Y2624" s="147"/>
    </row>
    <row r="2625" spans="3:25">
      <c r="C2625" s="146"/>
      <c r="E2625" s="147"/>
      <c r="F2625" s="146"/>
      <c r="I2625" s="147"/>
      <c r="J2625" s="146"/>
      <c r="M2625" s="147"/>
      <c r="Q2625" s="146"/>
      <c r="T2625" s="146"/>
      <c r="V2625" s="147"/>
      <c r="W2625" s="146"/>
      <c r="Y2625" s="147"/>
    </row>
    <row r="2626" spans="3:25">
      <c r="C2626" s="146"/>
      <c r="E2626" s="147"/>
      <c r="F2626" s="146"/>
      <c r="I2626" s="147"/>
      <c r="J2626" s="146"/>
      <c r="M2626" s="147"/>
      <c r="Q2626" s="146"/>
      <c r="T2626" s="146"/>
      <c r="V2626" s="147"/>
      <c r="W2626" s="146"/>
      <c r="Y2626" s="147"/>
    </row>
    <row r="2627" spans="3:25">
      <c r="C2627" s="146"/>
      <c r="E2627" s="147"/>
      <c r="F2627" s="146"/>
      <c r="I2627" s="147"/>
      <c r="J2627" s="146"/>
      <c r="M2627" s="147"/>
      <c r="Q2627" s="146"/>
      <c r="T2627" s="146"/>
      <c r="V2627" s="147"/>
      <c r="W2627" s="146"/>
      <c r="Y2627" s="147"/>
    </row>
    <row r="2628" spans="3:25">
      <c r="C2628" s="146"/>
      <c r="E2628" s="147"/>
      <c r="F2628" s="146"/>
      <c r="I2628" s="147"/>
      <c r="J2628" s="146"/>
      <c r="M2628" s="147"/>
      <c r="Q2628" s="146"/>
      <c r="T2628" s="146"/>
      <c r="V2628" s="147"/>
      <c r="W2628" s="146"/>
      <c r="Y2628" s="147"/>
    </row>
    <row r="2629" spans="3:25">
      <c r="C2629" s="146"/>
      <c r="E2629" s="147"/>
      <c r="F2629" s="146"/>
      <c r="I2629" s="147"/>
      <c r="J2629" s="146"/>
      <c r="M2629" s="147"/>
      <c r="Q2629" s="146"/>
      <c r="T2629" s="146"/>
      <c r="V2629" s="147"/>
      <c r="W2629" s="146"/>
      <c r="Y2629" s="147"/>
    </row>
    <row r="2630" spans="3:25">
      <c r="C2630" s="146"/>
      <c r="E2630" s="147"/>
      <c r="F2630" s="146"/>
      <c r="I2630" s="147"/>
      <c r="J2630" s="146"/>
      <c r="M2630" s="147"/>
      <c r="Q2630" s="146"/>
      <c r="T2630" s="146"/>
      <c r="V2630" s="147"/>
      <c r="W2630" s="146"/>
      <c r="Y2630" s="147"/>
    </row>
    <row r="2631" spans="3:25">
      <c r="C2631" s="146"/>
      <c r="E2631" s="147"/>
      <c r="F2631" s="146"/>
      <c r="I2631" s="147"/>
      <c r="J2631" s="146"/>
      <c r="M2631" s="147"/>
      <c r="Q2631" s="146"/>
      <c r="T2631" s="146"/>
      <c r="V2631" s="147"/>
      <c r="W2631" s="146"/>
      <c r="Y2631" s="147"/>
    </row>
    <row r="2632" spans="3:25">
      <c r="C2632" s="146"/>
      <c r="E2632" s="147"/>
      <c r="F2632" s="146"/>
      <c r="I2632" s="147"/>
      <c r="J2632" s="146"/>
      <c r="M2632" s="147"/>
      <c r="Q2632" s="146"/>
      <c r="T2632" s="146"/>
      <c r="V2632" s="147"/>
      <c r="W2632" s="146"/>
      <c r="Y2632" s="147"/>
    </row>
    <row r="2633" spans="3:25">
      <c r="C2633" s="146"/>
      <c r="E2633" s="147"/>
      <c r="F2633" s="146"/>
      <c r="I2633" s="147"/>
      <c r="J2633" s="146"/>
      <c r="M2633" s="147"/>
      <c r="Q2633" s="146"/>
      <c r="T2633" s="146"/>
      <c r="V2633" s="147"/>
      <c r="W2633" s="146"/>
      <c r="Y2633" s="147"/>
    </row>
    <row r="2634" spans="3:25">
      <c r="C2634" s="146"/>
      <c r="E2634" s="147"/>
      <c r="F2634" s="146"/>
      <c r="I2634" s="147"/>
      <c r="J2634" s="146"/>
      <c r="M2634" s="147"/>
      <c r="Q2634" s="146"/>
      <c r="T2634" s="146"/>
      <c r="V2634" s="147"/>
      <c r="W2634" s="146"/>
      <c r="Y2634" s="147"/>
    </row>
    <row r="2635" spans="3:25">
      <c r="C2635" s="146"/>
      <c r="E2635" s="147"/>
      <c r="F2635" s="146"/>
      <c r="I2635" s="147"/>
      <c r="J2635" s="146"/>
      <c r="M2635" s="147"/>
      <c r="Q2635" s="146"/>
      <c r="T2635" s="146"/>
      <c r="V2635" s="147"/>
      <c r="W2635" s="146"/>
      <c r="Y2635" s="147"/>
    </row>
    <row r="2636" spans="3:25">
      <c r="C2636" s="146"/>
      <c r="E2636" s="147"/>
      <c r="F2636" s="146"/>
      <c r="I2636" s="147"/>
      <c r="J2636" s="146"/>
      <c r="M2636" s="147"/>
      <c r="Q2636" s="146"/>
      <c r="T2636" s="146"/>
      <c r="V2636" s="147"/>
      <c r="W2636" s="146"/>
      <c r="Y2636" s="147"/>
    </row>
    <row r="2637" spans="3:25">
      <c r="C2637" s="146"/>
      <c r="E2637" s="147"/>
      <c r="F2637" s="146"/>
      <c r="I2637" s="147"/>
      <c r="J2637" s="146"/>
      <c r="M2637" s="147"/>
      <c r="Q2637" s="146"/>
      <c r="T2637" s="146"/>
      <c r="V2637" s="147"/>
      <c r="W2637" s="146"/>
      <c r="Y2637" s="147"/>
    </row>
    <row r="2638" spans="3:25">
      <c r="C2638" s="146"/>
      <c r="E2638" s="147"/>
      <c r="F2638" s="146"/>
      <c r="I2638" s="147"/>
      <c r="J2638" s="146"/>
      <c r="M2638" s="147"/>
      <c r="Q2638" s="146"/>
      <c r="T2638" s="146"/>
      <c r="V2638" s="147"/>
      <c r="W2638" s="146"/>
      <c r="Y2638" s="147"/>
    </row>
    <row r="2639" spans="3:25">
      <c r="C2639" s="146"/>
      <c r="E2639" s="147"/>
      <c r="F2639" s="146"/>
      <c r="I2639" s="147"/>
      <c r="J2639" s="146"/>
      <c r="M2639" s="147"/>
      <c r="Q2639" s="146"/>
      <c r="T2639" s="146"/>
      <c r="V2639" s="147"/>
      <c r="W2639" s="146"/>
      <c r="Y2639" s="147"/>
    </row>
    <row r="2640" spans="3:25">
      <c r="C2640" s="146"/>
      <c r="E2640" s="147"/>
      <c r="F2640" s="146"/>
      <c r="I2640" s="147"/>
      <c r="J2640" s="146"/>
      <c r="M2640" s="147"/>
      <c r="Q2640" s="146"/>
      <c r="T2640" s="146"/>
      <c r="V2640" s="147"/>
      <c r="W2640" s="146"/>
      <c r="Y2640" s="147"/>
    </row>
    <row r="2641" spans="3:25">
      <c r="C2641" s="146"/>
      <c r="E2641" s="147"/>
      <c r="F2641" s="146"/>
      <c r="I2641" s="147"/>
      <c r="J2641" s="146"/>
      <c r="M2641" s="147"/>
      <c r="Q2641" s="146"/>
      <c r="T2641" s="146"/>
      <c r="V2641" s="147"/>
      <c r="W2641" s="146"/>
      <c r="Y2641" s="147"/>
    </row>
    <row r="2642" spans="3:25">
      <c r="C2642" s="146"/>
      <c r="E2642" s="147"/>
      <c r="F2642" s="146"/>
      <c r="I2642" s="147"/>
      <c r="J2642" s="146"/>
      <c r="M2642" s="147"/>
      <c r="Q2642" s="146"/>
      <c r="T2642" s="146"/>
      <c r="V2642" s="147"/>
      <c r="W2642" s="146"/>
      <c r="Y2642" s="147"/>
    </row>
    <row r="2643" spans="3:25">
      <c r="C2643" s="146"/>
      <c r="E2643" s="147"/>
      <c r="F2643" s="146"/>
      <c r="I2643" s="147"/>
      <c r="J2643" s="146"/>
      <c r="M2643" s="147"/>
      <c r="Q2643" s="146"/>
      <c r="T2643" s="146"/>
      <c r="V2643" s="147"/>
      <c r="W2643" s="146"/>
      <c r="Y2643" s="147"/>
    </row>
    <row r="2644" spans="3:25">
      <c r="C2644" s="146"/>
      <c r="E2644" s="147"/>
      <c r="F2644" s="146"/>
      <c r="I2644" s="147"/>
      <c r="J2644" s="146"/>
      <c r="M2644" s="147"/>
      <c r="Q2644" s="146"/>
      <c r="T2644" s="146"/>
      <c r="V2644" s="147"/>
      <c r="W2644" s="146"/>
      <c r="Y2644" s="147"/>
    </row>
    <row r="2645" spans="3:25">
      <c r="C2645" s="146"/>
      <c r="E2645" s="147"/>
      <c r="F2645" s="146"/>
      <c r="I2645" s="147"/>
      <c r="J2645" s="146"/>
      <c r="M2645" s="147"/>
      <c r="Q2645" s="146"/>
      <c r="T2645" s="146"/>
      <c r="V2645" s="147"/>
      <c r="W2645" s="146"/>
      <c r="Y2645" s="147"/>
    </row>
    <row r="2646" spans="3:25">
      <c r="C2646" s="146"/>
      <c r="E2646" s="147"/>
      <c r="F2646" s="146"/>
      <c r="I2646" s="147"/>
      <c r="J2646" s="146"/>
      <c r="M2646" s="147"/>
      <c r="Q2646" s="146"/>
      <c r="T2646" s="146"/>
      <c r="V2646" s="147"/>
      <c r="W2646" s="146"/>
      <c r="Y2646" s="147"/>
    </row>
    <row r="2647" spans="3:25">
      <c r="C2647" s="146"/>
      <c r="E2647" s="147"/>
      <c r="F2647" s="146"/>
      <c r="I2647" s="147"/>
      <c r="J2647" s="146"/>
      <c r="M2647" s="147"/>
      <c r="Q2647" s="146"/>
      <c r="T2647" s="146"/>
      <c r="V2647" s="147"/>
      <c r="W2647" s="146"/>
      <c r="Y2647" s="147"/>
    </row>
    <row r="2648" spans="3:25">
      <c r="C2648" s="146"/>
      <c r="E2648" s="147"/>
      <c r="F2648" s="146"/>
      <c r="I2648" s="147"/>
      <c r="J2648" s="146"/>
      <c r="M2648" s="147"/>
      <c r="Q2648" s="146"/>
      <c r="T2648" s="146"/>
      <c r="V2648" s="147"/>
      <c r="W2648" s="146"/>
      <c r="Y2648" s="147"/>
    </row>
    <row r="2649" spans="3:25">
      <c r="C2649" s="146"/>
      <c r="E2649" s="147"/>
      <c r="F2649" s="146"/>
      <c r="I2649" s="147"/>
      <c r="J2649" s="146"/>
      <c r="M2649" s="147"/>
      <c r="Q2649" s="146"/>
      <c r="T2649" s="146"/>
      <c r="V2649" s="147"/>
      <c r="W2649" s="146"/>
      <c r="Y2649" s="147"/>
    </row>
    <row r="2650" spans="3:25">
      <c r="C2650" s="146"/>
      <c r="E2650" s="147"/>
      <c r="F2650" s="146"/>
      <c r="I2650" s="147"/>
      <c r="J2650" s="146"/>
      <c r="M2650" s="147"/>
      <c r="Q2650" s="146"/>
      <c r="T2650" s="146"/>
      <c r="V2650" s="147"/>
      <c r="W2650" s="146"/>
      <c r="Y2650" s="147"/>
    </row>
    <row r="2651" spans="3:25">
      <c r="C2651" s="146"/>
      <c r="E2651" s="147"/>
      <c r="F2651" s="146"/>
      <c r="I2651" s="147"/>
      <c r="J2651" s="146"/>
      <c r="M2651" s="147"/>
      <c r="Q2651" s="146"/>
      <c r="T2651" s="146"/>
      <c r="V2651" s="147"/>
      <c r="W2651" s="146"/>
      <c r="Y2651" s="147"/>
    </row>
    <row r="2652" spans="3:25">
      <c r="C2652" s="146"/>
      <c r="E2652" s="147"/>
      <c r="F2652" s="146"/>
      <c r="I2652" s="147"/>
      <c r="J2652" s="146"/>
      <c r="M2652" s="147"/>
      <c r="Q2652" s="146"/>
      <c r="T2652" s="146"/>
      <c r="V2652" s="147"/>
      <c r="W2652" s="146"/>
      <c r="Y2652" s="147"/>
    </row>
    <row r="2653" spans="3:25">
      <c r="C2653" s="146"/>
      <c r="E2653" s="147"/>
      <c r="F2653" s="146"/>
      <c r="I2653" s="147"/>
      <c r="J2653" s="146"/>
      <c r="M2653" s="147"/>
      <c r="Q2653" s="146"/>
      <c r="T2653" s="146"/>
      <c r="V2653" s="147"/>
      <c r="W2653" s="146"/>
      <c r="Y2653" s="147"/>
    </row>
    <row r="2654" spans="3:25">
      <c r="C2654" s="146"/>
      <c r="E2654" s="147"/>
      <c r="F2654" s="146"/>
      <c r="I2654" s="147"/>
      <c r="J2654" s="146"/>
      <c r="M2654" s="147"/>
      <c r="Q2654" s="146"/>
      <c r="T2654" s="146"/>
      <c r="V2654" s="147"/>
      <c r="W2654" s="146"/>
      <c r="Y2654" s="147"/>
    </row>
    <row r="2655" spans="3:25">
      <c r="C2655" s="146"/>
      <c r="E2655" s="147"/>
      <c r="F2655" s="146"/>
      <c r="I2655" s="147"/>
      <c r="J2655" s="146"/>
      <c r="M2655" s="147"/>
      <c r="Q2655" s="146"/>
      <c r="T2655" s="146"/>
      <c r="V2655" s="147"/>
      <c r="W2655" s="146"/>
      <c r="Y2655" s="147"/>
    </row>
    <row r="2656" spans="3:25">
      <c r="C2656" s="146"/>
      <c r="E2656" s="147"/>
      <c r="F2656" s="146"/>
      <c r="I2656" s="147"/>
      <c r="J2656" s="146"/>
      <c r="M2656" s="147"/>
      <c r="Q2656" s="146"/>
      <c r="T2656" s="146"/>
      <c r="V2656" s="147"/>
      <c r="W2656" s="146"/>
      <c r="Y2656" s="147"/>
    </row>
    <row r="2657" spans="3:25">
      <c r="C2657" s="146"/>
      <c r="E2657" s="147"/>
      <c r="F2657" s="146"/>
      <c r="I2657" s="147"/>
      <c r="J2657" s="146"/>
      <c r="M2657" s="147"/>
      <c r="Q2657" s="146"/>
      <c r="T2657" s="146"/>
      <c r="V2657" s="147"/>
      <c r="W2657" s="146"/>
      <c r="Y2657" s="147"/>
    </row>
    <row r="2658" spans="3:25">
      <c r="C2658" s="146"/>
      <c r="E2658" s="147"/>
      <c r="F2658" s="146"/>
      <c r="I2658" s="147"/>
      <c r="J2658" s="146"/>
      <c r="M2658" s="147"/>
      <c r="Q2658" s="146"/>
      <c r="T2658" s="146"/>
      <c r="V2658" s="147"/>
      <c r="W2658" s="146"/>
      <c r="Y2658" s="147"/>
    </row>
    <row r="2659" spans="3:25">
      <c r="C2659" s="146"/>
      <c r="E2659" s="147"/>
      <c r="F2659" s="146"/>
      <c r="I2659" s="147"/>
      <c r="J2659" s="146"/>
      <c r="M2659" s="147"/>
      <c r="Q2659" s="146"/>
      <c r="T2659" s="146"/>
      <c r="V2659" s="147"/>
      <c r="W2659" s="146"/>
      <c r="Y2659" s="147"/>
    </row>
    <row r="2660" spans="3:25">
      <c r="C2660" s="146"/>
      <c r="E2660" s="147"/>
      <c r="F2660" s="146"/>
      <c r="I2660" s="147"/>
      <c r="J2660" s="146"/>
      <c r="M2660" s="147"/>
      <c r="Q2660" s="146"/>
      <c r="T2660" s="146"/>
      <c r="V2660" s="147"/>
      <c r="W2660" s="146"/>
      <c r="Y2660" s="147"/>
    </row>
    <row r="2661" spans="3:25">
      <c r="C2661" s="146"/>
      <c r="E2661" s="147"/>
      <c r="F2661" s="146"/>
      <c r="I2661" s="147"/>
      <c r="J2661" s="146"/>
      <c r="M2661" s="147"/>
      <c r="Q2661" s="146"/>
      <c r="T2661" s="146"/>
      <c r="V2661" s="147"/>
      <c r="W2661" s="146"/>
      <c r="Y2661" s="147"/>
    </row>
    <row r="2662" spans="3:25">
      <c r="C2662" s="146"/>
      <c r="E2662" s="147"/>
      <c r="F2662" s="146"/>
      <c r="I2662" s="147"/>
      <c r="J2662" s="146"/>
      <c r="M2662" s="147"/>
      <c r="Q2662" s="146"/>
      <c r="T2662" s="146"/>
      <c r="V2662" s="147"/>
      <c r="W2662" s="146"/>
      <c r="Y2662" s="147"/>
    </row>
    <row r="2663" spans="3:25">
      <c r="C2663" s="146"/>
      <c r="E2663" s="147"/>
      <c r="F2663" s="146"/>
      <c r="I2663" s="147"/>
      <c r="J2663" s="146"/>
      <c r="M2663" s="147"/>
      <c r="Q2663" s="146"/>
      <c r="T2663" s="146"/>
      <c r="V2663" s="147"/>
      <c r="W2663" s="146"/>
      <c r="Y2663" s="147"/>
    </row>
    <row r="2664" spans="3:25">
      <c r="C2664" s="146"/>
      <c r="E2664" s="147"/>
      <c r="F2664" s="146"/>
      <c r="I2664" s="147"/>
      <c r="J2664" s="146"/>
      <c r="M2664" s="147"/>
      <c r="Q2664" s="146"/>
      <c r="T2664" s="146"/>
      <c r="V2664" s="147"/>
      <c r="W2664" s="146"/>
      <c r="Y2664" s="147"/>
    </row>
    <row r="2665" spans="3:25">
      <c r="C2665" s="146"/>
      <c r="E2665" s="147"/>
      <c r="F2665" s="146"/>
      <c r="I2665" s="147"/>
      <c r="J2665" s="146"/>
      <c r="M2665" s="147"/>
      <c r="Q2665" s="146"/>
      <c r="T2665" s="146"/>
      <c r="V2665" s="147"/>
      <c r="W2665" s="146"/>
      <c r="Y2665" s="147"/>
    </row>
    <row r="2666" spans="3:25">
      <c r="C2666" s="146"/>
      <c r="E2666" s="147"/>
      <c r="F2666" s="146"/>
      <c r="I2666" s="147"/>
      <c r="J2666" s="146"/>
      <c r="M2666" s="147"/>
      <c r="Q2666" s="146"/>
      <c r="T2666" s="146"/>
      <c r="V2666" s="147"/>
      <c r="W2666" s="146"/>
      <c r="Y2666" s="147"/>
    </row>
    <row r="2667" spans="3:25">
      <c r="C2667" s="146"/>
      <c r="E2667" s="147"/>
      <c r="F2667" s="146"/>
      <c r="I2667" s="147"/>
      <c r="J2667" s="146"/>
      <c r="M2667" s="147"/>
      <c r="Q2667" s="146"/>
      <c r="T2667" s="146"/>
      <c r="V2667" s="147"/>
      <c r="W2667" s="146"/>
      <c r="Y2667" s="147"/>
    </row>
    <row r="2668" spans="3:25">
      <c r="C2668" s="146"/>
      <c r="E2668" s="147"/>
      <c r="F2668" s="146"/>
      <c r="I2668" s="147"/>
      <c r="J2668" s="146"/>
      <c r="M2668" s="147"/>
      <c r="Q2668" s="146"/>
      <c r="T2668" s="146"/>
      <c r="V2668" s="147"/>
      <c r="W2668" s="146"/>
      <c r="Y2668" s="147"/>
    </row>
    <row r="2669" spans="3:25">
      <c r="C2669" s="146"/>
      <c r="E2669" s="147"/>
      <c r="F2669" s="146"/>
      <c r="I2669" s="147"/>
      <c r="J2669" s="146"/>
      <c r="M2669" s="147"/>
      <c r="Q2669" s="146"/>
      <c r="T2669" s="146"/>
      <c r="V2669" s="147"/>
      <c r="W2669" s="146"/>
      <c r="Y2669" s="147"/>
    </row>
    <row r="2670" spans="3:25">
      <c r="C2670" s="146"/>
      <c r="E2670" s="147"/>
      <c r="F2670" s="146"/>
      <c r="I2670" s="147"/>
      <c r="J2670" s="146"/>
      <c r="M2670" s="147"/>
      <c r="Q2670" s="146"/>
      <c r="T2670" s="146"/>
      <c r="V2670" s="147"/>
      <c r="W2670" s="146"/>
      <c r="Y2670" s="147"/>
    </row>
    <row r="2671" spans="3:25">
      <c r="C2671" s="146"/>
      <c r="E2671" s="147"/>
      <c r="F2671" s="146"/>
      <c r="I2671" s="147"/>
      <c r="J2671" s="146"/>
      <c r="M2671" s="147"/>
      <c r="Q2671" s="146"/>
      <c r="T2671" s="146"/>
      <c r="V2671" s="147"/>
      <c r="W2671" s="146"/>
      <c r="Y2671" s="147"/>
    </row>
    <row r="2672" spans="3:25">
      <c r="C2672" s="146"/>
      <c r="E2672" s="147"/>
      <c r="F2672" s="146"/>
      <c r="I2672" s="147"/>
      <c r="J2672" s="146"/>
      <c r="M2672" s="147"/>
      <c r="Q2672" s="146"/>
      <c r="T2672" s="146"/>
      <c r="V2672" s="147"/>
      <c r="W2672" s="146"/>
      <c r="Y2672" s="147"/>
    </row>
    <row r="2673" spans="3:25">
      <c r="C2673" s="146"/>
      <c r="E2673" s="147"/>
      <c r="F2673" s="146"/>
      <c r="I2673" s="147"/>
      <c r="J2673" s="146"/>
      <c r="M2673" s="147"/>
      <c r="Q2673" s="146"/>
      <c r="T2673" s="146"/>
      <c r="V2673" s="147"/>
      <c r="W2673" s="146"/>
      <c r="Y2673" s="147"/>
    </row>
    <row r="2674" spans="3:25">
      <c r="C2674" s="146"/>
      <c r="E2674" s="147"/>
      <c r="F2674" s="146"/>
      <c r="I2674" s="147"/>
      <c r="J2674" s="146"/>
      <c r="M2674" s="147"/>
      <c r="Q2674" s="146"/>
      <c r="T2674" s="146"/>
      <c r="V2674" s="147"/>
      <c r="W2674" s="146"/>
      <c r="Y2674" s="147"/>
    </row>
    <row r="2675" spans="3:25">
      <c r="C2675" s="146"/>
      <c r="E2675" s="147"/>
      <c r="F2675" s="146"/>
      <c r="I2675" s="147"/>
      <c r="J2675" s="146"/>
      <c r="M2675" s="147"/>
      <c r="Q2675" s="146"/>
      <c r="T2675" s="146"/>
      <c r="V2675" s="147"/>
      <c r="W2675" s="146"/>
      <c r="Y2675" s="147"/>
    </row>
    <row r="2676" spans="3:25">
      <c r="C2676" s="146"/>
      <c r="E2676" s="147"/>
      <c r="F2676" s="146"/>
      <c r="I2676" s="147"/>
      <c r="J2676" s="146"/>
      <c r="M2676" s="147"/>
      <c r="Q2676" s="146"/>
      <c r="T2676" s="146"/>
      <c r="V2676" s="147"/>
      <c r="W2676" s="146"/>
      <c r="Y2676" s="147"/>
    </row>
    <row r="2677" spans="3:25">
      <c r="C2677" s="146"/>
      <c r="E2677" s="147"/>
      <c r="F2677" s="146"/>
      <c r="I2677" s="147"/>
      <c r="J2677" s="146"/>
      <c r="M2677" s="147"/>
      <c r="Q2677" s="146"/>
      <c r="T2677" s="146"/>
      <c r="V2677" s="147"/>
      <c r="W2677" s="146"/>
      <c r="Y2677" s="147"/>
    </row>
    <row r="2678" spans="3:25">
      <c r="C2678" s="146"/>
      <c r="E2678" s="147"/>
      <c r="F2678" s="146"/>
      <c r="I2678" s="147"/>
      <c r="J2678" s="146"/>
      <c r="M2678" s="147"/>
      <c r="Q2678" s="146"/>
      <c r="T2678" s="146"/>
      <c r="V2678" s="147"/>
      <c r="W2678" s="146"/>
      <c r="Y2678" s="147"/>
    </row>
    <row r="2679" spans="3:25">
      <c r="C2679" s="146"/>
      <c r="E2679" s="147"/>
      <c r="F2679" s="146"/>
      <c r="I2679" s="147"/>
      <c r="J2679" s="146"/>
      <c r="M2679" s="147"/>
      <c r="Q2679" s="146"/>
      <c r="T2679" s="146"/>
      <c r="V2679" s="147"/>
      <c r="W2679" s="146"/>
      <c r="Y2679" s="147"/>
    </row>
    <row r="2680" spans="3:25">
      <c r="C2680" s="146"/>
      <c r="E2680" s="147"/>
      <c r="F2680" s="146"/>
      <c r="I2680" s="147"/>
      <c r="J2680" s="146"/>
      <c r="M2680" s="147"/>
      <c r="Q2680" s="146"/>
      <c r="T2680" s="146"/>
      <c r="V2680" s="147"/>
      <c r="W2680" s="146"/>
      <c r="Y2680" s="147"/>
    </row>
    <row r="2681" spans="3:25">
      <c r="C2681" s="146"/>
      <c r="E2681" s="147"/>
      <c r="F2681" s="146"/>
      <c r="I2681" s="147"/>
      <c r="J2681" s="146"/>
      <c r="M2681" s="147"/>
      <c r="Q2681" s="146"/>
      <c r="T2681" s="146"/>
      <c r="V2681" s="147"/>
      <c r="W2681" s="146"/>
      <c r="Y2681" s="147"/>
    </row>
    <row r="2682" spans="3:25">
      <c r="C2682" s="146"/>
      <c r="E2682" s="147"/>
      <c r="F2682" s="146"/>
      <c r="I2682" s="147"/>
      <c r="J2682" s="146"/>
      <c r="M2682" s="147"/>
      <c r="Q2682" s="146"/>
      <c r="T2682" s="146"/>
      <c r="V2682" s="147"/>
      <c r="W2682" s="146"/>
      <c r="Y2682" s="147"/>
    </row>
    <row r="2683" spans="3:25">
      <c r="C2683" s="146"/>
      <c r="E2683" s="147"/>
      <c r="F2683" s="146"/>
      <c r="I2683" s="147"/>
      <c r="J2683" s="146"/>
      <c r="M2683" s="147"/>
      <c r="Q2683" s="146"/>
      <c r="T2683" s="146"/>
      <c r="V2683" s="147"/>
      <c r="W2683" s="146"/>
      <c r="Y2683" s="147"/>
    </row>
    <row r="2684" spans="3:25">
      <c r="C2684" s="146"/>
      <c r="E2684" s="147"/>
      <c r="F2684" s="146"/>
      <c r="I2684" s="147"/>
      <c r="J2684" s="146"/>
      <c r="M2684" s="147"/>
      <c r="Q2684" s="146"/>
      <c r="T2684" s="146"/>
      <c r="V2684" s="147"/>
      <c r="W2684" s="146"/>
      <c r="Y2684" s="147"/>
    </row>
    <row r="2685" spans="3:25">
      <c r="C2685" s="146"/>
      <c r="E2685" s="147"/>
      <c r="F2685" s="146"/>
      <c r="I2685" s="147"/>
      <c r="J2685" s="146"/>
      <c r="M2685" s="147"/>
      <c r="Q2685" s="146"/>
      <c r="T2685" s="146"/>
      <c r="V2685" s="147"/>
      <c r="W2685" s="146"/>
      <c r="Y2685" s="147"/>
    </row>
    <row r="2686" spans="3:25">
      <c r="C2686" s="146"/>
      <c r="E2686" s="147"/>
      <c r="F2686" s="146"/>
      <c r="I2686" s="147"/>
      <c r="J2686" s="146"/>
      <c r="M2686" s="147"/>
      <c r="Q2686" s="146"/>
      <c r="T2686" s="146"/>
      <c r="V2686" s="147"/>
      <c r="W2686" s="146"/>
      <c r="Y2686" s="147"/>
    </row>
    <row r="2687" spans="3:25">
      <c r="C2687" s="146"/>
      <c r="E2687" s="147"/>
      <c r="F2687" s="146"/>
      <c r="I2687" s="147"/>
      <c r="J2687" s="146"/>
      <c r="M2687" s="147"/>
      <c r="Q2687" s="146"/>
      <c r="T2687" s="146"/>
      <c r="V2687" s="147"/>
      <c r="W2687" s="146"/>
      <c r="Y2687" s="147"/>
    </row>
    <row r="2688" spans="3:25">
      <c r="C2688" s="146"/>
      <c r="E2688" s="147"/>
      <c r="F2688" s="146"/>
      <c r="I2688" s="147"/>
      <c r="J2688" s="146"/>
      <c r="M2688" s="147"/>
      <c r="Q2688" s="146"/>
      <c r="T2688" s="146"/>
      <c r="V2688" s="147"/>
      <c r="W2688" s="146"/>
      <c r="Y2688" s="147"/>
    </row>
    <row r="2689" spans="3:25">
      <c r="C2689" s="146"/>
      <c r="E2689" s="147"/>
      <c r="F2689" s="146"/>
      <c r="I2689" s="147"/>
      <c r="J2689" s="146"/>
      <c r="M2689" s="147"/>
      <c r="Q2689" s="146"/>
      <c r="T2689" s="146"/>
      <c r="V2689" s="147"/>
      <c r="W2689" s="146"/>
      <c r="Y2689" s="147"/>
    </row>
    <row r="2690" spans="3:25">
      <c r="C2690" s="146"/>
      <c r="E2690" s="147"/>
      <c r="F2690" s="146"/>
      <c r="I2690" s="147"/>
      <c r="J2690" s="146"/>
      <c r="M2690" s="147"/>
      <c r="Q2690" s="146"/>
      <c r="T2690" s="146"/>
      <c r="V2690" s="147"/>
      <c r="W2690" s="146"/>
      <c r="Y2690" s="147"/>
    </row>
    <row r="2691" spans="3:25">
      <c r="C2691" s="146"/>
      <c r="E2691" s="147"/>
      <c r="F2691" s="146"/>
      <c r="I2691" s="147"/>
      <c r="J2691" s="146"/>
      <c r="M2691" s="147"/>
      <c r="Q2691" s="146"/>
      <c r="T2691" s="146"/>
      <c r="V2691" s="147"/>
      <c r="W2691" s="146"/>
      <c r="Y2691" s="147"/>
    </row>
    <row r="2692" spans="3:25">
      <c r="C2692" s="146"/>
      <c r="E2692" s="147"/>
      <c r="F2692" s="146"/>
      <c r="I2692" s="147"/>
      <c r="J2692" s="146"/>
      <c r="M2692" s="147"/>
      <c r="Q2692" s="146"/>
      <c r="T2692" s="146"/>
      <c r="V2692" s="147"/>
      <c r="W2692" s="146"/>
      <c r="Y2692" s="147"/>
    </row>
    <row r="2693" spans="3:25">
      <c r="C2693" s="146"/>
      <c r="E2693" s="147"/>
      <c r="F2693" s="146"/>
      <c r="I2693" s="147"/>
      <c r="J2693" s="146"/>
      <c r="M2693" s="147"/>
      <c r="Q2693" s="146"/>
      <c r="T2693" s="146"/>
      <c r="V2693" s="147"/>
      <c r="W2693" s="146"/>
      <c r="Y2693" s="147"/>
    </row>
    <row r="2694" spans="3:25">
      <c r="C2694" s="146"/>
      <c r="E2694" s="147"/>
      <c r="F2694" s="146"/>
      <c r="I2694" s="147"/>
      <c r="J2694" s="146"/>
      <c r="M2694" s="147"/>
      <c r="Q2694" s="146"/>
      <c r="T2694" s="146"/>
      <c r="V2694" s="147"/>
      <c r="W2694" s="146"/>
      <c r="Y2694" s="147"/>
    </row>
    <row r="2695" spans="3:25">
      <c r="C2695" s="146"/>
      <c r="E2695" s="147"/>
      <c r="F2695" s="146"/>
      <c r="I2695" s="147"/>
      <c r="J2695" s="146"/>
      <c r="M2695" s="147"/>
      <c r="Q2695" s="146"/>
      <c r="T2695" s="146"/>
      <c r="V2695" s="147"/>
      <c r="W2695" s="146"/>
      <c r="Y2695" s="147"/>
    </row>
    <row r="2696" spans="3:25">
      <c r="C2696" s="146"/>
      <c r="E2696" s="147"/>
      <c r="F2696" s="146"/>
      <c r="I2696" s="147"/>
      <c r="J2696" s="146"/>
      <c r="M2696" s="147"/>
      <c r="Q2696" s="146"/>
      <c r="T2696" s="146"/>
      <c r="V2696" s="147"/>
      <c r="W2696" s="146"/>
      <c r="Y2696" s="147"/>
    </row>
    <row r="2697" spans="3:25">
      <c r="C2697" s="146"/>
      <c r="E2697" s="147"/>
      <c r="F2697" s="146"/>
      <c r="I2697" s="147"/>
      <c r="J2697" s="146"/>
      <c r="M2697" s="147"/>
      <c r="Q2697" s="146"/>
      <c r="T2697" s="146"/>
      <c r="V2697" s="147"/>
      <c r="W2697" s="146"/>
      <c r="Y2697" s="147"/>
    </row>
    <row r="2698" spans="3:25">
      <c r="C2698" s="146"/>
      <c r="E2698" s="147"/>
      <c r="F2698" s="146"/>
      <c r="I2698" s="147"/>
      <c r="J2698" s="146"/>
      <c r="M2698" s="147"/>
      <c r="Q2698" s="146"/>
      <c r="T2698" s="146"/>
      <c r="V2698" s="147"/>
      <c r="W2698" s="146"/>
      <c r="Y2698" s="147"/>
    </row>
    <row r="2699" spans="3:25">
      <c r="C2699" s="146"/>
      <c r="E2699" s="147"/>
      <c r="F2699" s="146"/>
      <c r="I2699" s="147"/>
      <c r="J2699" s="146"/>
      <c r="M2699" s="147"/>
      <c r="Q2699" s="146"/>
      <c r="T2699" s="146"/>
      <c r="V2699" s="147"/>
      <c r="W2699" s="146"/>
      <c r="Y2699" s="147"/>
    </row>
    <row r="2700" spans="3:25">
      <c r="C2700" s="146"/>
      <c r="E2700" s="147"/>
      <c r="F2700" s="146"/>
      <c r="I2700" s="147"/>
      <c r="J2700" s="146"/>
      <c r="M2700" s="147"/>
      <c r="Q2700" s="146"/>
      <c r="T2700" s="146"/>
      <c r="V2700" s="147"/>
      <c r="W2700" s="146"/>
      <c r="Y2700" s="147"/>
    </row>
    <row r="2701" spans="3:25">
      <c r="C2701" s="146"/>
      <c r="E2701" s="147"/>
      <c r="F2701" s="146"/>
      <c r="I2701" s="147"/>
      <c r="J2701" s="146"/>
      <c r="M2701" s="147"/>
      <c r="Q2701" s="146"/>
      <c r="T2701" s="146"/>
      <c r="V2701" s="147"/>
      <c r="W2701" s="146"/>
      <c r="Y2701" s="147"/>
    </row>
    <row r="2702" spans="3:25">
      <c r="C2702" s="146"/>
      <c r="E2702" s="147"/>
      <c r="F2702" s="146"/>
      <c r="I2702" s="147"/>
      <c r="J2702" s="146"/>
      <c r="M2702" s="147"/>
      <c r="Q2702" s="146"/>
      <c r="T2702" s="146"/>
      <c r="V2702" s="147"/>
      <c r="W2702" s="146"/>
      <c r="Y2702" s="147"/>
    </row>
    <row r="2703" spans="3:25">
      <c r="C2703" s="146"/>
      <c r="E2703" s="147"/>
      <c r="F2703" s="146"/>
      <c r="I2703" s="147"/>
      <c r="J2703" s="146"/>
      <c r="M2703" s="147"/>
      <c r="Q2703" s="146"/>
      <c r="T2703" s="146"/>
      <c r="V2703" s="147"/>
      <c r="W2703" s="146"/>
      <c r="Y2703" s="147"/>
    </row>
    <row r="2704" spans="3:25">
      <c r="C2704" s="146"/>
      <c r="E2704" s="147"/>
      <c r="F2704" s="146"/>
      <c r="I2704" s="147"/>
      <c r="J2704" s="146"/>
      <c r="M2704" s="147"/>
      <c r="Q2704" s="146"/>
      <c r="T2704" s="146"/>
      <c r="V2704" s="147"/>
      <c r="W2704" s="146"/>
      <c r="Y2704" s="147"/>
    </row>
    <row r="2705" spans="3:25">
      <c r="C2705" s="146"/>
      <c r="E2705" s="147"/>
      <c r="F2705" s="146"/>
      <c r="I2705" s="147"/>
      <c r="J2705" s="146"/>
      <c r="M2705" s="147"/>
      <c r="Q2705" s="146"/>
      <c r="T2705" s="146"/>
      <c r="V2705" s="147"/>
      <c r="W2705" s="146"/>
      <c r="Y2705" s="147"/>
    </row>
    <row r="2706" spans="3:25">
      <c r="C2706" s="146"/>
      <c r="E2706" s="147"/>
      <c r="F2706" s="146"/>
      <c r="I2706" s="147"/>
      <c r="J2706" s="146"/>
      <c r="M2706" s="147"/>
      <c r="Q2706" s="146"/>
      <c r="T2706" s="146"/>
      <c r="V2706" s="147"/>
      <c r="W2706" s="146"/>
      <c r="Y2706" s="147"/>
    </row>
    <row r="2707" spans="3:25">
      <c r="C2707" s="146"/>
      <c r="E2707" s="147"/>
      <c r="F2707" s="146"/>
      <c r="I2707" s="147"/>
      <c r="J2707" s="146"/>
      <c r="M2707" s="147"/>
      <c r="Q2707" s="146"/>
      <c r="T2707" s="146"/>
      <c r="V2707" s="147"/>
      <c r="W2707" s="146"/>
      <c r="Y2707" s="147"/>
    </row>
    <row r="2708" spans="3:25">
      <c r="C2708" s="146"/>
      <c r="E2708" s="147"/>
      <c r="F2708" s="146"/>
      <c r="I2708" s="147"/>
      <c r="J2708" s="146"/>
      <c r="M2708" s="147"/>
      <c r="Q2708" s="146"/>
      <c r="T2708" s="146"/>
      <c r="V2708" s="147"/>
      <c r="W2708" s="146"/>
      <c r="Y2708" s="147"/>
    </row>
    <row r="2709" spans="3:25">
      <c r="C2709" s="146"/>
      <c r="E2709" s="147"/>
      <c r="F2709" s="146"/>
      <c r="I2709" s="147"/>
      <c r="J2709" s="146"/>
      <c r="M2709" s="147"/>
      <c r="Q2709" s="146"/>
      <c r="T2709" s="146"/>
      <c r="V2709" s="147"/>
      <c r="W2709" s="146"/>
      <c r="Y2709" s="147"/>
    </row>
    <row r="2710" spans="3:25">
      <c r="C2710" s="146"/>
      <c r="E2710" s="147"/>
      <c r="F2710" s="146"/>
      <c r="I2710" s="147"/>
      <c r="J2710" s="146"/>
      <c r="M2710" s="147"/>
      <c r="Q2710" s="146"/>
      <c r="T2710" s="146"/>
      <c r="V2710" s="147"/>
      <c r="W2710" s="146"/>
      <c r="Y2710" s="147"/>
    </row>
    <row r="2711" spans="3:25">
      <c r="C2711" s="146"/>
      <c r="E2711" s="147"/>
      <c r="F2711" s="146"/>
      <c r="I2711" s="147"/>
      <c r="J2711" s="146"/>
      <c r="M2711" s="147"/>
      <c r="Q2711" s="146"/>
      <c r="T2711" s="146"/>
      <c r="V2711" s="147"/>
      <c r="W2711" s="146"/>
      <c r="Y2711" s="147"/>
    </row>
    <row r="2712" spans="3:25">
      <c r="C2712" s="146"/>
      <c r="E2712" s="147"/>
      <c r="F2712" s="146"/>
      <c r="I2712" s="147"/>
      <c r="J2712" s="146"/>
      <c r="M2712" s="147"/>
      <c r="Q2712" s="146"/>
      <c r="T2712" s="146"/>
      <c r="V2712" s="147"/>
      <c r="W2712" s="146"/>
      <c r="Y2712" s="147"/>
    </row>
    <row r="2713" spans="3:25">
      <c r="C2713" s="146"/>
      <c r="E2713" s="147"/>
      <c r="F2713" s="146"/>
      <c r="I2713" s="147"/>
      <c r="J2713" s="146"/>
      <c r="M2713" s="147"/>
      <c r="Q2713" s="146"/>
      <c r="T2713" s="146"/>
      <c r="V2713" s="147"/>
      <c r="W2713" s="146"/>
      <c r="Y2713" s="147"/>
    </row>
    <row r="2714" spans="3:25">
      <c r="C2714" s="146"/>
      <c r="E2714" s="147"/>
      <c r="F2714" s="146"/>
      <c r="I2714" s="147"/>
      <c r="J2714" s="146"/>
      <c r="M2714" s="147"/>
      <c r="Q2714" s="146"/>
      <c r="T2714" s="146"/>
      <c r="V2714" s="147"/>
      <c r="W2714" s="146"/>
      <c r="Y2714" s="147"/>
    </row>
    <row r="2715" spans="3:25">
      <c r="C2715" s="146"/>
      <c r="E2715" s="147"/>
      <c r="F2715" s="146"/>
      <c r="I2715" s="147"/>
      <c r="J2715" s="146"/>
      <c r="M2715" s="147"/>
      <c r="Q2715" s="146"/>
      <c r="T2715" s="146"/>
      <c r="V2715" s="147"/>
      <c r="W2715" s="146"/>
      <c r="Y2715" s="147"/>
    </row>
    <row r="2716" spans="3:25">
      <c r="C2716" s="146"/>
      <c r="E2716" s="147"/>
      <c r="F2716" s="146"/>
      <c r="I2716" s="147"/>
      <c r="J2716" s="146"/>
      <c r="M2716" s="147"/>
      <c r="Q2716" s="146"/>
      <c r="T2716" s="146"/>
      <c r="V2716" s="147"/>
      <c r="W2716" s="146"/>
      <c r="Y2716" s="147"/>
    </row>
    <row r="2717" spans="3:25" ht="16.5" thickBot="1">
      <c r="C2717" s="146"/>
      <c r="E2717" s="147"/>
      <c r="F2717" s="146"/>
      <c r="I2717" s="147"/>
      <c r="J2717" s="359"/>
      <c r="K2717" s="362"/>
      <c r="L2717" s="363"/>
      <c r="M2717" s="361"/>
      <c r="Q2717" s="146"/>
      <c r="T2717" s="146"/>
      <c r="V2717" s="147"/>
      <c r="W2717" s="146"/>
      <c r="Y2717" s="147"/>
    </row>
    <row r="2718" spans="3:25">
      <c r="C2718" s="146"/>
      <c r="E2718" s="147"/>
      <c r="F2718" s="146"/>
      <c r="I2718" s="147"/>
      <c r="Q2718" s="146"/>
      <c r="T2718" s="146"/>
      <c r="V2718" s="147"/>
      <c r="W2718" s="146"/>
      <c r="Y2718" s="147"/>
    </row>
    <row r="2719" spans="3:25">
      <c r="C2719" s="146"/>
      <c r="E2719" s="147"/>
      <c r="F2719" s="146"/>
      <c r="I2719" s="147"/>
      <c r="Q2719" s="146"/>
      <c r="T2719" s="146"/>
      <c r="V2719" s="147"/>
      <c r="W2719" s="146"/>
      <c r="Y2719" s="147"/>
    </row>
    <row r="2720" spans="3:25">
      <c r="C2720" s="146"/>
      <c r="E2720" s="147"/>
      <c r="F2720" s="146"/>
      <c r="I2720" s="147"/>
      <c r="Q2720" s="146"/>
      <c r="T2720" s="146"/>
      <c r="V2720" s="147"/>
      <c r="W2720" s="146"/>
      <c r="Y2720" s="147"/>
    </row>
    <row r="2721" spans="3:25">
      <c r="C2721" s="146"/>
      <c r="E2721" s="147"/>
      <c r="F2721" s="146"/>
      <c r="I2721" s="147"/>
      <c r="Q2721" s="146"/>
      <c r="T2721" s="146"/>
      <c r="V2721" s="147"/>
      <c r="W2721" s="146"/>
      <c r="Y2721" s="147"/>
    </row>
    <row r="2722" spans="3:25">
      <c r="C2722" s="146"/>
      <c r="E2722" s="147"/>
      <c r="F2722" s="146"/>
      <c r="I2722" s="147"/>
      <c r="Q2722" s="146"/>
      <c r="T2722" s="146"/>
      <c r="V2722" s="147"/>
      <c r="W2722" s="146"/>
      <c r="Y2722" s="147"/>
    </row>
    <row r="2723" spans="3:25">
      <c r="C2723" s="146"/>
      <c r="E2723" s="147"/>
      <c r="F2723" s="146"/>
      <c r="I2723" s="147"/>
      <c r="Q2723" s="146"/>
      <c r="T2723" s="146"/>
      <c r="V2723" s="147"/>
      <c r="W2723" s="146"/>
      <c r="Y2723" s="147"/>
    </row>
    <row r="2724" spans="3:25">
      <c r="C2724" s="146"/>
      <c r="E2724" s="147"/>
      <c r="F2724" s="146"/>
      <c r="I2724" s="147"/>
      <c r="Q2724" s="146"/>
      <c r="T2724" s="146"/>
      <c r="V2724" s="147"/>
      <c r="W2724" s="146"/>
      <c r="Y2724" s="147"/>
    </row>
    <row r="2725" spans="3:25">
      <c r="C2725" s="146"/>
      <c r="E2725" s="147"/>
      <c r="F2725" s="146"/>
      <c r="I2725" s="147"/>
      <c r="Q2725" s="146"/>
      <c r="T2725" s="146"/>
      <c r="V2725" s="147"/>
      <c r="W2725" s="146"/>
      <c r="Y2725" s="147"/>
    </row>
    <row r="2726" spans="3:25">
      <c r="C2726" s="146"/>
      <c r="E2726" s="147"/>
      <c r="F2726" s="146"/>
      <c r="I2726" s="147"/>
      <c r="Q2726" s="146"/>
      <c r="T2726" s="146"/>
      <c r="V2726" s="147"/>
      <c r="W2726" s="146"/>
      <c r="Y2726" s="147"/>
    </row>
    <row r="2727" spans="3:25">
      <c r="C2727" s="146"/>
      <c r="E2727" s="147"/>
      <c r="F2727" s="146"/>
      <c r="I2727" s="147"/>
      <c r="Q2727" s="146"/>
      <c r="T2727" s="146"/>
      <c r="V2727" s="147"/>
      <c r="W2727" s="146"/>
      <c r="Y2727" s="147"/>
    </row>
    <row r="2728" spans="3:25">
      <c r="C2728" s="146"/>
      <c r="E2728" s="147"/>
      <c r="F2728" s="146"/>
      <c r="I2728" s="147"/>
      <c r="Q2728" s="146"/>
      <c r="T2728" s="146"/>
      <c r="V2728" s="147"/>
      <c r="W2728" s="146"/>
      <c r="Y2728" s="147"/>
    </row>
    <row r="2729" spans="3:25">
      <c r="C2729" s="146"/>
      <c r="E2729" s="147"/>
      <c r="F2729" s="146"/>
      <c r="I2729" s="147"/>
      <c r="Q2729" s="146"/>
      <c r="T2729" s="146"/>
      <c r="V2729" s="147"/>
      <c r="W2729" s="146"/>
      <c r="Y2729" s="147"/>
    </row>
    <row r="2730" spans="3:25">
      <c r="C2730" s="146"/>
      <c r="E2730" s="147"/>
      <c r="F2730" s="146"/>
      <c r="I2730" s="147"/>
      <c r="Q2730" s="146"/>
      <c r="T2730" s="146"/>
      <c r="V2730" s="147"/>
      <c r="W2730" s="146"/>
      <c r="Y2730" s="147"/>
    </row>
    <row r="2731" spans="3:25">
      <c r="C2731" s="146"/>
      <c r="E2731" s="147"/>
      <c r="F2731" s="146"/>
      <c r="I2731" s="147"/>
      <c r="Q2731" s="146"/>
      <c r="T2731" s="146"/>
      <c r="V2731" s="147"/>
      <c r="W2731" s="146"/>
      <c r="Y2731" s="147"/>
    </row>
    <row r="2732" spans="3:25">
      <c r="C2732" s="146"/>
      <c r="E2732" s="147"/>
      <c r="F2732" s="146"/>
      <c r="I2732" s="147"/>
      <c r="Q2732" s="146"/>
      <c r="T2732" s="146"/>
      <c r="V2732" s="147"/>
      <c r="W2732" s="146"/>
      <c r="Y2732" s="147"/>
    </row>
    <row r="2733" spans="3:25">
      <c r="C2733" s="146"/>
      <c r="E2733" s="147"/>
      <c r="F2733" s="146"/>
      <c r="I2733" s="147"/>
      <c r="Q2733" s="146"/>
      <c r="T2733" s="146"/>
      <c r="V2733" s="147"/>
      <c r="W2733" s="146"/>
      <c r="Y2733" s="147"/>
    </row>
    <row r="2734" spans="3:25">
      <c r="C2734" s="146"/>
      <c r="E2734" s="147"/>
      <c r="F2734" s="146"/>
      <c r="I2734" s="147"/>
      <c r="Q2734" s="146"/>
      <c r="T2734" s="146"/>
      <c r="V2734" s="147"/>
      <c r="W2734" s="146"/>
      <c r="Y2734" s="147"/>
    </row>
    <row r="2735" spans="3:25">
      <c r="C2735" s="146"/>
      <c r="E2735" s="147"/>
      <c r="F2735" s="146"/>
      <c r="I2735" s="147"/>
      <c r="Q2735" s="146"/>
      <c r="T2735" s="146"/>
      <c r="V2735" s="147"/>
      <c r="W2735" s="146"/>
      <c r="Y2735" s="147"/>
    </row>
    <row r="2736" spans="3:25">
      <c r="C2736" s="146"/>
      <c r="E2736" s="147"/>
      <c r="F2736" s="146"/>
      <c r="I2736" s="147"/>
      <c r="Q2736" s="146"/>
      <c r="T2736" s="146"/>
      <c r="V2736" s="147"/>
      <c r="W2736" s="146"/>
      <c r="Y2736" s="147"/>
    </row>
    <row r="2737" spans="3:25">
      <c r="C2737" s="146"/>
      <c r="E2737" s="147"/>
      <c r="F2737" s="146"/>
      <c r="I2737" s="147"/>
      <c r="Q2737" s="146"/>
      <c r="T2737" s="146"/>
      <c r="V2737" s="147"/>
      <c r="W2737" s="146"/>
      <c r="Y2737" s="147"/>
    </row>
    <row r="2738" spans="3:25">
      <c r="C2738" s="146"/>
      <c r="E2738" s="147"/>
      <c r="F2738" s="146"/>
      <c r="I2738" s="147"/>
      <c r="Q2738" s="146"/>
      <c r="T2738" s="146"/>
      <c r="V2738" s="147"/>
      <c r="W2738" s="146"/>
      <c r="Y2738" s="147"/>
    </row>
    <row r="2739" spans="3:25">
      <c r="C2739" s="146"/>
      <c r="E2739" s="147"/>
      <c r="F2739" s="146"/>
      <c r="I2739" s="147"/>
      <c r="Q2739" s="146"/>
      <c r="T2739" s="146"/>
      <c r="V2739" s="147"/>
      <c r="W2739" s="146"/>
      <c r="Y2739" s="147"/>
    </row>
    <row r="2740" spans="3:25">
      <c r="C2740" s="146"/>
      <c r="E2740" s="147"/>
      <c r="F2740" s="146"/>
      <c r="I2740" s="147"/>
      <c r="Q2740" s="146"/>
      <c r="T2740" s="146"/>
      <c r="V2740" s="147"/>
      <c r="W2740" s="146"/>
      <c r="Y2740" s="147"/>
    </row>
    <row r="2741" spans="3:25">
      <c r="C2741" s="146"/>
      <c r="E2741" s="147"/>
      <c r="F2741" s="146"/>
      <c r="I2741" s="147"/>
      <c r="Q2741" s="146"/>
      <c r="T2741" s="146"/>
      <c r="V2741" s="147"/>
      <c r="W2741" s="146"/>
      <c r="Y2741" s="147"/>
    </row>
    <row r="2742" spans="3:25">
      <c r="C2742" s="146"/>
      <c r="E2742" s="147"/>
      <c r="F2742" s="146"/>
      <c r="I2742" s="147"/>
      <c r="Q2742" s="146"/>
      <c r="T2742" s="146"/>
      <c r="V2742" s="147"/>
      <c r="W2742" s="146"/>
      <c r="Y2742" s="147"/>
    </row>
    <row r="2743" spans="3:25">
      <c r="C2743" s="146"/>
      <c r="E2743" s="147"/>
      <c r="F2743" s="146"/>
      <c r="I2743" s="147"/>
      <c r="Q2743" s="146"/>
      <c r="T2743" s="146"/>
      <c r="V2743" s="147"/>
      <c r="W2743" s="146"/>
      <c r="Y2743" s="147"/>
    </row>
    <row r="2744" spans="3:25">
      <c r="C2744" s="146"/>
      <c r="E2744" s="147"/>
      <c r="F2744" s="146"/>
      <c r="I2744" s="147"/>
      <c r="Q2744" s="146"/>
      <c r="T2744" s="146"/>
      <c r="V2744" s="147"/>
      <c r="W2744" s="146"/>
      <c r="Y2744" s="147"/>
    </row>
    <row r="2745" spans="3:25">
      <c r="C2745" s="146"/>
      <c r="E2745" s="147"/>
      <c r="F2745" s="146"/>
      <c r="I2745" s="147"/>
      <c r="Q2745" s="146"/>
      <c r="T2745" s="146"/>
      <c r="V2745" s="147"/>
      <c r="W2745" s="146"/>
      <c r="Y2745" s="147"/>
    </row>
    <row r="2746" spans="3:25">
      <c r="C2746" s="146"/>
      <c r="E2746" s="147"/>
      <c r="F2746" s="146"/>
      <c r="I2746" s="147"/>
      <c r="Q2746" s="146"/>
      <c r="T2746" s="146"/>
      <c r="V2746" s="147"/>
      <c r="W2746" s="146"/>
      <c r="Y2746" s="147"/>
    </row>
    <row r="2747" spans="3:25">
      <c r="C2747" s="146"/>
      <c r="E2747" s="147"/>
      <c r="F2747" s="146"/>
      <c r="I2747" s="147"/>
      <c r="Q2747" s="146"/>
      <c r="T2747" s="146"/>
      <c r="V2747" s="147"/>
      <c r="W2747" s="146"/>
      <c r="Y2747" s="147"/>
    </row>
    <row r="2748" spans="3:25">
      <c r="C2748" s="146"/>
      <c r="E2748" s="147"/>
      <c r="F2748" s="146"/>
      <c r="I2748" s="147"/>
      <c r="Q2748" s="146"/>
      <c r="T2748" s="146"/>
      <c r="V2748" s="147"/>
      <c r="W2748" s="146"/>
      <c r="Y2748" s="147"/>
    </row>
    <row r="2749" spans="3:25">
      <c r="C2749" s="146"/>
      <c r="E2749" s="147"/>
      <c r="F2749" s="146"/>
      <c r="I2749" s="147"/>
      <c r="Q2749" s="146"/>
      <c r="T2749" s="146"/>
      <c r="V2749" s="147"/>
      <c r="W2749" s="146"/>
      <c r="Y2749" s="147"/>
    </row>
    <row r="2750" spans="3:25">
      <c r="C2750" s="146"/>
      <c r="E2750" s="147"/>
      <c r="F2750" s="146"/>
      <c r="I2750" s="147"/>
      <c r="Q2750" s="146"/>
      <c r="T2750" s="146"/>
      <c r="V2750" s="147"/>
      <c r="W2750" s="146"/>
      <c r="Y2750" s="147"/>
    </row>
    <row r="2751" spans="3:25">
      <c r="C2751" s="146"/>
      <c r="E2751" s="147"/>
      <c r="F2751" s="146"/>
      <c r="I2751" s="147"/>
      <c r="Q2751" s="146"/>
      <c r="T2751" s="146"/>
      <c r="V2751" s="147"/>
      <c r="W2751" s="146"/>
      <c r="Y2751" s="147"/>
    </row>
    <row r="2752" spans="3:25">
      <c r="C2752" s="146"/>
      <c r="E2752" s="147"/>
      <c r="F2752" s="146"/>
      <c r="I2752" s="147"/>
      <c r="Q2752" s="146"/>
      <c r="T2752" s="146"/>
      <c r="V2752" s="147"/>
      <c r="W2752" s="146"/>
      <c r="Y2752" s="147"/>
    </row>
    <row r="2753" spans="3:25">
      <c r="C2753" s="146"/>
      <c r="E2753" s="147"/>
      <c r="F2753" s="146"/>
      <c r="I2753" s="147"/>
      <c r="Q2753" s="146"/>
      <c r="T2753" s="146"/>
      <c r="V2753" s="147"/>
      <c r="W2753" s="146"/>
      <c r="Y2753" s="147"/>
    </row>
    <row r="2754" spans="3:25">
      <c r="C2754" s="146"/>
      <c r="E2754" s="147"/>
      <c r="F2754" s="146"/>
      <c r="I2754" s="147"/>
      <c r="Q2754" s="146"/>
      <c r="T2754" s="146"/>
      <c r="V2754" s="147"/>
      <c r="W2754" s="146"/>
      <c r="Y2754" s="147"/>
    </row>
    <row r="2755" spans="3:25">
      <c r="C2755" s="146"/>
      <c r="E2755" s="147"/>
      <c r="F2755" s="146"/>
      <c r="I2755" s="147"/>
      <c r="Q2755" s="146"/>
      <c r="T2755" s="146"/>
      <c r="V2755" s="147"/>
      <c r="W2755" s="146"/>
      <c r="Y2755" s="147"/>
    </row>
    <row r="2756" spans="3:25">
      <c r="C2756" s="146"/>
      <c r="E2756" s="147"/>
      <c r="F2756" s="146"/>
      <c r="I2756" s="147"/>
      <c r="Q2756" s="146"/>
      <c r="T2756" s="146"/>
      <c r="V2756" s="147"/>
      <c r="W2756" s="146"/>
      <c r="Y2756" s="147"/>
    </row>
    <row r="2757" spans="3:25">
      <c r="C2757" s="146"/>
      <c r="E2757" s="147"/>
      <c r="F2757" s="146"/>
      <c r="I2757" s="147"/>
      <c r="Q2757" s="146"/>
      <c r="T2757" s="146"/>
      <c r="V2757" s="147"/>
      <c r="W2757" s="146"/>
      <c r="Y2757" s="147"/>
    </row>
    <row r="2758" spans="3:25">
      <c r="C2758" s="146"/>
      <c r="E2758" s="147"/>
      <c r="F2758" s="146"/>
      <c r="I2758" s="147"/>
      <c r="Q2758" s="146"/>
      <c r="T2758" s="146"/>
      <c r="V2758" s="147"/>
      <c r="W2758" s="146"/>
      <c r="Y2758" s="147"/>
    </row>
    <row r="2759" spans="3:25">
      <c r="C2759" s="146"/>
      <c r="E2759" s="147"/>
      <c r="F2759" s="146"/>
      <c r="I2759" s="147"/>
      <c r="Q2759" s="146"/>
      <c r="T2759" s="146"/>
      <c r="V2759" s="147"/>
      <c r="W2759" s="146"/>
      <c r="Y2759" s="147"/>
    </row>
    <row r="2760" spans="3:25">
      <c r="C2760" s="146"/>
      <c r="E2760" s="147"/>
      <c r="F2760" s="146"/>
      <c r="I2760" s="147"/>
      <c r="Q2760" s="146"/>
      <c r="T2760" s="146"/>
      <c r="V2760" s="147"/>
      <c r="W2760" s="146"/>
      <c r="Y2760" s="147"/>
    </row>
    <row r="2761" spans="3:25">
      <c r="C2761" s="146"/>
      <c r="E2761" s="147"/>
      <c r="F2761" s="146"/>
      <c r="I2761" s="147"/>
      <c r="Q2761" s="146"/>
      <c r="T2761" s="146"/>
      <c r="V2761" s="147"/>
      <c r="W2761" s="146"/>
      <c r="Y2761" s="147"/>
    </row>
    <row r="2762" spans="3:25">
      <c r="C2762" s="146"/>
      <c r="E2762" s="147"/>
      <c r="F2762" s="146"/>
      <c r="I2762" s="147"/>
      <c r="Q2762" s="146"/>
      <c r="T2762" s="146"/>
      <c r="V2762" s="147"/>
      <c r="W2762" s="146"/>
      <c r="Y2762" s="147"/>
    </row>
    <row r="2763" spans="3:25">
      <c r="C2763" s="146"/>
      <c r="E2763" s="147"/>
      <c r="F2763" s="146"/>
      <c r="I2763" s="147"/>
      <c r="Q2763" s="146"/>
      <c r="T2763" s="146"/>
      <c r="V2763" s="147"/>
      <c r="W2763" s="146"/>
      <c r="Y2763" s="147"/>
    </row>
    <row r="2764" spans="3:25">
      <c r="C2764" s="146"/>
      <c r="E2764" s="147"/>
      <c r="F2764" s="146"/>
      <c r="I2764" s="147"/>
      <c r="Q2764" s="146"/>
      <c r="T2764" s="146"/>
      <c r="V2764" s="147"/>
      <c r="W2764" s="146"/>
      <c r="Y2764" s="147"/>
    </row>
    <row r="2765" spans="3:25">
      <c r="C2765" s="146"/>
      <c r="E2765" s="147"/>
      <c r="F2765" s="146"/>
      <c r="I2765" s="147"/>
      <c r="Q2765" s="146"/>
      <c r="T2765" s="146"/>
      <c r="V2765" s="147"/>
      <c r="W2765" s="146"/>
      <c r="Y2765" s="147"/>
    </row>
    <row r="2766" spans="3:25">
      <c r="C2766" s="146"/>
      <c r="E2766" s="147"/>
      <c r="F2766" s="146"/>
      <c r="I2766" s="147"/>
      <c r="Q2766" s="146"/>
      <c r="T2766" s="146"/>
      <c r="V2766" s="147"/>
      <c r="W2766" s="146"/>
      <c r="Y2766" s="147"/>
    </row>
    <row r="2767" spans="3:25">
      <c r="C2767" s="146"/>
      <c r="E2767" s="147"/>
      <c r="F2767" s="146"/>
      <c r="I2767" s="147"/>
      <c r="Q2767" s="146"/>
      <c r="T2767" s="146"/>
      <c r="V2767" s="147"/>
      <c r="W2767" s="146"/>
      <c r="Y2767" s="147"/>
    </row>
    <row r="2768" spans="3:25">
      <c r="C2768" s="146"/>
      <c r="E2768" s="147"/>
      <c r="F2768" s="146"/>
      <c r="I2768" s="147"/>
      <c r="Q2768" s="146"/>
      <c r="T2768" s="146"/>
      <c r="V2768" s="147"/>
      <c r="W2768" s="146"/>
      <c r="Y2768" s="147"/>
    </row>
    <row r="2769" spans="3:25">
      <c r="C2769" s="146"/>
      <c r="E2769" s="147"/>
      <c r="F2769" s="146"/>
      <c r="I2769" s="147"/>
      <c r="Q2769" s="146"/>
      <c r="T2769" s="146"/>
      <c r="V2769" s="147"/>
      <c r="W2769" s="146"/>
      <c r="Y2769" s="147"/>
    </row>
    <row r="2770" spans="3:25">
      <c r="C2770" s="146"/>
      <c r="E2770" s="147"/>
      <c r="F2770" s="146"/>
      <c r="I2770" s="147"/>
      <c r="Q2770" s="146"/>
      <c r="T2770" s="146"/>
      <c r="V2770" s="147"/>
      <c r="W2770" s="146"/>
      <c r="Y2770" s="147"/>
    </row>
    <row r="2771" spans="3:25">
      <c r="C2771" s="146"/>
      <c r="E2771" s="147"/>
      <c r="F2771" s="146"/>
      <c r="I2771" s="147"/>
      <c r="Q2771" s="146"/>
      <c r="T2771" s="146"/>
      <c r="V2771" s="147"/>
      <c r="W2771" s="146"/>
      <c r="Y2771" s="147"/>
    </row>
    <row r="2772" spans="3:25">
      <c r="C2772" s="146"/>
      <c r="E2772" s="147"/>
      <c r="F2772" s="146"/>
      <c r="I2772" s="147"/>
      <c r="Q2772" s="146"/>
      <c r="T2772" s="146"/>
      <c r="V2772" s="147"/>
      <c r="W2772" s="146"/>
      <c r="Y2772" s="147"/>
    </row>
    <row r="2773" spans="3:25">
      <c r="C2773" s="146"/>
      <c r="E2773" s="147"/>
      <c r="F2773" s="146"/>
      <c r="I2773" s="147"/>
      <c r="Q2773" s="146"/>
      <c r="T2773" s="146"/>
      <c r="V2773" s="147"/>
      <c r="W2773" s="146"/>
      <c r="Y2773" s="147"/>
    </row>
    <row r="2774" spans="3:25">
      <c r="C2774" s="146"/>
      <c r="E2774" s="147"/>
      <c r="F2774" s="146"/>
      <c r="I2774" s="147"/>
      <c r="Q2774" s="146"/>
      <c r="T2774" s="146"/>
      <c r="V2774" s="147"/>
      <c r="W2774" s="146"/>
      <c r="Y2774" s="147"/>
    </row>
    <row r="2775" spans="3:25">
      <c r="C2775" s="146"/>
      <c r="E2775" s="147"/>
      <c r="F2775" s="146"/>
      <c r="I2775" s="147"/>
      <c r="Q2775" s="146"/>
      <c r="T2775" s="146"/>
      <c r="V2775" s="147"/>
      <c r="W2775" s="146"/>
      <c r="Y2775" s="147"/>
    </row>
    <row r="2776" spans="3:25">
      <c r="C2776" s="146"/>
      <c r="E2776" s="147"/>
      <c r="F2776" s="146"/>
      <c r="I2776" s="147"/>
      <c r="Q2776" s="146"/>
      <c r="T2776" s="146"/>
      <c r="V2776" s="147"/>
      <c r="W2776" s="146"/>
      <c r="Y2776" s="147"/>
    </row>
    <row r="2777" spans="3:25">
      <c r="C2777" s="146"/>
      <c r="E2777" s="147"/>
      <c r="F2777" s="146"/>
      <c r="I2777" s="147"/>
      <c r="Q2777" s="146"/>
      <c r="T2777" s="146"/>
      <c r="V2777" s="147"/>
      <c r="W2777" s="146"/>
      <c r="Y2777" s="147"/>
    </row>
    <row r="2778" spans="3:25">
      <c r="C2778" s="146"/>
      <c r="E2778" s="147"/>
      <c r="F2778" s="146"/>
      <c r="I2778" s="147"/>
      <c r="Q2778" s="146"/>
      <c r="T2778" s="146"/>
      <c r="V2778" s="147"/>
      <c r="W2778" s="146"/>
      <c r="Y2778" s="147"/>
    </row>
    <row r="2779" spans="3:25">
      <c r="C2779" s="146"/>
      <c r="E2779" s="147"/>
      <c r="F2779" s="146"/>
      <c r="I2779" s="147"/>
      <c r="Q2779" s="146"/>
      <c r="T2779" s="146"/>
      <c r="V2779" s="147"/>
      <c r="W2779" s="146"/>
      <c r="Y2779" s="147"/>
    </row>
    <row r="2780" spans="3:25">
      <c r="C2780" s="146"/>
      <c r="E2780" s="147"/>
      <c r="F2780" s="146"/>
      <c r="I2780" s="147"/>
      <c r="Q2780" s="146"/>
      <c r="T2780" s="146"/>
      <c r="V2780" s="147"/>
      <c r="W2780" s="146"/>
      <c r="Y2780" s="147"/>
    </row>
    <row r="2781" spans="3:25">
      <c r="C2781" s="146"/>
      <c r="E2781" s="147"/>
      <c r="F2781" s="146"/>
      <c r="I2781" s="147"/>
      <c r="Q2781" s="146"/>
      <c r="T2781" s="146"/>
      <c r="V2781" s="147"/>
      <c r="W2781" s="146"/>
      <c r="Y2781" s="147"/>
    </row>
    <row r="2782" spans="3:25">
      <c r="C2782" s="146"/>
      <c r="E2782" s="147"/>
      <c r="F2782" s="146"/>
      <c r="I2782" s="147"/>
      <c r="Q2782" s="146"/>
      <c r="T2782" s="146"/>
      <c r="V2782" s="147"/>
      <c r="W2782" s="146"/>
      <c r="Y2782" s="147"/>
    </row>
    <row r="2783" spans="3:25">
      <c r="C2783" s="146"/>
      <c r="E2783" s="147"/>
      <c r="F2783" s="146"/>
      <c r="I2783" s="147"/>
      <c r="Q2783" s="146"/>
      <c r="T2783" s="146"/>
      <c r="V2783" s="147"/>
      <c r="W2783" s="146"/>
      <c r="Y2783" s="147"/>
    </row>
    <row r="2784" spans="3:25">
      <c r="C2784" s="146"/>
      <c r="E2784" s="147"/>
      <c r="F2784" s="146"/>
      <c r="I2784" s="147"/>
      <c r="Q2784" s="146"/>
      <c r="T2784" s="146"/>
      <c r="V2784" s="147"/>
      <c r="W2784" s="146"/>
      <c r="Y2784" s="147"/>
    </row>
    <row r="2785" spans="3:25">
      <c r="C2785" s="146"/>
      <c r="E2785" s="147"/>
      <c r="F2785" s="146"/>
      <c r="I2785" s="147"/>
      <c r="Q2785" s="146"/>
      <c r="T2785" s="146"/>
      <c r="V2785" s="147"/>
      <c r="W2785" s="146"/>
      <c r="Y2785" s="147"/>
    </row>
    <row r="2786" spans="3:25">
      <c r="C2786" s="146"/>
      <c r="E2786" s="147"/>
      <c r="F2786" s="146"/>
      <c r="I2786" s="147"/>
      <c r="Q2786" s="146"/>
      <c r="T2786" s="146"/>
      <c r="V2786" s="147"/>
      <c r="W2786" s="146"/>
      <c r="Y2786" s="147"/>
    </row>
    <row r="2787" spans="3:25">
      <c r="C2787" s="146"/>
      <c r="E2787" s="147"/>
      <c r="F2787" s="146"/>
      <c r="I2787" s="147"/>
      <c r="Q2787" s="146"/>
      <c r="T2787" s="146"/>
      <c r="V2787" s="147"/>
      <c r="W2787" s="146"/>
      <c r="Y2787" s="147"/>
    </row>
    <row r="2788" spans="3:25">
      <c r="C2788" s="146"/>
      <c r="E2788" s="147"/>
      <c r="F2788" s="146"/>
      <c r="I2788" s="147"/>
      <c r="Q2788" s="146"/>
      <c r="T2788" s="146"/>
      <c r="V2788" s="147"/>
      <c r="W2788" s="146"/>
      <c r="Y2788" s="147"/>
    </row>
    <row r="2789" spans="3:25">
      <c r="C2789" s="146"/>
      <c r="E2789" s="147"/>
      <c r="F2789" s="146"/>
      <c r="I2789" s="147"/>
      <c r="Q2789" s="146"/>
      <c r="T2789" s="146"/>
      <c r="V2789" s="147"/>
      <c r="W2789" s="146"/>
      <c r="Y2789" s="147"/>
    </row>
    <row r="2790" spans="3:25">
      <c r="C2790" s="146"/>
      <c r="E2790" s="147"/>
      <c r="F2790" s="146"/>
      <c r="I2790" s="147"/>
      <c r="Q2790" s="146"/>
      <c r="T2790" s="146"/>
      <c r="V2790" s="147"/>
      <c r="W2790" s="146"/>
      <c r="Y2790" s="147"/>
    </row>
    <row r="2791" spans="3:25">
      <c r="C2791" s="146"/>
      <c r="E2791" s="147"/>
      <c r="F2791" s="146"/>
      <c r="I2791" s="147"/>
      <c r="Q2791" s="146"/>
      <c r="T2791" s="146"/>
      <c r="V2791" s="147"/>
      <c r="W2791" s="146"/>
      <c r="Y2791" s="147"/>
    </row>
    <row r="2792" spans="3:25">
      <c r="C2792" s="146"/>
      <c r="E2792" s="147"/>
      <c r="F2792" s="146"/>
      <c r="I2792" s="147"/>
      <c r="Q2792" s="146"/>
      <c r="T2792" s="146"/>
      <c r="V2792" s="147"/>
      <c r="W2792" s="146"/>
      <c r="Y2792" s="147"/>
    </row>
    <row r="2793" spans="3:25">
      <c r="C2793" s="146"/>
      <c r="E2793" s="147"/>
      <c r="F2793" s="146"/>
      <c r="I2793" s="147"/>
      <c r="Q2793" s="146"/>
      <c r="T2793" s="146"/>
      <c r="V2793" s="147"/>
      <c r="W2793" s="146"/>
      <c r="Y2793" s="147"/>
    </row>
    <row r="2794" spans="3:25">
      <c r="C2794" s="146"/>
      <c r="E2794" s="147"/>
      <c r="F2794" s="146"/>
      <c r="I2794" s="147"/>
      <c r="Q2794" s="146"/>
      <c r="T2794" s="146"/>
      <c r="V2794" s="147"/>
      <c r="W2794" s="146"/>
      <c r="Y2794" s="147"/>
    </row>
    <row r="2795" spans="3:25">
      <c r="C2795" s="146"/>
      <c r="E2795" s="147"/>
      <c r="F2795" s="146"/>
      <c r="I2795" s="147"/>
      <c r="Q2795" s="146"/>
      <c r="T2795" s="146"/>
      <c r="V2795" s="147"/>
      <c r="W2795" s="146"/>
      <c r="Y2795" s="147"/>
    </row>
    <row r="2796" spans="3:25">
      <c r="C2796" s="146"/>
      <c r="E2796" s="147"/>
      <c r="F2796" s="146"/>
      <c r="I2796" s="147"/>
      <c r="Q2796" s="146"/>
      <c r="T2796" s="146"/>
      <c r="V2796" s="147"/>
      <c r="W2796" s="146"/>
      <c r="Y2796" s="147"/>
    </row>
    <row r="2797" spans="3:25">
      <c r="C2797" s="146"/>
      <c r="E2797" s="147"/>
      <c r="F2797" s="146"/>
      <c r="I2797" s="147"/>
      <c r="Q2797" s="146"/>
      <c r="T2797" s="146"/>
      <c r="V2797" s="147"/>
      <c r="W2797" s="146"/>
      <c r="Y2797" s="147"/>
    </row>
    <row r="2798" spans="3:25">
      <c r="C2798" s="146"/>
      <c r="E2798" s="147"/>
      <c r="F2798" s="146"/>
      <c r="I2798" s="147"/>
      <c r="Q2798" s="146"/>
      <c r="T2798" s="146"/>
      <c r="V2798" s="147"/>
      <c r="W2798" s="146"/>
      <c r="Y2798" s="147"/>
    </row>
    <row r="2799" spans="3:25">
      <c r="C2799" s="146"/>
      <c r="E2799" s="147"/>
      <c r="F2799" s="146"/>
      <c r="I2799" s="147"/>
      <c r="Q2799" s="146"/>
      <c r="T2799" s="146"/>
      <c r="V2799" s="147"/>
      <c r="W2799" s="146"/>
      <c r="Y2799" s="147"/>
    </row>
    <row r="2800" spans="3:25">
      <c r="C2800" s="146"/>
      <c r="E2800" s="147"/>
      <c r="F2800" s="146"/>
      <c r="I2800" s="147"/>
      <c r="Q2800" s="146"/>
      <c r="T2800" s="146"/>
      <c r="V2800" s="147"/>
      <c r="W2800" s="146"/>
      <c r="Y2800" s="147"/>
    </row>
    <row r="2801" spans="3:25">
      <c r="C2801" s="146"/>
      <c r="E2801" s="147"/>
      <c r="F2801" s="146"/>
      <c r="I2801" s="147"/>
      <c r="Q2801" s="146"/>
      <c r="T2801" s="146"/>
      <c r="V2801" s="147"/>
      <c r="W2801" s="146"/>
      <c r="Y2801" s="147"/>
    </row>
    <row r="2802" spans="3:25">
      <c r="C2802" s="146"/>
      <c r="E2802" s="147"/>
      <c r="F2802" s="146"/>
      <c r="I2802" s="147"/>
      <c r="Q2802" s="146"/>
      <c r="T2802" s="146"/>
      <c r="V2802" s="147"/>
      <c r="W2802" s="146"/>
      <c r="Y2802" s="147"/>
    </row>
    <row r="2803" spans="3:25">
      <c r="C2803" s="146"/>
      <c r="E2803" s="147"/>
      <c r="F2803" s="146"/>
      <c r="I2803" s="147"/>
      <c r="Q2803" s="146"/>
      <c r="T2803" s="146"/>
      <c r="V2803" s="147"/>
      <c r="W2803" s="146"/>
      <c r="Y2803" s="147"/>
    </row>
    <row r="2804" spans="3:25">
      <c r="C2804" s="146"/>
      <c r="E2804" s="147"/>
      <c r="F2804" s="146"/>
      <c r="I2804" s="147"/>
      <c r="Q2804" s="146"/>
      <c r="T2804" s="146"/>
      <c r="V2804" s="147"/>
      <c r="W2804" s="146"/>
      <c r="Y2804" s="147"/>
    </row>
    <row r="2805" spans="3:25">
      <c r="C2805" s="146"/>
      <c r="E2805" s="147"/>
      <c r="F2805" s="146"/>
      <c r="I2805" s="147"/>
      <c r="Q2805" s="146"/>
      <c r="T2805" s="146"/>
      <c r="V2805" s="147"/>
      <c r="W2805" s="146"/>
      <c r="Y2805" s="147"/>
    </row>
    <row r="2806" spans="3:25">
      <c r="C2806" s="146"/>
      <c r="E2806" s="147"/>
      <c r="F2806" s="146"/>
      <c r="I2806" s="147"/>
      <c r="Q2806" s="146"/>
      <c r="T2806" s="146"/>
      <c r="V2806" s="147"/>
      <c r="W2806" s="146"/>
      <c r="Y2806" s="147"/>
    </row>
    <row r="2807" spans="3:25">
      <c r="C2807" s="146"/>
      <c r="E2807" s="147"/>
      <c r="F2807" s="146"/>
      <c r="I2807" s="147"/>
      <c r="Q2807" s="146"/>
      <c r="T2807" s="146"/>
      <c r="V2807" s="147"/>
      <c r="W2807" s="146"/>
      <c r="Y2807" s="147"/>
    </row>
    <row r="2808" spans="3:25">
      <c r="C2808" s="146"/>
      <c r="E2808" s="147"/>
      <c r="F2808" s="146"/>
      <c r="I2808" s="147"/>
      <c r="Q2808" s="146"/>
      <c r="T2808" s="146"/>
      <c r="V2808" s="147"/>
      <c r="W2808" s="146"/>
      <c r="Y2808" s="147"/>
    </row>
    <row r="2809" spans="3:25">
      <c r="C2809" s="146"/>
      <c r="E2809" s="147"/>
      <c r="F2809" s="146"/>
      <c r="I2809" s="147"/>
      <c r="Q2809" s="146"/>
      <c r="T2809" s="146"/>
      <c r="V2809" s="147"/>
      <c r="W2809" s="146"/>
      <c r="Y2809" s="147"/>
    </row>
    <row r="2810" spans="3:25">
      <c r="C2810" s="146"/>
      <c r="E2810" s="147"/>
      <c r="F2810" s="146"/>
      <c r="I2810" s="147"/>
      <c r="Q2810" s="146"/>
      <c r="T2810" s="146"/>
      <c r="V2810" s="147"/>
      <c r="W2810" s="146"/>
      <c r="Y2810" s="147"/>
    </row>
    <row r="2811" spans="3:25">
      <c r="C2811" s="146"/>
      <c r="E2811" s="147"/>
      <c r="F2811" s="146"/>
      <c r="I2811" s="147"/>
      <c r="Q2811" s="146"/>
      <c r="T2811" s="146"/>
      <c r="V2811" s="147"/>
      <c r="W2811" s="146"/>
      <c r="Y2811" s="147"/>
    </row>
    <row r="2812" spans="3:25">
      <c r="C2812" s="146"/>
      <c r="E2812" s="147"/>
      <c r="F2812" s="146"/>
      <c r="I2812" s="147"/>
      <c r="Q2812" s="146"/>
      <c r="T2812" s="146"/>
      <c r="V2812" s="147"/>
      <c r="W2812" s="146"/>
      <c r="Y2812" s="147"/>
    </row>
    <row r="2813" spans="3:25">
      <c r="C2813" s="146"/>
      <c r="E2813" s="147"/>
      <c r="F2813" s="146"/>
      <c r="I2813" s="147"/>
      <c r="Q2813" s="146"/>
      <c r="T2813" s="146"/>
      <c r="V2813" s="147"/>
      <c r="W2813" s="146"/>
      <c r="Y2813" s="147"/>
    </row>
    <row r="2814" spans="3:25">
      <c r="C2814" s="146"/>
      <c r="E2814" s="147"/>
      <c r="F2814" s="146"/>
      <c r="I2814" s="147"/>
      <c r="Q2814" s="146"/>
      <c r="T2814" s="146"/>
      <c r="V2814" s="147"/>
      <c r="W2814" s="146"/>
      <c r="Y2814" s="147"/>
    </row>
    <row r="2815" spans="3:25">
      <c r="C2815" s="146"/>
      <c r="E2815" s="147"/>
      <c r="F2815" s="146"/>
      <c r="I2815" s="147"/>
      <c r="Q2815" s="146"/>
      <c r="T2815" s="146"/>
      <c r="V2815" s="147"/>
      <c r="W2815" s="146"/>
      <c r="Y2815" s="147"/>
    </row>
    <row r="2816" spans="3:25">
      <c r="C2816" s="146"/>
      <c r="E2816" s="147"/>
      <c r="F2816" s="146"/>
      <c r="I2816" s="147"/>
      <c r="Q2816" s="146"/>
      <c r="T2816" s="146"/>
      <c r="V2816" s="147"/>
      <c r="W2816" s="146"/>
      <c r="Y2816" s="147"/>
    </row>
    <row r="2817" spans="3:25">
      <c r="C2817" s="146"/>
      <c r="E2817" s="147"/>
      <c r="F2817" s="146"/>
      <c r="I2817" s="147"/>
      <c r="Q2817" s="146"/>
      <c r="T2817" s="146"/>
      <c r="V2817" s="147"/>
      <c r="W2817" s="146"/>
      <c r="Y2817" s="147"/>
    </row>
    <row r="2818" spans="3:25">
      <c r="C2818" s="146"/>
      <c r="E2818" s="147"/>
      <c r="F2818" s="146"/>
      <c r="I2818" s="147"/>
      <c r="Q2818" s="146"/>
      <c r="T2818" s="146"/>
      <c r="V2818" s="147"/>
      <c r="W2818" s="146"/>
      <c r="Y2818" s="147"/>
    </row>
    <row r="2819" spans="3:25">
      <c r="C2819" s="146"/>
      <c r="E2819" s="147"/>
      <c r="F2819" s="146"/>
      <c r="I2819" s="147"/>
      <c r="Q2819" s="146"/>
      <c r="T2819" s="146"/>
      <c r="V2819" s="147"/>
      <c r="W2819" s="146"/>
      <c r="Y2819" s="147"/>
    </row>
    <row r="2820" spans="3:25">
      <c r="C2820" s="146"/>
      <c r="E2820" s="147"/>
      <c r="F2820" s="146"/>
      <c r="I2820" s="147"/>
      <c r="Q2820" s="146"/>
      <c r="T2820" s="146"/>
      <c r="V2820" s="147"/>
      <c r="W2820" s="146"/>
      <c r="Y2820" s="147"/>
    </row>
    <row r="2821" spans="3:25">
      <c r="C2821" s="146"/>
      <c r="E2821" s="147"/>
      <c r="F2821" s="146"/>
      <c r="I2821" s="147"/>
      <c r="Q2821" s="146"/>
      <c r="T2821" s="146"/>
      <c r="V2821" s="147"/>
      <c r="W2821" s="146"/>
      <c r="Y2821" s="147"/>
    </row>
    <row r="2822" spans="3:25">
      <c r="C2822" s="146"/>
      <c r="E2822" s="147"/>
      <c r="F2822" s="146"/>
      <c r="I2822" s="147"/>
      <c r="Q2822" s="146"/>
      <c r="T2822" s="146"/>
      <c r="V2822" s="147"/>
      <c r="W2822" s="146"/>
      <c r="Y2822" s="147"/>
    </row>
    <row r="2823" spans="3:25">
      <c r="C2823" s="146"/>
      <c r="E2823" s="147"/>
      <c r="F2823" s="146"/>
      <c r="I2823" s="147"/>
      <c r="Q2823" s="146"/>
      <c r="T2823" s="146"/>
      <c r="V2823" s="147"/>
      <c r="W2823" s="146"/>
      <c r="Y2823" s="147"/>
    </row>
    <row r="2824" spans="3:25">
      <c r="C2824" s="146"/>
      <c r="E2824" s="147"/>
      <c r="F2824" s="146"/>
      <c r="I2824" s="147"/>
      <c r="Q2824" s="146"/>
      <c r="T2824" s="146"/>
      <c r="V2824" s="147"/>
      <c r="W2824" s="146"/>
      <c r="Y2824" s="147"/>
    </row>
    <row r="2825" spans="3:25">
      <c r="C2825" s="146"/>
      <c r="E2825" s="147"/>
      <c r="F2825" s="146"/>
      <c r="I2825" s="147"/>
      <c r="Q2825" s="146"/>
      <c r="T2825" s="146"/>
      <c r="V2825" s="147"/>
      <c r="W2825" s="146"/>
      <c r="Y2825" s="147"/>
    </row>
    <row r="2826" spans="3:25">
      <c r="C2826" s="146"/>
      <c r="E2826" s="147"/>
      <c r="F2826" s="146"/>
      <c r="I2826" s="147"/>
      <c r="Q2826" s="146"/>
      <c r="T2826" s="146"/>
      <c r="V2826" s="147"/>
      <c r="W2826" s="146"/>
      <c r="Y2826" s="147"/>
    </row>
    <row r="2827" spans="3:25">
      <c r="C2827" s="146"/>
      <c r="E2827" s="147"/>
      <c r="F2827" s="146"/>
      <c r="I2827" s="147"/>
      <c r="Q2827" s="146"/>
      <c r="T2827" s="146"/>
      <c r="V2827" s="147"/>
      <c r="W2827" s="146"/>
      <c r="Y2827" s="147"/>
    </row>
    <row r="2828" spans="3:25">
      <c r="C2828" s="146"/>
      <c r="E2828" s="147"/>
      <c r="F2828" s="146"/>
      <c r="I2828" s="147"/>
      <c r="Q2828" s="146"/>
      <c r="T2828" s="146"/>
      <c r="V2828" s="147"/>
      <c r="W2828" s="146"/>
      <c r="Y2828" s="147"/>
    </row>
    <row r="2829" spans="3:25">
      <c r="C2829" s="146"/>
      <c r="E2829" s="147"/>
      <c r="F2829" s="146"/>
      <c r="I2829" s="147"/>
      <c r="Q2829" s="146"/>
      <c r="T2829" s="146"/>
      <c r="V2829" s="147"/>
      <c r="W2829" s="146"/>
      <c r="Y2829" s="147"/>
    </row>
    <row r="2830" spans="3:25">
      <c r="C2830" s="146"/>
      <c r="E2830" s="147"/>
      <c r="F2830" s="146"/>
      <c r="I2830" s="147"/>
      <c r="Q2830" s="146"/>
      <c r="T2830" s="146"/>
      <c r="V2830" s="147"/>
      <c r="W2830" s="146"/>
      <c r="Y2830" s="147"/>
    </row>
    <row r="2831" spans="3:25">
      <c r="C2831" s="146"/>
      <c r="E2831" s="147"/>
      <c r="F2831" s="146"/>
      <c r="I2831" s="147"/>
      <c r="Q2831" s="146"/>
      <c r="T2831" s="146"/>
      <c r="V2831" s="147"/>
      <c r="W2831" s="146"/>
      <c r="Y2831" s="147"/>
    </row>
    <row r="2832" spans="3:25">
      <c r="C2832" s="146"/>
      <c r="E2832" s="147"/>
      <c r="F2832" s="146"/>
      <c r="I2832" s="147"/>
      <c r="Q2832" s="146"/>
      <c r="T2832" s="146"/>
      <c r="V2832" s="147"/>
      <c r="W2832" s="146"/>
      <c r="Y2832" s="147"/>
    </row>
    <row r="2833" spans="3:25">
      <c r="C2833" s="146"/>
      <c r="E2833" s="147"/>
      <c r="F2833" s="146"/>
      <c r="I2833" s="147"/>
      <c r="Q2833" s="146"/>
      <c r="T2833" s="146"/>
      <c r="V2833" s="147"/>
      <c r="W2833" s="146"/>
      <c r="Y2833" s="147"/>
    </row>
    <row r="2834" spans="3:25">
      <c r="C2834" s="146"/>
      <c r="E2834" s="147"/>
      <c r="F2834" s="146"/>
      <c r="I2834" s="147"/>
      <c r="Q2834" s="146"/>
      <c r="T2834" s="146"/>
      <c r="V2834" s="147"/>
      <c r="W2834" s="146"/>
      <c r="Y2834" s="147"/>
    </row>
    <row r="2835" spans="3:25">
      <c r="C2835" s="146"/>
      <c r="E2835" s="147"/>
      <c r="F2835" s="146"/>
      <c r="I2835" s="147"/>
      <c r="Q2835" s="146"/>
      <c r="T2835" s="146"/>
      <c r="V2835" s="147"/>
      <c r="W2835" s="146"/>
      <c r="Y2835" s="147"/>
    </row>
    <row r="2836" spans="3:25">
      <c r="C2836" s="146"/>
      <c r="E2836" s="147"/>
      <c r="F2836" s="146"/>
      <c r="I2836" s="147"/>
      <c r="Q2836" s="146"/>
      <c r="T2836" s="146"/>
      <c r="V2836" s="147"/>
      <c r="W2836" s="146"/>
      <c r="Y2836" s="147"/>
    </row>
    <row r="2837" spans="3:25">
      <c r="C2837" s="146"/>
      <c r="E2837" s="147"/>
      <c r="F2837" s="146"/>
      <c r="I2837" s="147"/>
      <c r="Q2837" s="146"/>
      <c r="T2837" s="146"/>
      <c r="V2837" s="147"/>
      <c r="W2837" s="146"/>
      <c r="Y2837" s="147"/>
    </row>
    <row r="2838" spans="3:25">
      <c r="C2838" s="146"/>
      <c r="E2838" s="147"/>
      <c r="F2838" s="146"/>
      <c r="I2838" s="147"/>
      <c r="Q2838" s="146"/>
      <c r="T2838" s="146"/>
      <c r="V2838" s="147"/>
      <c r="W2838" s="146"/>
      <c r="Y2838" s="147"/>
    </row>
    <row r="2839" spans="3:25">
      <c r="C2839" s="146"/>
      <c r="E2839" s="147"/>
      <c r="F2839" s="146"/>
      <c r="I2839" s="147"/>
      <c r="Q2839" s="146"/>
      <c r="T2839" s="146"/>
      <c r="V2839" s="147"/>
      <c r="W2839" s="146"/>
      <c r="Y2839" s="147"/>
    </row>
    <row r="2840" spans="3:25">
      <c r="C2840" s="146"/>
      <c r="E2840" s="147"/>
      <c r="F2840" s="146"/>
      <c r="I2840" s="147"/>
      <c r="Q2840" s="146"/>
      <c r="T2840" s="146"/>
      <c r="V2840" s="147"/>
      <c r="W2840" s="146"/>
      <c r="Y2840" s="147"/>
    </row>
    <row r="2841" spans="3:25">
      <c r="C2841" s="146"/>
      <c r="E2841" s="147"/>
      <c r="F2841" s="146"/>
      <c r="I2841" s="147"/>
      <c r="Q2841" s="146"/>
      <c r="T2841" s="146"/>
      <c r="V2841" s="147"/>
      <c r="W2841" s="146"/>
      <c r="Y2841" s="147"/>
    </row>
    <row r="2842" spans="3:25">
      <c r="C2842" s="146"/>
      <c r="E2842" s="147"/>
      <c r="F2842" s="146"/>
      <c r="I2842" s="147"/>
      <c r="Q2842" s="146"/>
      <c r="T2842" s="146"/>
      <c r="V2842" s="147"/>
      <c r="W2842" s="146"/>
      <c r="Y2842" s="147"/>
    </row>
    <row r="2843" spans="3:25">
      <c r="C2843" s="146"/>
      <c r="E2843" s="147"/>
      <c r="F2843" s="146"/>
      <c r="I2843" s="147"/>
      <c r="Q2843" s="146"/>
      <c r="T2843" s="146"/>
      <c r="V2843" s="147"/>
      <c r="W2843" s="146"/>
      <c r="Y2843" s="147"/>
    </row>
    <row r="2844" spans="3:25">
      <c r="C2844" s="146"/>
      <c r="E2844" s="147"/>
      <c r="F2844" s="146"/>
      <c r="I2844" s="147"/>
      <c r="Q2844" s="146"/>
      <c r="T2844" s="146"/>
      <c r="V2844" s="147"/>
      <c r="W2844" s="146"/>
      <c r="Y2844" s="147"/>
    </row>
    <row r="2845" spans="3:25">
      <c r="C2845" s="146"/>
      <c r="E2845" s="147"/>
      <c r="F2845" s="146"/>
      <c r="I2845" s="147"/>
      <c r="Q2845" s="146"/>
      <c r="T2845" s="146"/>
      <c r="V2845" s="147"/>
      <c r="W2845" s="146"/>
      <c r="Y2845" s="147"/>
    </row>
    <row r="2846" spans="3:25">
      <c r="C2846" s="146"/>
      <c r="E2846" s="147"/>
      <c r="F2846" s="146"/>
      <c r="I2846" s="147"/>
      <c r="Q2846" s="146"/>
      <c r="T2846" s="146"/>
      <c r="V2846" s="147"/>
      <c r="W2846" s="146"/>
      <c r="Y2846" s="147"/>
    </row>
    <row r="2847" spans="3:25">
      <c r="C2847" s="146"/>
      <c r="E2847" s="147"/>
      <c r="F2847" s="146"/>
      <c r="I2847" s="147"/>
      <c r="Q2847" s="146"/>
      <c r="T2847" s="146"/>
      <c r="V2847" s="147"/>
      <c r="W2847" s="146"/>
      <c r="Y2847" s="147"/>
    </row>
    <row r="2848" spans="3:25">
      <c r="C2848" s="146"/>
      <c r="E2848" s="147"/>
      <c r="F2848" s="146"/>
      <c r="I2848" s="147"/>
      <c r="Q2848" s="146"/>
      <c r="T2848" s="146"/>
      <c r="V2848" s="147"/>
      <c r="W2848" s="146"/>
      <c r="Y2848" s="147"/>
    </row>
    <row r="2849" spans="3:25">
      <c r="C2849" s="146"/>
      <c r="E2849" s="147"/>
      <c r="F2849" s="146"/>
      <c r="I2849" s="147"/>
      <c r="Q2849" s="146"/>
      <c r="T2849" s="146"/>
      <c r="V2849" s="147"/>
      <c r="W2849" s="146"/>
      <c r="Y2849" s="147"/>
    </row>
    <row r="2850" spans="3:25">
      <c r="C2850" s="146"/>
      <c r="E2850" s="147"/>
      <c r="F2850" s="146"/>
      <c r="I2850" s="147"/>
      <c r="Q2850" s="146"/>
      <c r="T2850" s="146"/>
      <c r="V2850" s="147"/>
      <c r="W2850" s="146"/>
      <c r="Y2850" s="147"/>
    </row>
    <row r="2851" spans="3:25">
      <c r="C2851" s="146"/>
      <c r="E2851" s="147"/>
      <c r="F2851" s="146"/>
      <c r="I2851" s="147"/>
      <c r="Q2851" s="146"/>
      <c r="T2851" s="146"/>
      <c r="V2851" s="147"/>
      <c r="W2851" s="146"/>
      <c r="Y2851" s="147"/>
    </row>
    <row r="2852" spans="3:25">
      <c r="C2852" s="146"/>
      <c r="E2852" s="147"/>
      <c r="F2852" s="146"/>
      <c r="I2852" s="147"/>
      <c r="Q2852" s="146"/>
      <c r="T2852" s="146"/>
      <c r="V2852" s="147"/>
      <c r="W2852" s="146"/>
      <c r="Y2852" s="147"/>
    </row>
    <row r="2853" spans="3:25">
      <c r="C2853" s="146"/>
      <c r="E2853" s="147"/>
      <c r="F2853" s="146"/>
      <c r="I2853" s="147"/>
      <c r="Q2853" s="146"/>
      <c r="T2853" s="146"/>
      <c r="V2853" s="147"/>
      <c r="W2853" s="146"/>
      <c r="Y2853" s="147"/>
    </row>
    <row r="2854" spans="3:25">
      <c r="C2854" s="146"/>
      <c r="E2854" s="147"/>
      <c r="F2854" s="146"/>
      <c r="I2854" s="147"/>
      <c r="Q2854" s="146"/>
      <c r="T2854" s="146"/>
      <c r="V2854" s="147"/>
      <c r="W2854" s="146"/>
      <c r="Y2854" s="147"/>
    </row>
    <row r="2855" spans="3:25">
      <c r="C2855" s="146"/>
      <c r="E2855" s="147"/>
      <c r="F2855" s="146"/>
      <c r="I2855" s="147"/>
      <c r="Q2855" s="146"/>
      <c r="T2855" s="146"/>
      <c r="V2855" s="147"/>
      <c r="W2855" s="146"/>
      <c r="Y2855" s="147"/>
    </row>
    <row r="2856" spans="3:25">
      <c r="C2856" s="146"/>
      <c r="E2856" s="147"/>
      <c r="F2856" s="146"/>
      <c r="I2856" s="147"/>
      <c r="Q2856" s="146"/>
      <c r="T2856" s="146"/>
      <c r="V2856" s="147"/>
      <c r="W2856" s="146"/>
      <c r="Y2856" s="147"/>
    </row>
    <row r="2857" spans="3:25">
      <c r="C2857" s="146"/>
      <c r="E2857" s="147"/>
      <c r="F2857" s="146"/>
      <c r="I2857" s="147"/>
      <c r="Q2857" s="146"/>
      <c r="T2857" s="146"/>
      <c r="V2857" s="147"/>
      <c r="W2857" s="146"/>
      <c r="Y2857" s="147"/>
    </row>
    <row r="2858" spans="3:25">
      <c r="C2858" s="146"/>
      <c r="E2858" s="147"/>
      <c r="F2858" s="146"/>
      <c r="I2858" s="147"/>
      <c r="Q2858" s="146"/>
      <c r="T2858" s="146"/>
      <c r="V2858" s="147"/>
      <c r="W2858" s="146"/>
      <c r="Y2858" s="147"/>
    </row>
    <row r="2859" spans="3:25">
      <c r="C2859" s="146"/>
      <c r="E2859" s="147"/>
      <c r="F2859" s="146"/>
      <c r="I2859" s="147"/>
      <c r="Q2859" s="146"/>
      <c r="T2859" s="146"/>
      <c r="V2859" s="147"/>
      <c r="W2859" s="146"/>
      <c r="Y2859" s="147"/>
    </row>
    <row r="2860" spans="3:25">
      <c r="C2860" s="146"/>
      <c r="E2860" s="147"/>
      <c r="F2860" s="146"/>
      <c r="I2860" s="147"/>
      <c r="Q2860" s="146"/>
      <c r="T2860" s="146"/>
      <c r="V2860" s="147"/>
      <c r="W2860" s="146"/>
      <c r="Y2860" s="147"/>
    </row>
    <row r="2861" spans="3:25">
      <c r="C2861" s="146"/>
      <c r="E2861" s="147"/>
      <c r="F2861" s="146"/>
      <c r="I2861" s="147"/>
      <c r="Q2861" s="146"/>
      <c r="T2861" s="146"/>
      <c r="V2861" s="147"/>
      <c r="W2861" s="146"/>
      <c r="Y2861" s="147"/>
    </row>
    <row r="2862" spans="3:25">
      <c r="C2862" s="146"/>
      <c r="E2862" s="147"/>
      <c r="F2862" s="146"/>
      <c r="I2862" s="147"/>
      <c r="Q2862" s="146"/>
      <c r="T2862" s="146"/>
      <c r="V2862" s="147"/>
      <c r="W2862" s="146"/>
      <c r="Y2862" s="147"/>
    </row>
    <row r="2863" spans="3:25">
      <c r="C2863" s="146"/>
      <c r="E2863" s="147"/>
      <c r="F2863" s="146"/>
      <c r="I2863" s="147"/>
      <c r="Q2863" s="146"/>
      <c r="T2863" s="146"/>
      <c r="V2863" s="147"/>
      <c r="W2863" s="146"/>
      <c r="Y2863" s="147"/>
    </row>
    <row r="2864" spans="3:25">
      <c r="C2864" s="146"/>
      <c r="E2864" s="147"/>
      <c r="F2864" s="146"/>
      <c r="I2864" s="147"/>
      <c r="Q2864" s="146"/>
      <c r="T2864" s="146"/>
      <c r="V2864" s="147"/>
      <c r="W2864" s="146"/>
      <c r="Y2864" s="147"/>
    </row>
    <row r="2865" spans="3:25">
      <c r="C2865" s="146"/>
      <c r="E2865" s="147"/>
      <c r="F2865" s="146"/>
      <c r="I2865" s="147"/>
      <c r="Q2865" s="146"/>
      <c r="T2865" s="146"/>
      <c r="V2865" s="147"/>
      <c r="W2865" s="146"/>
      <c r="Y2865" s="147"/>
    </row>
    <row r="2866" spans="3:25">
      <c r="C2866" s="146"/>
      <c r="E2866" s="147"/>
      <c r="F2866" s="146"/>
      <c r="I2866" s="147"/>
      <c r="Q2866" s="146"/>
      <c r="T2866" s="146"/>
      <c r="V2866" s="147"/>
      <c r="W2866" s="146"/>
      <c r="Y2866" s="147"/>
    </row>
    <row r="2867" spans="3:25">
      <c r="C2867" s="146"/>
      <c r="E2867" s="147"/>
      <c r="F2867" s="146"/>
      <c r="I2867" s="147"/>
      <c r="Q2867" s="146"/>
      <c r="T2867" s="146"/>
      <c r="V2867" s="147"/>
      <c r="W2867" s="146"/>
      <c r="Y2867" s="147"/>
    </row>
    <row r="2868" spans="3:25">
      <c r="C2868" s="146"/>
      <c r="E2868" s="147"/>
      <c r="F2868" s="146"/>
      <c r="I2868" s="147"/>
      <c r="Q2868" s="146"/>
      <c r="T2868" s="146"/>
      <c r="V2868" s="147"/>
      <c r="W2868" s="146"/>
      <c r="Y2868" s="147"/>
    </row>
    <row r="2869" spans="3:25">
      <c r="C2869" s="146"/>
      <c r="E2869" s="147"/>
      <c r="F2869" s="146"/>
      <c r="I2869" s="147"/>
      <c r="Q2869" s="146"/>
      <c r="T2869" s="146"/>
      <c r="V2869" s="147"/>
      <c r="W2869" s="146"/>
      <c r="Y2869" s="147"/>
    </row>
    <row r="2870" spans="3:25">
      <c r="C2870" s="146"/>
      <c r="E2870" s="147"/>
      <c r="F2870" s="146"/>
      <c r="I2870" s="147"/>
      <c r="Q2870" s="146"/>
      <c r="T2870" s="146"/>
      <c r="V2870" s="147"/>
      <c r="W2870" s="146"/>
      <c r="Y2870" s="147"/>
    </row>
    <row r="2871" spans="3:25">
      <c r="C2871" s="146"/>
      <c r="E2871" s="147"/>
      <c r="F2871" s="146"/>
      <c r="I2871" s="147"/>
      <c r="Q2871" s="146"/>
      <c r="T2871" s="146"/>
      <c r="V2871" s="147"/>
      <c r="W2871" s="146"/>
      <c r="Y2871" s="147"/>
    </row>
    <row r="2872" spans="3:25">
      <c r="C2872" s="146"/>
      <c r="E2872" s="147"/>
      <c r="F2872" s="146"/>
      <c r="I2872" s="147"/>
      <c r="Q2872" s="146"/>
      <c r="T2872" s="146"/>
      <c r="V2872" s="147"/>
      <c r="W2872" s="146"/>
      <c r="Y2872" s="147"/>
    </row>
    <row r="2873" spans="3:25">
      <c r="C2873" s="146"/>
      <c r="E2873" s="147"/>
      <c r="F2873" s="146"/>
      <c r="I2873" s="147"/>
      <c r="Q2873" s="146"/>
      <c r="T2873" s="146"/>
      <c r="V2873" s="147"/>
      <c r="W2873" s="146"/>
      <c r="Y2873" s="147"/>
    </row>
    <row r="2874" spans="3:25">
      <c r="C2874" s="146"/>
      <c r="E2874" s="147"/>
      <c r="F2874" s="146"/>
      <c r="I2874" s="147"/>
      <c r="Q2874" s="146"/>
      <c r="T2874" s="146"/>
      <c r="V2874" s="147"/>
      <c r="W2874" s="146"/>
      <c r="Y2874" s="147"/>
    </row>
    <row r="2875" spans="3:25">
      <c r="C2875" s="146"/>
      <c r="E2875" s="147"/>
      <c r="F2875" s="146"/>
      <c r="I2875" s="147"/>
      <c r="Q2875" s="146"/>
      <c r="T2875" s="146"/>
      <c r="V2875" s="147"/>
      <c r="W2875" s="146"/>
      <c r="Y2875" s="147"/>
    </row>
    <row r="2876" spans="3:25">
      <c r="C2876" s="146"/>
      <c r="E2876" s="147"/>
      <c r="F2876" s="146"/>
      <c r="I2876" s="147"/>
      <c r="Q2876" s="146"/>
      <c r="T2876" s="146"/>
      <c r="V2876" s="147"/>
      <c r="W2876" s="146"/>
      <c r="Y2876" s="147"/>
    </row>
    <row r="2877" spans="3:25">
      <c r="C2877" s="146"/>
      <c r="E2877" s="147"/>
      <c r="F2877" s="146"/>
      <c r="I2877" s="147"/>
      <c r="Q2877" s="146"/>
      <c r="T2877" s="146"/>
      <c r="V2877" s="147"/>
      <c r="W2877" s="146"/>
      <c r="Y2877" s="147"/>
    </row>
    <row r="2878" spans="3:25">
      <c r="C2878" s="146"/>
      <c r="E2878" s="147"/>
      <c r="F2878" s="146"/>
      <c r="I2878" s="147"/>
      <c r="Q2878" s="146"/>
      <c r="T2878" s="146"/>
      <c r="V2878" s="147"/>
      <c r="W2878" s="146"/>
      <c r="Y2878" s="147"/>
    </row>
    <row r="2879" spans="3:25">
      <c r="C2879" s="146"/>
      <c r="E2879" s="147"/>
      <c r="F2879" s="146"/>
      <c r="I2879" s="147"/>
      <c r="Q2879" s="146"/>
      <c r="T2879" s="146"/>
      <c r="V2879" s="147"/>
      <c r="W2879" s="146"/>
      <c r="Y2879" s="147"/>
    </row>
    <row r="2880" spans="3:25">
      <c r="C2880" s="146"/>
      <c r="E2880" s="147"/>
      <c r="F2880" s="146"/>
      <c r="I2880" s="147"/>
      <c r="Q2880" s="146"/>
      <c r="T2880" s="146"/>
      <c r="V2880" s="147"/>
      <c r="W2880" s="146"/>
      <c r="Y2880" s="147"/>
    </row>
    <row r="2881" spans="3:25">
      <c r="C2881" s="146"/>
      <c r="E2881" s="147"/>
      <c r="F2881" s="146"/>
      <c r="I2881" s="147"/>
      <c r="Q2881" s="146"/>
      <c r="T2881" s="146"/>
      <c r="V2881" s="147"/>
      <c r="W2881" s="146"/>
      <c r="Y2881" s="147"/>
    </row>
    <row r="2882" spans="3:25">
      <c r="C2882" s="146"/>
      <c r="E2882" s="147"/>
      <c r="F2882" s="146"/>
      <c r="I2882" s="147"/>
      <c r="Q2882" s="146"/>
      <c r="T2882" s="146"/>
      <c r="V2882" s="147"/>
      <c r="W2882" s="146"/>
      <c r="Y2882" s="147"/>
    </row>
    <row r="2883" spans="3:25">
      <c r="C2883" s="146"/>
      <c r="E2883" s="147"/>
      <c r="F2883" s="146"/>
      <c r="I2883" s="147"/>
      <c r="Q2883" s="146"/>
      <c r="T2883" s="146"/>
      <c r="V2883" s="147"/>
      <c r="W2883" s="146"/>
      <c r="Y2883" s="147"/>
    </row>
    <row r="2884" spans="3:25">
      <c r="C2884" s="146"/>
      <c r="E2884" s="147"/>
      <c r="F2884" s="146"/>
      <c r="I2884" s="147"/>
      <c r="Q2884" s="146"/>
      <c r="T2884" s="146"/>
      <c r="V2884" s="147"/>
      <c r="W2884" s="146"/>
      <c r="Y2884" s="147"/>
    </row>
    <row r="2885" spans="3:25">
      <c r="C2885" s="146"/>
      <c r="E2885" s="147"/>
      <c r="F2885" s="146"/>
      <c r="I2885" s="147"/>
      <c r="Q2885" s="146"/>
      <c r="T2885" s="146"/>
      <c r="V2885" s="147"/>
      <c r="W2885" s="146"/>
      <c r="Y2885" s="147"/>
    </row>
    <row r="2886" spans="3:25">
      <c r="C2886" s="146"/>
      <c r="E2886" s="147"/>
      <c r="F2886" s="146"/>
      <c r="I2886" s="147"/>
      <c r="Q2886" s="146"/>
      <c r="T2886" s="146"/>
      <c r="V2886" s="147"/>
      <c r="W2886" s="146"/>
      <c r="Y2886" s="147"/>
    </row>
    <row r="2887" spans="3:25">
      <c r="C2887" s="146"/>
      <c r="E2887" s="147"/>
      <c r="F2887" s="146"/>
      <c r="I2887" s="147"/>
      <c r="Q2887" s="146"/>
      <c r="T2887" s="146"/>
      <c r="V2887" s="147"/>
      <c r="W2887" s="146"/>
      <c r="Y2887" s="147"/>
    </row>
    <row r="2888" spans="3:25">
      <c r="C2888" s="146"/>
      <c r="E2888" s="147"/>
      <c r="F2888" s="146"/>
      <c r="I2888" s="147"/>
      <c r="Q2888" s="146"/>
      <c r="T2888" s="146"/>
      <c r="V2888" s="147"/>
      <c r="W2888" s="146"/>
      <c r="Y2888" s="147"/>
    </row>
    <row r="2889" spans="3:25">
      <c r="C2889" s="146"/>
      <c r="E2889" s="147"/>
      <c r="F2889" s="146"/>
      <c r="I2889" s="147"/>
      <c r="Q2889" s="146"/>
      <c r="T2889" s="146"/>
      <c r="V2889" s="147"/>
      <c r="W2889" s="146"/>
      <c r="Y2889" s="147"/>
    </row>
    <row r="2890" spans="3:25">
      <c r="C2890" s="146"/>
      <c r="E2890" s="147"/>
      <c r="F2890" s="146"/>
      <c r="I2890" s="147"/>
      <c r="Q2890" s="146"/>
      <c r="T2890" s="146"/>
      <c r="V2890" s="147"/>
      <c r="W2890" s="146"/>
      <c r="Y2890" s="147"/>
    </row>
    <row r="2891" spans="3:25">
      <c r="C2891" s="146"/>
      <c r="E2891" s="147"/>
      <c r="F2891" s="146"/>
      <c r="I2891" s="147"/>
      <c r="Q2891" s="146"/>
      <c r="T2891" s="146"/>
      <c r="V2891" s="147"/>
      <c r="W2891" s="146"/>
      <c r="Y2891" s="147"/>
    </row>
    <row r="2892" spans="3:25">
      <c r="C2892" s="146"/>
      <c r="E2892" s="147"/>
      <c r="F2892" s="146"/>
      <c r="I2892" s="147"/>
      <c r="Q2892" s="146"/>
      <c r="T2892" s="146"/>
      <c r="V2892" s="147"/>
      <c r="W2892" s="146"/>
      <c r="Y2892" s="147"/>
    </row>
    <row r="2893" spans="3:25">
      <c r="C2893" s="146"/>
      <c r="E2893" s="147"/>
      <c r="F2893" s="146"/>
      <c r="I2893" s="147"/>
      <c r="Q2893" s="146"/>
      <c r="T2893" s="146"/>
      <c r="V2893" s="147"/>
      <c r="W2893" s="146"/>
      <c r="Y2893" s="147"/>
    </row>
    <row r="2894" spans="3:25">
      <c r="C2894" s="146"/>
      <c r="E2894" s="147"/>
      <c r="F2894" s="146"/>
      <c r="I2894" s="147"/>
      <c r="Q2894" s="146"/>
      <c r="T2894" s="146"/>
      <c r="V2894" s="147"/>
      <c r="W2894" s="146"/>
      <c r="Y2894" s="147"/>
    </row>
    <row r="2895" spans="3:25">
      <c r="C2895" s="146"/>
      <c r="E2895" s="147"/>
      <c r="F2895" s="146"/>
      <c r="I2895" s="147"/>
      <c r="Q2895" s="146"/>
      <c r="T2895" s="146"/>
      <c r="V2895" s="147"/>
      <c r="W2895" s="146"/>
      <c r="Y2895" s="147"/>
    </row>
    <row r="2896" spans="3:25">
      <c r="C2896" s="146"/>
      <c r="E2896" s="147"/>
      <c r="F2896" s="146"/>
      <c r="I2896" s="147"/>
      <c r="Q2896" s="146"/>
      <c r="T2896" s="146"/>
      <c r="V2896" s="147"/>
      <c r="W2896" s="146"/>
      <c r="Y2896" s="147"/>
    </row>
    <row r="2897" spans="3:25">
      <c r="C2897" s="146"/>
      <c r="E2897" s="147"/>
      <c r="F2897" s="146"/>
      <c r="I2897" s="147"/>
      <c r="Q2897" s="146"/>
      <c r="T2897" s="146"/>
      <c r="V2897" s="147"/>
      <c r="W2897" s="146"/>
      <c r="Y2897" s="147"/>
    </row>
    <row r="2898" spans="3:25">
      <c r="C2898" s="146"/>
      <c r="E2898" s="147"/>
      <c r="F2898" s="146"/>
      <c r="I2898" s="147"/>
      <c r="Q2898" s="146"/>
      <c r="T2898" s="146"/>
      <c r="V2898" s="147"/>
      <c r="W2898" s="146"/>
      <c r="Y2898" s="147"/>
    </row>
    <row r="2899" spans="3:25">
      <c r="C2899" s="146"/>
      <c r="E2899" s="147"/>
      <c r="F2899" s="146"/>
      <c r="I2899" s="147"/>
      <c r="Q2899" s="146"/>
      <c r="T2899" s="146"/>
      <c r="V2899" s="147"/>
      <c r="W2899" s="146"/>
      <c r="Y2899" s="147"/>
    </row>
    <row r="2900" spans="3:25">
      <c r="C2900" s="146"/>
      <c r="E2900" s="147"/>
      <c r="F2900" s="146"/>
      <c r="I2900" s="147"/>
      <c r="Q2900" s="146"/>
      <c r="T2900" s="146"/>
      <c r="V2900" s="147"/>
      <c r="W2900" s="146"/>
      <c r="Y2900" s="147"/>
    </row>
    <row r="2901" spans="3:25">
      <c r="C2901" s="146"/>
      <c r="E2901" s="147"/>
      <c r="F2901" s="146"/>
      <c r="I2901" s="147"/>
      <c r="Q2901" s="146"/>
      <c r="T2901" s="146"/>
      <c r="V2901" s="147"/>
      <c r="W2901" s="146"/>
      <c r="Y2901" s="147"/>
    </row>
    <row r="2902" spans="3:25">
      <c r="C2902" s="146"/>
      <c r="E2902" s="147"/>
      <c r="F2902" s="146"/>
      <c r="I2902" s="147"/>
      <c r="Q2902" s="146"/>
      <c r="T2902" s="146"/>
      <c r="V2902" s="147"/>
      <c r="W2902" s="146"/>
      <c r="Y2902" s="147"/>
    </row>
    <row r="2903" spans="3:25">
      <c r="C2903" s="146"/>
      <c r="E2903" s="147"/>
      <c r="F2903" s="146"/>
      <c r="I2903" s="147"/>
      <c r="Q2903" s="146"/>
      <c r="T2903" s="146"/>
      <c r="V2903" s="147"/>
      <c r="W2903" s="146"/>
      <c r="Y2903" s="147"/>
    </row>
    <row r="2904" spans="3:25">
      <c r="C2904" s="146"/>
      <c r="E2904" s="147"/>
      <c r="F2904" s="146"/>
      <c r="I2904" s="147"/>
      <c r="Q2904" s="146"/>
      <c r="T2904" s="146"/>
      <c r="V2904" s="147"/>
      <c r="W2904" s="146"/>
      <c r="Y2904" s="147"/>
    </row>
    <row r="2905" spans="3:25">
      <c r="C2905" s="146"/>
      <c r="E2905" s="147"/>
      <c r="F2905" s="146"/>
      <c r="I2905" s="147"/>
      <c r="Q2905" s="146"/>
      <c r="T2905" s="146"/>
      <c r="V2905" s="147"/>
      <c r="W2905" s="146"/>
      <c r="Y2905" s="147"/>
    </row>
    <row r="2906" spans="3:25">
      <c r="C2906" s="146"/>
      <c r="E2906" s="147"/>
      <c r="F2906" s="146"/>
      <c r="I2906" s="147"/>
      <c r="Q2906" s="146"/>
      <c r="T2906" s="146"/>
      <c r="V2906" s="147"/>
      <c r="W2906" s="146"/>
      <c r="Y2906" s="147"/>
    </row>
    <row r="2907" spans="3:25">
      <c r="C2907" s="146"/>
      <c r="E2907" s="147"/>
      <c r="F2907" s="146"/>
      <c r="I2907" s="147"/>
      <c r="Q2907" s="146"/>
      <c r="T2907" s="146"/>
      <c r="V2907" s="147"/>
      <c r="W2907" s="146"/>
      <c r="Y2907" s="147"/>
    </row>
    <row r="2908" spans="3:25">
      <c r="C2908" s="146"/>
      <c r="E2908" s="147"/>
      <c r="F2908" s="146"/>
      <c r="I2908" s="147"/>
      <c r="Q2908" s="146"/>
      <c r="T2908" s="146"/>
      <c r="V2908" s="147"/>
      <c r="W2908" s="146"/>
      <c r="Y2908" s="147"/>
    </row>
    <row r="2909" spans="3:25">
      <c r="C2909" s="146"/>
      <c r="E2909" s="147"/>
      <c r="F2909" s="146"/>
      <c r="I2909" s="147"/>
      <c r="Q2909" s="146"/>
      <c r="T2909" s="146"/>
      <c r="V2909" s="147"/>
      <c r="W2909" s="146"/>
      <c r="Y2909" s="147"/>
    </row>
    <row r="2910" spans="3:25">
      <c r="C2910" s="146"/>
      <c r="E2910" s="147"/>
      <c r="F2910" s="146"/>
      <c r="I2910" s="147"/>
      <c r="Q2910" s="146"/>
      <c r="T2910" s="146"/>
      <c r="V2910" s="147"/>
      <c r="W2910" s="146"/>
      <c r="Y2910" s="147"/>
    </row>
    <row r="2911" spans="3:25">
      <c r="C2911" s="146"/>
      <c r="E2911" s="147"/>
      <c r="F2911" s="146"/>
      <c r="I2911" s="147"/>
      <c r="Q2911" s="146"/>
      <c r="T2911" s="146"/>
      <c r="V2911" s="147"/>
      <c r="W2911" s="146"/>
      <c r="Y2911" s="147"/>
    </row>
    <row r="2912" spans="3:25">
      <c r="C2912" s="146"/>
      <c r="E2912" s="147"/>
      <c r="F2912" s="146"/>
      <c r="I2912" s="147"/>
      <c r="Q2912" s="146"/>
      <c r="T2912" s="146"/>
      <c r="V2912" s="147"/>
      <c r="W2912" s="146"/>
      <c r="Y2912" s="147"/>
    </row>
    <row r="2913" spans="3:25">
      <c r="C2913" s="146"/>
      <c r="E2913" s="147"/>
      <c r="F2913" s="146"/>
      <c r="I2913" s="147"/>
      <c r="Q2913" s="146"/>
      <c r="T2913" s="146"/>
      <c r="V2913" s="147"/>
      <c r="W2913" s="146"/>
      <c r="Y2913" s="147"/>
    </row>
    <row r="2914" spans="3:25">
      <c r="C2914" s="146"/>
      <c r="E2914" s="147"/>
      <c r="F2914" s="146"/>
      <c r="I2914" s="147"/>
      <c r="Q2914" s="146"/>
      <c r="T2914" s="146"/>
      <c r="V2914" s="147"/>
      <c r="W2914" s="146"/>
      <c r="Y2914" s="147"/>
    </row>
    <row r="2915" spans="3:25">
      <c r="C2915" s="146"/>
      <c r="E2915" s="147"/>
      <c r="F2915" s="146"/>
      <c r="I2915" s="147"/>
      <c r="Q2915" s="146"/>
      <c r="T2915" s="146"/>
      <c r="V2915" s="147"/>
      <c r="W2915" s="146"/>
      <c r="Y2915" s="147"/>
    </row>
    <row r="2916" spans="3:25">
      <c r="C2916" s="146"/>
      <c r="E2916" s="147"/>
      <c r="F2916" s="146"/>
      <c r="I2916" s="147"/>
      <c r="Q2916" s="146"/>
      <c r="T2916" s="146"/>
      <c r="V2916" s="147"/>
      <c r="W2916" s="146"/>
      <c r="Y2916" s="147"/>
    </row>
    <row r="2917" spans="3:25">
      <c r="C2917" s="146"/>
      <c r="E2917" s="147"/>
      <c r="F2917" s="146"/>
      <c r="I2917" s="147"/>
      <c r="Q2917" s="146"/>
      <c r="T2917" s="146"/>
      <c r="V2917" s="147"/>
      <c r="W2917" s="146"/>
      <c r="Y2917" s="147"/>
    </row>
    <row r="2918" spans="3:25">
      <c r="C2918" s="146"/>
      <c r="E2918" s="147"/>
      <c r="F2918" s="146"/>
      <c r="I2918" s="147"/>
      <c r="Q2918" s="146"/>
      <c r="T2918" s="146"/>
      <c r="V2918" s="147"/>
      <c r="W2918" s="146"/>
      <c r="Y2918" s="147"/>
    </row>
    <row r="2919" spans="3:25">
      <c r="C2919" s="146"/>
      <c r="E2919" s="147"/>
      <c r="F2919" s="146"/>
      <c r="I2919" s="147"/>
      <c r="Q2919" s="146"/>
      <c r="T2919" s="146"/>
      <c r="V2919" s="147"/>
      <c r="W2919" s="146"/>
      <c r="Y2919" s="147"/>
    </row>
    <row r="2920" spans="3:25">
      <c r="C2920" s="146"/>
      <c r="E2920" s="147"/>
      <c r="F2920" s="146"/>
      <c r="I2920" s="147"/>
      <c r="Q2920" s="146"/>
      <c r="T2920" s="146"/>
      <c r="V2920" s="147"/>
      <c r="W2920" s="146"/>
      <c r="Y2920" s="147"/>
    </row>
    <row r="2921" spans="3:25">
      <c r="C2921" s="146"/>
      <c r="E2921" s="147"/>
      <c r="F2921" s="146"/>
      <c r="I2921" s="147"/>
      <c r="Q2921" s="146"/>
      <c r="T2921" s="146"/>
      <c r="V2921" s="147"/>
      <c r="W2921" s="146"/>
      <c r="Y2921" s="147"/>
    </row>
    <row r="2922" spans="3:25">
      <c r="C2922" s="146"/>
      <c r="E2922" s="147"/>
      <c r="F2922" s="146"/>
      <c r="I2922" s="147"/>
      <c r="Q2922" s="146"/>
      <c r="T2922" s="146"/>
      <c r="V2922" s="147"/>
      <c r="W2922" s="146"/>
      <c r="Y2922" s="147"/>
    </row>
    <row r="2923" spans="3:25">
      <c r="C2923" s="146"/>
      <c r="E2923" s="147"/>
      <c r="F2923" s="146"/>
      <c r="I2923" s="147"/>
      <c r="Q2923" s="146"/>
      <c r="T2923" s="146"/>
      <c r="V2923" s="147"/>
      <c r="W2923" s="146"/>
      <c r="Y2923" s="147"/>
    </row>
    <row r="2924" spans="3:25">
      <c r="C2924" s="146"/>
      <c r="E2924" s="147"/>
      <c r="F2924" s="146"/>
      <c r="I2924" s="147"/>
      <c r="Q2924" s="146"/>
      <c r="T2924" s="146"/>
      <c r="V2924" s="147"/>
      <c r="W2924" s="146"/>
      <c r="Y2924" s="147"/>
    </row>
    <row r="2925" spans="3:25">
      <c r="C2925" s="146"/>
      <c r="E2925" s="147"/>
      <c r="F2925" s="146"/>
      <c r="I2925" s="147"/>
      <c r="Q2925" s="146"/>
      <c r="T2925" s="146"/>
      <c r="V2925" s="147"/>
      <c r="W2925" s="146"/>
      <c r="Y2925" s="147"/>
    </row>
    <row r="2926" spans="3:25">
      <c r="C2926" s="146"/>
      <c r="E2926" s="147"/>
      <c r="F2926" s="146"/>
      <c r="I2926" s="147"/>
      <c r="Q2926" s="146"/>
      <c r="T2926" s="146"/>
      <c r="V2926" s="147"/>
      <c r="W2926" s="146"/>
      <c r="Y2926" s="147"/>
    </row>
    <row r="2927" spans="3:25">
      <c r="C2927" s="146"/>
      <c r="E2927" s="147"/>
      <c r="F2927" s="146"/>
      <c r="I2927" s="147"/>
      <c r="Q2927" s="146"/>
      <c r="T2927" s="146"/>
      <c r="V2927" s="147"/>
      <c r="W2927" s="146"/>
      <c r="Y2927" s="147"/>
    </row>
    <row r="2928" spans="3:25">
      <c r="C2928" s="146"/>
      <c r="E2928" s="147"/>
      <c r="F2928" s="146"/>
      <c r="I2928" s="147"/>
      <c r="Q2928" s="146"/>
      <c r="T2928" s="146"/>
      <c r="V2928" s="147"/>
      <c r="W2928" s="146"/>
      <c r="Y2928" s="147"/>
    </row>
    <row r="2929" spans="3:25">
      <c r="C2929" s="146"/>
      <c r="E2929" s="147"/>
      <c r="F2929" s="146"/>
      <c r="I2929" s="147"/>
      <c r="Q2929" s="146"/>
      <c r="T2929" s="146"/>
      <c r="V2929" s="147"/>
      <c r="W2929" s="146"/>
      <c r="Y2929" s="147"/>
    </row>
    <row r="2930" spans="3:25">
      <c r="C2930" s="146"/>
      <c r="E2930" s="147"/>
      <c r="F2930" s="146"/>
      <c r="I2930" s="147"/>
      <c r="Q2930" s="146"/>
      <c r="T2930" s="146"/>
      <c r="V2930" s="147"/>
      <c r="W2930" s="146"/>
      <c r="Y2930" s="147"/>
    </row>
    <row r="2931" spans="3:25">
      <c r="C2931" s="146"/>
      <c r="E2931" s="147"/>
      <c r="F2931" s="146"/>
      <c r="I2931" s="147"/>
      <c r="Q2931" s="146"/>
      <c r="T2931" s="146"/>
      <c r="V2931" s="147"/>
      <c r="W2931" s="146"/>
      <c r="Y2931" s="147"/>
    </row>
    <row r="2932" spans="3:25">
      <c r="C2932" s="146"/>
      <c r="E2932" s="147"/>
      <c r="F2932" s="146"/>
      <c r="I2932" s="147"/>
      <c r="Q2932" s="146"/>
      <c r="T2932" s="146"/>
      <c r="V2932" s="147"/>
      <c r="W2932" s="146"/>
      <c r="Y2932" s="147"/>
    </row>
    <row r="2933" spans="3:25">
      <c r="C2933" s="146"/>
      <c r="E2933" s="147"/>
      <c r="F2933" s="146"/>
      <c r="I2933" s="147"/>
      <c r="Q2933" s="146"/>
      <c r="T2933" s="146"/>
      <c r="V2933" s="147"/>
      <c r="W2933" s="146"/>
      <c r="Y2933" s="147"/>
    </row>
    <row r="2934" spans="3:25">
      <c r="C2934" s="146"/>
      <c r="E2934" s="147"/>
      <c r="F2934" s="146"/>
      <c r="I2934" s="147"/>
      <c r="Q2934" s="146"/>
      <c r="T2934" s="146"/>
      <c r="V2934" s="147"/>
      <c r="W2934" s="146"/>
      <c r="Y2934" s="147"/>
    </row>
    <row r="2935" spans="3:25">
      <c r="C2935" s="146"/>
      <c r="E2935" s="147"/>
      <c r="F2935" s="146"/>
      <c r="I2935" s="147"/>
      <c r="Q2935" s="146"/>
      <c r="T2935" s="146"/>
      <c r="V2935" s="147"/>
      <c r="W2935" s="146"/>
      <c r="Y2935" s="147"/>
    </row>
    <row r="2936" spans="3:25">
      <c r="C2936" s="146"/>
      <c r="E2936" s="147"/>
      <c r="F2936" s="146"/>
      <c r="I2936" s="147"/>
      <c r="Q2936" s="146"/>
      <c r="T2936" s="146"/>
      <c r="V2936" s="147"/>
      <c r="W2936" s="146"/>
      <c r="Y2936" s="147"/>
    </row>
    <row r="2937" spans="3:25">
      <c r="C2937" s="146"/>
      <c r="E2937" s="147"/>
      <c r="F2937" s="146"/>
      <c r="I2937" s="147"/>
      <c r="Q2937" s="146"/>
      <c r="T2937" s="146"/>
      <c r="V2937" s="147"/>
      <c r="W2937" s="146"/>
      <c r="Y2937" s="147"/>
    </row>
    <row r="2938" spans="3:25">
      <c r="C2938" s="146"/>
      <c r="E2938" s="147"/>
      <c r="F2938" s="146"/>
      <c r="I2938" s="147"/>
      <c r="Q2938" s="146"/>
      <c r="T2938" s="146"/>
      <c r="V2938" s="147"/>
      <c r="W2938" s="146"/>
      <c r="Y2938" s="147"/>
    </row>
    <row r="2939" spans="3:25">
      <c r="C2939" s="146"/>
      <c r="E2939" s="147"/>
      <c r="F2939" s="146"/>
      <c r="I2939" s="147"/>
      <c r="Q2939" s="146"/>
      <c r="T2939" s="146"/>
      <c r="V2939" s="147"/>
      <c r="W2939" s="146"/>
      <c r="Y2939" s="147"/>
    </row>
    <row r="2940" spans="3:25">
      <c r="C2940" s="146"/>
      <c r="E2940" s="147"/>
      <c r="F2940" s="146"/>
      <c r="I2940" s="147"/>
      <c r="Q2940" s="146"/>
      <c r="T2940" s="146"/>
      <c r="V2940" s="147"/>
      <c r="W2940" s="146"/>
      <c r="Y2940" s="147"/>
    </row>
    <row r="2941" spans="3:25">
      <c r="C2941" s="146"/>
      <c r="E2941" s="147"/>
      <c r="F2941" s="146"/>
      <c r="I2941" s="147"/>
      <c r="Q2941" s="146"/>
      <c r="T2941" s="146"/>
      <c r="V2941" s="147"/>
      <c r="W2941" s="146"/>
      <c r="Y2941" s="147"/>
    </row>
    <row r="2942" spans="3:25">
      <c r="C2942" s="146"/>
      <c r="E2942" s="147"/>
      <c r="F2942" s="146"/>
      <c r="I2942" s="147"/>
      <c r="Q2942" s="146"/>
      <c r="T2942" s="146"/>
      <c r="V2942" s="147"/>
      <c r="W2942" s="146"/>
      <c r="Y2942" s="147"/>
    </row>
    <row r="2943" spans="3:25">
      <c r="C2943" s="146"/>
      <c r="E2943" s="147"/>
      <c r="F2943" s="146"/>
      <c r="I2943" s="147"/>
      <c r="Q2943" s="146"/>
      <c r="T2943" s="146"/>
      <c r="V2943" s="147"/>
      <c r="W2943" s="146"/>
      <c r="Y2943" s="147"/>
    </row>
    <row r="2944" spans="3:25">
      <c r="C2944" s="146"/>
      <c r="E2944" s="147"/>
      <c r="F2944" s="146"/>
      <c r="I2944" s="147"/>
      <c r="Q2944" s="146"/>
      <c r="T2944" s="146"/>
      <c r="V2944" s="147"/>
      <c r="W2944" s="146"/>
      <c r="Y2944" s="147"/>
    </row>
    <row r="2945" spans="3:25">
      <c r="C2945" s="146"/>
      <c r="E2945" s="147"/>
      <c r="F2945" s="146"/>
      <c r="I2945" s="147"/>
      <c r="Q2945" s="146"/>
      <c r="T2945" s="146"/>
      <c r="V2945" s="147"/>
      <c r="W2945" s="146"/>
      <c r="Y2945" s="147"/>
    </row>
    <row r="2946" spans="3:25">
      <c r="C2946" s="146"/>
      <c r="E2946" s="147"/>
      <c r="F2946" s="146"/>
      <c r="I2946" s="147"/>
      <c r="Q2946" s="146"/>
      <c r="T2946" s="146"/>
      <c r="V2946" s="147"/>
      <c r="W2946" s="146"/>
      <c r="Y2946" s="147"/>
    </row>
    <row r="2947" spans="3:25">
      <c r="C2947" s="146"/>
      <c r="E2947" s="147"/>
      <c r="F2947" s="146"/>
      <c r="I2947" s="147"/>
      <c r="Q2947" s="146"/>
      <c r="T2947" s="146"/>
      <c r="V2947" s="147"/>
      <c r="W2947" s="146"/>
      <c r="Y2947" s="147"/>
    </row>
    <row r="2948" spans="3:25">
      <c r="C2948" s="146"/>
      <c r="E2948" s="147"/>
      <c r="F2948" s="146"/>
      <c r="I2948" s="147"/>
      <c r="Q2948" s="146"/>
      <c r="T2948" s="146"/>
      <c r="V2948" s="147"/>
      <c r="W2948" s="146"/>
      <c r="Y2948" s="147"/>
    </row>
    <row r="2949" spans="3:25">
      <c r="C2949" s="146"/>
      <c r="E2949" s="147"/>
      <c r="F2949" s="146"/>
      <c r="I2949" s="147"/>
      <c r="Q2949" s="146"/>
      <c r="T2949" s="146"/>
      <c r="V2949" s="147"/>
      <c r="W2949" s="146"/>
      <c r="Y2949" s="147"/>
    </row>
    <row r="2950" spans="3:25">
      <c r="C2950" s="146"/>
      <c r="E2950" s="147"/>
      <c r="F2950" s="146"/>
      <c r="I2950" s="147"/>
      <c r="Q2950" s="146"/>
      <c r="T2950" s="146"/>
      <c r="V2950" s="147"/>
      <c r="W2950" s="146"/>
      <c r="Y2950" s="147"/>
    </row>
    <row r="2951" spans="3:25">
      <c r="C2951" s="146"/>
      <c r="E2951" s="147"/>
      <c r="F2951" s="146"/>
      <c r="I2951" s="147"/>
      <c r="Q2951" s="146"/>
      <c r="T2951" s="146"/>
      <c r="V2951" s="147"/>
      <c r="W2951" s="146"/>
      <c r="Y2951" s="147"/>
    </row>
    <row r="2952" spans="3:25">
      <c r="C2952" s="146"/>
      <c r="E2952" s="147"/>
      <c r="F2952" s="146"/>
      <c r="I2952" s="147"/>
      <c r="Q2952" s="146"/>
      <c r="T2952" s="146"/>
      <c r="V2952" s="147"/>
      <c r="W2952" s="146"/>
      <c r="Y2952" s="147"/>
    </row>
    <row r="2953" spans="3:25">
      <c r="C2953" s="146"/>
      <c r="E2953" s="147"/>
      <c r="F2953" s="146"/>
      <c r="I2953" s="147"/>
      <c r="Q2953" s="146"/>
      <c r="T2953" s="146"/>
      <c r="V2953" s="147"/>
      <c r="W2953" s="146"/>
      <c r="Y2953" s="147"/>
    </row>
    <row r="2954" spans="3:25">
      <c r="C2954" s="146"/>
      <c r="E2954" s="147"/>
      <c r="F2954" s="146"/>
      <c r="I2954" s="147"/>
      <c r="Q2954" s="146"/>
      <c r="T2954" s="146"/>
      <c r="V2954" s="147"/>
      <c r="W2954" s="146"/>
      <c r="Y2954" s="147"/>
    </row>
    <row r="2955" spans="3:25">
      <c r="C2955" s="146"/>
      <c r="E2955" s="147"/>
      <c r="F2955" s="146"/>
      <c r="I2955" s="147"/>
      <c r="Q2955" s="146"/>
      <c r="T2955" s="146"/>
      <c r="V2955" s="147"/>
      <c r="W2955" s="146"/>
      <c r="Y2955" s="147"/>
    </row>
    <row r="2956" spans="3:25">
      <c r="C2956" s="146"/>
      <c r="E2956" s="147"/>
      <c r="F2956" s="146"/>
      <c r="I2956" s="147"/>
      <c r="Q2956" s="146"/>
      <c r="T2956" s="146"/>
      <c r="V2956" s="147"/>
      <c r="W2956" s="146"/>
      <c r="Y2956" s="147"/>
    </row>
    <row r="2957" spans="3:25">
      <c r="C2957" s="146"/>
      <c r="E2957" s="147"/>
      <c r="F2957" s="146"/>
      <c r="I2957" s="147"/>
      <c r="Q2957" s="146"/>
      <c r="T2957" s="146"/>
      <c r="V2957" s="147"/>
      <c r="W2957" s="146"/>
      <c r="Y2957" s="147"/>
    </row>
    <row r="2958" spans="3:25">
      <c r="C2958" s="146"/>
      <c r="E2958" s="147"/>
      <c r="F2958" s="146"/>
      <c r="I2958" s="147"/>
      <c r="Q2958" s="146"/>
      <c r="T2958" s="146"/>
      <c r="V2958" s="147"/>
      <c r="W2958" s="146"/>
      <c r="Y2958" s="147"/>
    </row>
    <row r="2959" spans="3:25">
      <c r="C2959" s="146"/>
      <c r="E2959" s="147"/>
      <c r="F2959" s="146"/>
      <c r="I2959" s="147"/>
      <c r="Q2959" s="146"/>
      <c r="T2959" s="146"/>
      <c r="V2959" s="147"/>
      <c r="W2959" s="146"/>
      <c r="Y2959" s="147"/>
    </row>
    <row r="2960" spans="3:25">
      <c r="C2960" s="146"/>
      <c r="E2960" s="147"/>
      <c r="F2960" s="146"/>
      <c r="I2960" s="147"/>
      <c r="Q2960" s="146"/>
      <c r="T2960" s="146"/>
      <c r="V2960" s="147"/>
      <c r="W2960" s="146"/>
      <c r="Y2960" s="147"/>
    </row>
    <row r="2961" spans="3:25">
      <c r="C2961" s="146"/>
      <c r="E2961" s="147"/>
      <c r="F2961" s="146"/>
      <c r="I2961" s="147"/>
      <c r="Q2961" s="146"/>
      <c r="T2961" s="146"/>
      <c r="V2961" s="147"/>
      <c r="W2961" s="146"/>
      <c r="Y2961" s="147"/>
    </row>
    <row r="2962" spans="3:25">
      <c r="C2962" s="146"/>
      <c r="E2962" s="147"/>
      <c r="F2962" s="146"/>
      <c r="I2962" s="147"/>
      <c r="Q2962" s="146"/>
      <c r="T2962" s="146"/>
      <c r="V2962" s="147"/>
      <c r="W2962" s="146"/>
      <c r="Y2962" s="147"/>
    </row>
    <row r="2963" spans="3:25">
      <c r="C2963" s="146"/>
      <c r="E2963" s="147"/>
      <c r="F2963" s="146"/>
      <c r="I2963" s="147"/>
      <c r="Q2963" s="146"/>
      <c r="T2963" s="146"/>
      <c r="V2963" s="147"/>
      <c r="W2963" s="146"/>
      <c r="Y2963" s="147"/>
    </row>
    <row r="2964" spans="3:25">
      <c r="C2964" s="146"/>
      <c r="E2964" s="147"/>
      <c r="F2964" s="146"/>
      <c r="I2964" s="147"/>
      <c r="Q2964" s="146"/>
      <c r="T2964" s="146"/>
      <c r="V2964" s="147"/>
      <c r="W2964" s="146"/>
      <c r="Y2964" s="147"/>
    </row>
    <row r="2965" spans="3:25">
      <c r="C2965" s="146"/>
      <c r="E2965" s="147"/>
      <c r="F2965" s="146"/>
      <c r="I2965" s="147"/>
      <c r="Q2965" s="146"/>
      <c r="T2965" s="146"/>
      <c r="V2965" s="147"/>
      <c r="W2965" s="146"/>
      <c r="Y2965" s="147"/>
    </row>
    <row r="2966" spans="3:25">
      <c r="C2966" s="146"/>
      <c r="E2966" s="147"/>
      <c r="F2966" s="146"/>
      <c r="I2966" s="147"/>
      <c r="Q2966" s="146"/>
      <c r="T2966" s="146"/>
      <c r="V2966" s="147"/>
      <c r="W2966" s="146"/>
      <c r="Y2966" s="147"/>
    </row>
    <row r="2967" spans="3:25">
      <c r="C2967" s="146"/>
      <c r="E2967" s="147"/>
      <c r="F2967" s="146"/>
      <c r="I2967" s="147"/>
      <c r="Q2967" s="146"/>
      <c r="T2967" s="146"/>
      <c r="V2967" s="147"/>
      <c r="W2967" s="146"/>
      <c r="Y2967" s="147"/>
    </row>
    <row r="2968" spans="3:25">
      <c r="C2968" s="146"/>
      <c r="E2968" s="147"/>
      <c r="F2968" s="146"/>
      <c r="I2968" s="147"/>
      <c r="Q2968" s="146"/>
      <c r="T2968" s="146"/>
      <c r="V2968" s="147"/>
      <c r="W2968" s="146"/>
      <c r="Y2968" s="147"/>
    </row>
    <row r="2969" spans="3:25">
      <c r="C2969" s="146"/>
      <c r="E2969" s="147"/>
      <c r="F2969" s="146"/>
      <c r="I2969" s="147"/>
      <c r="Q2969" s="146"/>
      <c r="T2969" s="146"/>
      <c r="V2969" s="147"/>
      <c r="W2969" s="146"/>
      <c r="Y2969" s="147"/>
    </row>
    <row r="2970" spans="3:25">
      <c r="C2970" s="146"/>
      <c r="E2970" s="147"/>
      <c r="F2970" s="146"/>
      <c r="I2970" s="147"/>
      <c r="Q2970" s="146"/>
      <c r="T2970" s="146"/>
      <c r="V2970" s="147"/>
      <c r="W2970" s="146"/>
      <c r="Y2970" s="147"/>
    </row>
    <row r="2971" spans="3:25">
      <c r="C2971" s="146"/>
      <c r="E2971" s="147"/>
      <c r="F2971" s="146"/>
      <c r="I2971" s="147"/>
      <c r="Q2971" s="146"/>
      <c r="T2971" s="146"/>
      <c r="V2971" s="147"/>
      <c r="W2971" s="146"/>
      <c r="Y2971" s="147"/>
    </row>
    <row r="2972" spans="3:25">
      <c r="C2972" s="146"/>
      <c r="E2972" s="147"/>
      <c r="F2972" s="146"/>
      <c r="I2972" s="147"/>
      <c r="Q2972" s="146"/>
      <c r="T2972" s="146"/>
      <c r="V2972" s="147"/>
      <c r="W2972" s="146"/>
      <c r="Y2972" s="147"/>
    </row>
    <row r="2973" spans="3:25">
      <c r="C2973" s="146"/>
      <c r="E2973" s="147"/>
      <c r="F2973" s="146"/>
      <c r="I2973" s="147"/>
      <c r="Q2973" s="146"/>
      <c r="T2973" s="146"/>
      <c r="V2973" s="147"/>
      <c r="W2973" s="146"/>
      <c r="Y2973" s="147"/>
    </row>
    <row r="2974" spans="3:25">
      <c r="C2974" s="146"/>
      <c r="E2974" s="147"/>
      <c r="F2974" s="146"/>
      <c r="I2974" s="147"/>
      <c r="Q2974" s="146"/>
      <c r="T2974" s="146"/>
      <c r="V2974" s="147"/>
      <c r="W2974" s="146"/>
      <c r="Y2974" s="147"/>
    </row>
    <row r="2975" spans="3:25">
      <c r="C2975" s="146"/>
      <c r="E2975" s="147"/>
      <c r="F2975" s="146"/>
      <c r="I2975" s="147"/>
      <c r="Q2975" s="146"/>
      <c r="T2975" s="146"/>
      <c r="V2975" s="147"/>
      <c r="W2975" s="146"/>
      <c r="Y2975" s="147"/>
    </row>
    <row r="2976" spans="3:25">
      <c r="C2976" s="146"/>
      <c r="E2976" s="147"/>
      <c r="F2976" s="146"/>
      <c r="I2976" s="147"/>
      <c r="Q2976" s="146"/>
      <c r="T2976" s="146"/>
      <c r="V2976" s="147"/>
      <c r="W2976" s="146"/>
      <c r="Y2976" s="147"/>
    </row>
    <row r="2977" spans="3:25">
      <c r="C2977" s="146"/>
      <c r="E2977" s="147"/>
      <c r="F2977" s="146"/>
      <c r="I2977" s="147"/>
      <c r="Q2977" s="146"/>
      <c r="T2977" s="146"/>
      <c r="V2977" s="147"/>
      <c r="W2977" s="146"/>
      <c r="Y2977" s="147"/>
    </row>
    <row r="2978" spans="3:25">
      <c r="C2978" s="146"/>
      <c r="E2978" s="147"/>
      <c r="F2978" s="146"/>
      <c r="I2978" s="147"/>
      <c r="Q2978" s="146"/>
      <c r="T2978" s="146"/>
      <c r="V2978" s="147"/>
      <c r="W2978" s="146"/>
      <c r="Y2978" s="147"/>
    </row>
    <row r="2979" spans="3:25">
      <c r="C2979" s="146"/>
      <c r="E2979" s="147"/>
      <c r="F2979" s="146"/>
      <c r="I2979" s="147"/>
      <c r="Q2979" s="146"/>
      <c r="T2979" s="146"/>
      <c r="V2979" s="147"/>
      <c r="W2979" s="146"/>
      <c r="Y2979" s="147"/>
    </row>
    <row r="2980" spans="3:25">
      <c r="C2980" s="146"/>
      <c r="E2980" s="147"/>
      <c r="F2980" s="146"/>
      <c r="I2980" s="147"/>
      <c r="Q2980" s="146"/>
      <c r="T2980" s="146"/>
      <c r="V2980" s="147"/>
      <c r="W2980" s="146"/>
      <c r="Y2980" s="147"/>
    </row>
    <row r="2981" spans="3:25">
      <c r="C2981" s="146"/>
      <c r="E2981" s="147"/>
      <c r="F2981" s="146"/>
      <c r="I2981" s="147"/>
      <c r="Q2981" s="146"/>
      <c r="T2981" s="146"/>
      <c r="V2981" s="147"/>
      <c r="W2981" s="146"/>
      <c r="Y2981" s="147"/>
    </row>
    <row r="2982" spans="3:25">
      <c r="C2982" s="146"/>
      <c r="E2982" s="147"/>
      <c r="F2982" s="146"/>
      <c r="I2982" s="147"/>
      <c r="Q2982" s="146"/>
      <c r="T2982" s="146"/>
      <c r="V2982" s="147"/>
      <c r="W2982" s="146"/>
      <c r="Y2982" s="147"/>
    </row>
    <row r="2983" spans="3:25">
      <c r="C2983" s="146"/>
      <c r="E2983" s="147"/>
      <c r="F2983" s="146"/>
      <c r="I2983" s="147"/>
      <c r="Q2983" s="146"/>
      <c r="T2983" s="146"/>
      <c r="V2983" s="147"/>
      <c r="W2983" s="146"/>
      <c r="Y2983" s="147"/>
    </row>
    <row r="2984" spans="3:25">
      <c r="C2984" s="146"/>
      <c r="E2984" s="147"/>
      <c r="F2984" s="146"/>
      <c r="I2984" s="147"/>
      <c r="Q2984" s="146"/>
      <c r="T2984" s="146"/>
      <c r="V2984" s="147"/>
      <c r="W2984" s="146"/>
      <c r="Y2984" s="147"/>
    </row>
    <row r="2985" spans="3:25">
      <c r="C2985" s="146"/>
      <c r="E2985" s="147"/>
      <c r="F2985" s="146"/>
      <c r="I2985" s="147"/>
      <c r="Q2985" s="146"/>
      <c r="T2985" s="146"/>
      <c r="V2985" s="147"/>
      <c r="W2985" s="146"/>
      <c r="Y2985" s="147"/>
    </row>
    <row r="2986" spans="3:25">
      <c r="C2986" s="146"/>
      <c r="E2986" s="147"/>
      <c r="F2986" s="146"/>
      <c r="I2986" s="147"/>
      <c r="Q2986" s="146"/>
      <c r="T2986" s="146"/>
      <c r="V2986" s="147"/>
      <c r="W2986" s="146"/>
      <c r="Y2986" s="147"/>
    </row>
    <row r="2987" spans="3:25">
      <c r="C2987" s="146"/>
      <c r="E2987" s="147"/>
      <c r="F2987" s="146"/>
      <c r="I2987" s="147"/>
      <c r="Q2987" s="146"/>
      <c r="T2987" s="146"/>
      <c r="V2987" s="147"/>
      <c r="W2987" s="146"/>
      <c r="Y2987" s="147"/>
    </row>
    <row r="2988" spans="3:25">
      <c r="C2988" s="146"/>
      <c r="E2988" s="147"/>
      <c r="F2988" s="146"/>
      <c r="I2988" s="147"/>
      <c r="Q2988" s="146"/>
      <c r="T2988" s="146"/>
      <c r="V2988" s="147"/>
      <c r="W2988" s="146"/>
      <c r="Y2988" s="147"/>
    </row>
    <row r="2989" spans="3:25">
      <c r="C2989" s="146"/>
      <c r="E2989" s="147"/>
      <c r="F2989" s="146"/>
      <c r="I2989" s="147"/>
      <c r="Q2989" s="146"/>
      <c r="T2989" s="146"/>
      <c r="V2989" s="147"/>
      <c r="W2989" s="146"/>
      <c r="Y2989" s="147"/>
    </row>
    <row r="2990" spans="3:25">
      <c r="C2990" s="146"/>
      <c r="E2990" s="147"/>
      <c r="F2990" s="146"/>
      <c r="I2990" s="147"/>
      <c r="Q2990" s="146"/>
      <c r="T2990" s="146"/>
      <c r="V2990" s="147"/>
      <c r="W2990" s="146"/>
      <c r="Y2990" s="147"/>
    </row>
    <row r="2991" spans="3:25">
      <c r="C2991" s="146"/>
      <c r="E2991" s="147"/>
      <c r="F2991" s="146"/>
      <c r="I2991" s="147"/>
      <c r="Q2991" s="146"/>
      <c r="T2991" s="146"/>
      <c r="V2991" s="147"/>
      <c r="W2991" s="146"/>
      <c r="Y2991" s="147"/>
    </row>
    <row r="2992" spans="3:25">
      <c r="C2992" s="146"/>
      <c r="E2992" s="147"/>
      <c r="F2992" s="146"/>
      <c r="I2992" s="147"/>
      <c r="Q2992" s="146"/>
      <c r="T2992" s="146"/>
      <c r="V2992" s="147"/>
      <c r="W2992" s="146"/>
      <c r="Y2992" s="147"/>
    </row>
    <row r="2993" spans="3:25">
      <c r="C2993" s="146"/>
      <c r="E2993" s="147"/>
      <c r="F2993" s="146"/>
      <c r="I2993" s="147"/>
      <c r="Q2993" s="146"/>
      <c r="T2993" s="146"/>
      <c r="V2993" s="147"/>
      <c r="W2993" s="146"/>
      <c r="Y2993" s="147"/>
    </row>
    <row r="2994" spans="3:25">
      <c r="C2994" s="146"/>
      <c r="E2994" s="147"/>
      <c r="F2994" s="146"/>
      <c r="I2994" s="147"/>
      <c r="Q2994" s="146"/>
      <c r="T2994" s="146"/>
      <c r="V2994" s="147"/>
      <c r="W2994" s="146"/>
      <c r="Y2994" s="147"/>
    </row>
    <row r="2995" spans="3:25">
      <c r="C2995" s="146"/>
      <c r="E2995" s="147"/>
      <c r="F2995" s="146"/>
      <c r="I2995" s="147"/>
      <c r="Q2995" s="146"/>
      <c r="T2995" s="146"/>
      <c r="V2995" s="147"/>
      <c r="W2995" s="146"/>
      <c r="Y2995" s="147"/>
    </row>
    <row r="2996" spans="3:25">
      <c r="C2996" s="146"/>
      <c r="E2996" s="147"/>
      <c r="F2996" s="146"/>
      <c r="I2996" s="147"/>
      <c r="Q2996" s="146"/>
      <c r="T2996" s="146"/>
      <c r="V2996" s="147"/>
      <c r="W2996" s="146"/>
      <c r="Y2996" s="147"/>
    </row>
    <row r="2997" spans="3:25">
      <c r="C2997" s="146"/>
      <c r="E2997" s="147"/>
      <c r="F2997" s="146"/>
      <c r="I2997" s="147"/>
      <c r="Q2997" s="146"/>
      <c r="T2997" s="146"/>
      <c r="V2997" s="147"/>
      <c r="W2997" s="146"/>
      <c r="Y2997" s="147"/>
    </row>
    <row r="2998" spans="3:25">
      <c r="C2998" s="146"/>
      <c r="E2998" s="147"/>
      <c r="F2998" s="146"/>
      <c r="I2998" s="147"/>
      <c r="Q2998" s="146"/>
      <c r="T2998" s="146"/>
      <c r="V2998" s="147"/>
      <c r="W2998" s="146"/>
      <c r="Y2998" s="147"/>
    </row>
    <row r="2999" spans="3:25">
      <c r="C2999" s="146"/>
      <c r="E2999" s="147"/>
      <c r="F2999" s="146"/>
      <c r="I2999" s="147"/>
      <c r="Q2999" s="146"/>
      <c r="T2999" s="146"/>
      <c r="V2999" s="147"/>
      <c r="W2999" s="146"/>
      <c r="Y2999" s="147"/>
    </row>
    <row r="3000" spans="3:25">
      <c r="C3000" s="146"/>
      <c r="E3000" s="147"/>
      <c r="F3000" s="146"/>
      <c r="I3000" s="147"/>
      <c r="Q3000" s="146"/>
      <c r="T3000" s="146"/>
      <c r="V3000" s="147"/>
      <c r="W3000" s="146"/>
      <c r="Y3000" s="147"/>
    </row>
    <row r="3001" spans="3:25">
      <c r="C3001" s="146"/>
      <c r="E3001" s="147"/>
      <c r="F3001" s="146"/>
      <c r="I3001" s="147"/>
      <c r="Q3001" s="146"/>
      <c r="T3001" s="146"/>
      <c r="V3001" s="147"/>
      <c r="W3001" s="146"/>
      <c r="Y3001" s="147"/>
    </row>
    <row r="3002" spans="3:25">
      <c r="C3002" s="146"/>
      <c r="E3002" s="147"/>
      <c r="F3002" s="146"/>
      <c r="I3002" s="147"/>
      <c r="Q3002" s="146"/>
      <c r="T3002" s="146"/>
      <c r="V3002" s="147"/>
      <c r="W3002" s="146"/>
      <c r="Y3002" s="147"/>
    </row>
    <row r="3003" spans="3:25">
      <c r="C3003" s="146"/>
      <c r="E3003" s="147"/>
      <c r="F3003" s="146"/>
      <c r="I3003" s="147"/>
      <c r="Q3003" s="146"/>
      <c r="T3003" s="146"/>
      <c r="V3003" s="147"/>
      <c r="W3003" s="146"/>
      <c r="Y3003" s="147"/>
    </row>
    <row r="3004" spans="3:25">
      <c r="C3004" s="146"/>
      <c r="E3004" s="147"/>
      <c r="F3004" s="146"/>
      <c r="I3004" s="147"/>
      <c r="Q3004" s="146"/>
      <c r="T3004" s="146"/>
      <c r="V3004" s="147"/>
      <c r="W3004" s="146"/>
      <c r="Y3004" s="147"/>
    </row>
    <row r="3005" spans="3:25">
      <c r="C3005" s="146"/>
      <c r="E3005" s="147"/>
      <c r="F3005" s="146"/>
      <c r="I3005" s="147"/>
      <c r="Q3005" s="146"/>
      <c r="T3005" s="146"/>
      <c r="V3005" s="147"/>
      <c r="W3005" s="146"/>
      <c r="Y3005" s="147"/>
    </row>
    <row r="3006" spans="3:25">
      <c r="C3006" s="146"/>
      <c r="E3006" s="147"/>
      <c r="F3006" s="146"/>
      <c r="I3006" s="147"/>
      <c r="Q3006" s="146"/>
      <c r="T3006" s="146"/>
      <c r="V3006" s="147"/>
      <c r="W3006" s="146"/>
      <c r="Y3006" s="147"/>
    </row>
    <row r="3007" spans="3:25">
      <c r="C3007" s="146"/>
      <c r="E3007" s="147"/>
      <c r="F3007" s="146"/>
      <c r="I3007" s="147"/>
      <c r="Q3007" s="146"/>
      <c r="T3007" s="146"/>
      <c r="V3007" s="147"/>
      <c r="W3007" s="146"/>
      <c r="Y3007" s="147"/>
    </row>
    <row r="3008" spans="3:25">
      <c r="C3008" s="146"/>
      <c r="E3008" s="147"/>
      <c r="F3008" s="146"/>
      <c r="I3008" s="147"/>
      <c r="Q3008" s="146"/>
      <c r="T3008" s="146"/>
      <c r="V3008" s="147"/>
      <c r="W3008" s="146"/>
      <c r="Y3008" s="147"/>
    </row>
    <row r="3009" spans="3:25">
      <c r="C3009" s="146"/>
      <c r="E3009" s="147"/>
      <c r="F3009" s="146"/>
      <c r="I3009" s="147"/>
      <c r="Q3009" s="146"/>
      <c r="T3009" s="146"/>
      <c r="V3009" s="147"/>
      <c r="W3009" s="146"/>
      <c r="Y3009" s="147"/>
    </row>
    <row r="3010" spans="3:25">
      <c r="C3010" s="146"/>
      <c r="E3010" s="147"/>
      <c r="F3010" s="146"/>
      <c r="I3010" s="147"/>
      <c r="Q3010" s="146"/>
      <c r="T3010" s="146"/>
      <c r="V3010" s="147"/>
      <c r="W3010" s="146"/>
      <c r="Y3010" s="147"/>
    </row>
    <row r="3011" spans="3:25">
      <c r="C3011" s="146"/>
      <c r="E3011" s="147"/>
      <c r="F3011" s="146"/>
      <c r="I3011" s="147"/>
      <c r="Q3011" s="146"/>
      <c r="T3011" s="146"/>
      <c r="V3011" s="147"/>
      <c r="W3011" s="146"/>
      <c r="Y3011" s="147"/>
    </row>
    <row r="3012" spans="3:25">
      <c r="C3012" s="146"/>
      <c r="E3012" s="147"/>
      <c r="F3012" s="146"/>
      <c r="I3012" s="147"/>
      <c r="Q3012" s="146"/>
      <c r="T3012" s="146"/>
      <c r="V3012" s="147"/>
      <c r="W3012" s="146"/>
      <c r="Y3012" s="147"/>
    </row>
    <row r="3013" spans="3:25">
      <c r="C3013" s="146"/>
      <c r="E3013" s="147"/>
      <c r="F3013" s="146"/>
      <c r="I3013" s="147"/>
      <c r="Q3013" s="146"/>
      <c r="T3013" s="146"/>
      <c r="V3013" s="147"/>
      <c r="W3013" s="146"/>
      <c r="Y3013" s="147"/>
    </row>
    <row r="3014" spans="3:25">
      <c r="C3014" s="146"/>
      <c r="E3014" s="147"/>
      <c r="F3014" s="146"/>
      <c r="I3014" s="147"/>
      <c r="Q3014" s="146"/>
      <c r="T3014" s="146"/>
      <c r="V3014" s="147"/>
      <c r="W3014" s="146"/>
      <c r="Y3014" s="147"/>
    </row>
    <row r="3015" spans="3:25">
      <c r="C3015" s="146"/>
      <c r="E3015" s="147"/>
      <c r="F3015" s="146"/>
      <c r="I3015" s="147"/>
      <c r="Q3015" s="146"/>
      <c r="T3015" s="146"/>
      <c r="V3015" s="147"/>
      <c r="W3015" s="146"/>
      <c r="Y3015" s="147"/>
    </row>
    <row r="3016" spans="3:25">
      <c r="C3016" s="146"/>
      <c r="E3016" s="147"/>
      <c r="F3016" s="146"/>
      <c r="I3016" s="147"/>
      <c r="Q3016" s="146"/>
      <c r="T3016" s="146"/>
      <c r="V3016" s="147"/>
      <c r="W3016" s="146"/>
      <c r="Y3016" s="147"/>
    </row>
    <row r="3017" spans="3:25">
      <c r="C3017" s="146"/>
      <c r="E3017" s="147"/>
      <c r="F3017" s="146"/>
      <c r="I3017" s="147"/>
      <c r="Q3017" s="146"/>
      <c r="T3017" s="146"/>
      <c r="V3017" s="147"/>
      <c r="W3017" s="146"/>
      <c r="Y3017" s="147"/>
    </row>
    <row r="3018" spans="3:25">
      <c r="C3018" s="146"/>
      <c r="E3018" s="147"/>
      <c r="F3018" s="146"/>
      <c r="I3018" s="147"/>
      <c r="Q3018" s="146"/>
      <c r="T3018" s="146"/>
      <c r="V3018" s="147"/>
      <c r="W3018" s="146"/>
      <c r="Y3018" s="147"/>
    </row>
    <row r="3019" spans="3:25">
      <c r="C3019" s="146"/>
      <c r="E3019" s="147"/>
      <c r="F3019" s="146"/>
      <c r="I3019" s="147"/>
      <c r="Q3019" s="146"/>
      <c r="T3019" s="146"/>
      <c r="V3019" s="147"/>
      <c r="W3019" s="146"/>
      <c r="Y3019" s="147"/>
    </row>
    <row r="3020" spans="3:25">
      <c r="C3020" s="146"/>
      <c r="E3020" s="147"/>
      <c r="F3020" s="146"/>
      <c r="I3020" s="147"/>
      <c r="Q3020" s="146"/>
      <c r="T3020" s="146"/>
      <c r="V3020" s="147"/>
      <c r="W3020" s="146"/>
      <c r="Y3020" s="147"/>
    </row>
    <row r="3021" spans="3:25">
      <c r="C3021" s="146"/>
      <c r="E3021" s="147"/>
      <c r="F3021" s="146"/>
      <c r="I3021" s="147"/>
      <c r="Q3021" s="146"/>
      <c r="T3021" s="146"/>
      <c r="V3021" s="147"/>
      <c r="W3021" s="146"/>
      <c r="Y3021" s="147"/>
    </row>
    <row r="3022" spans="3:25">
      <c r="C3022" s="146"/>
      <c r="E3022" s="147"/>
      <c r="F3022" s="146"/>
      <c r="I3022" s="147"/>
      <c r="Q3022" s="146"/>
      <c r="T3022" s="146"/>
      <c r="V3022" s="147"/>
      <c r="W3022" s="146"/>
      <c r="Y3022" s="147"/>
    </row>
    <row r="3023" spans="3:25">
      <c r="C3023" s="146"/>
      <c r="E3023" s="147"/>
      <c r="F3023" s="146"/>
      <c r="I3023" s="147"/>
      <c r="Q3023" s="146"/>
      <c r="T3023" s="146"/>
      <c r="V3023" s="147"/>
      <c r="W3023" s="146"/>
      <c r="Y3023" s="147"/>
    </row>
    <row r="3024" spans="3:25">
      <c r="C3024" s="146"/>
      <c r="E3024" s="147"/>
      <c r="F3024" s="146"/>
      <c r="I3024" s="147"/>
      <c r="Q3024" s="146"/>
      <c r="T3024" s="146"/>
      <c r="V3024" s="147"/>
      <c r="W3024" s="146"/>
      <c r="Y3024" s="147"/>
    </row>
    <row r="3025" spans="3:25">
      <c r="C3025" s="146"/>
      <c r="E3025" s="147"/>
      <c r="F3025" s="146"/>
      <c r="I3025" s="147"/>
      <c r="Q3025" s="146"/>
      <c r="T3025" s="146"/>
      <c r="V3025" s="147"/>
      <c r="W3025" s="146"/>
      <c r="Y3025" s="147"/>
    </row>
    <row r="3026" spans="3:25">
      <c r="C3026" s="146"/>
      <c r="E3026" s="147"/>
      <c r="F3026" s="146"/>
      <c r="I3026" s="147"/>
      <c r="Q3026" s="146"/>
      <c r="T3026" s="146"/>
      <c r="V3026" s="147"/>
      <c r="W3026" s="146"/>
      <c r="Y3026" s="147"/>
    </row>
    <row r="3027" spans="3:25">
      <c r="C3027" s="146"/>
      <c r="E3027" s="147"/>
      <c r="F3027" s="146"/>
      <c r="I3027" s="147"/>
      <c r="Q3027" s="146"/>
      <c r="T3027" s="146"/>
      <c r="V3027" s="147"/>
      <c r="W3027" s="146"/>
      <c r="Y3027" s="147"/>
    </row>
    <row r="3028" spans="3:25">
      <c r="C3028" s="146"/>
      <c r="E3028" s="147"/>
      <c r="F3028" s="146"/>
      <c r="I3028" s="147"/>
      <c r="Q3028" s="146"/>
      <c r="T3028" s="146"/>
      <c r="V3028" s="147"/>
      <c r="W3028" s="146"/>
      <c r="Y3028" s="147"/>
    </row>
    <row r="3029" spans="3:25">
      <c r="C3029" s="146"/>
      <c r="E3029" s="147"/>
      <c r="F3029" s="146"/>
      <c r="I3029" s="147"/>
      <c r="Q3029" s="146"/>
      <c r="T3029" s="146"/>
      <c r="V3029" s="147"/>
      <c r="W3029" s="146"/>
      <c r="Y3029" s="147"/>
    </row>
    <row r="3030" spans="3:25">
      <c r="C3030" s="146"/>
      <c r="E3030" s="147"/>
      <c r="F3030" s="146"/>
      <c r="I3030" s="147"/>
      <c r="Q3030" s="146"/>
      <c r="T3030" s="146"/>
      <c r="V3030" s="147"/>
      <c r="W3030" s="146"/>
      <c r="Y3030" s="147"/>
    </row>
    <row r="3031" spans="3:25">
      <c r="C3031" s="146"/>
      <c r="E3031" s="147"/>
      <c r="F3031" s="146"/>
      <c r="I3031" s="147"/>
      <c r="Q3031" s="146"/>
      <c r="T3031" s="146"/>
      <c r="V3031" s="147"/>
      <c r="W3031" s="146"/>
      <c r="Y3031" s="147"/>
    </row>
    <row r="3032" spans="3:25">
      <c r="C3032" s="146"/>
      <c r="E3032" s="147"/>
      <c r="F3032" s="146"/>
      <c r="I3032" s="147"/>
      <c r="Q3032" s="146"/>
      <c r="T3032" s="146"/>
      <c r="V3032" s="147"/>
      <c r="W3032" s="146"/>
      <c r="Y3032" s="147"/>
    </row>
    <row r="3033" spans="3:25">
      <c r="C3033" s="146"/>
      <c r="E3033" s="147"/>
      <c r="F3033" s="146"/>
      <c r="I3033" s="147"/>
      <c r="Q3033" s="146"/>
      <c r="T3033" s="146"/>
      <c r="V3033" s="147"/>
      <c r="W3033" s="146"/>
      <c r="Y3033" s="147"/>
    </row>
    <row r="3034" spans="3:25">
      <c r="C3034" s="146"/>
      <c r="E3034" s="147"/>
      <c r="F3034" s="146"/>
      <c r="I3034" s="147"/>
      <c r="Q3034" s="146"/>
      <c r="T3034" s="146"/>
      <c r="V3034" s="147"/>
      <c r="W3034" s="146"/>
      <c r="Y3034" s="147"/>
    </row>
    <row r="3035" spans="3:25">
      <c r="C3035" s="146"/>
      <c r="E3035" s="147"/>
      <c r="F3035" s="146"/>
      <c r="I3035" s="147"/>
      <c r="Q3035" s="146"/>
      <c r="T3035" s="146"/>
      <c r="V3035" s="147"/>
      <c r="W3035" s="146"/>
      <c r="Y3035" s="147"/>
    </row>
    <row r="3036" spans="3:25">
      <c r="C3036" s="146"/>
      <c r="E3036" s="147"/>
      <c r="F3036" s="146"/>
      <c r="I3036" s="147"/>
      <c r="Q3036" s="146"/>
      <c r="T3036" s="146"/>
      <c r="V3036" s="147"/>
      <c r="W3036" s="146"/>
      <c r="Y3036" s="147"/>
    </row>
    <row r="3037" spans="3:25">
      <c r="C3037" s="146"/>
      <c r="E3037" s="147"/>
      <c r="F3037" s="146"/>
      <c r="I3037" s="147"/>
      <c r="Q3037" s="146"/>
      <c r="T3037" s="146"/>
      <c r="V3037" s="147"/>
      <c r="W3037" s="146"/>
      <c r="Y3037" s="147"/>
    </row>
    <row r="3038" spans="3:25">
      <c r="C3038" s="146"/>
      <c r="E3038" s="147"/>
      <c r="F3038" s="146"/>
      <c r="I3038" s="147"/>
      <c r="Q3038" s="146"/>
      <c r="T3038" s="146"/>
      <c r="V3038" s="147"/>
      <c r="W3038" s="146"/>
      <c r="Y3038" s="147"/>
    </row>
    <row r="3039" spans="3:25">
      <c r="C3039" s="146"/>
      <c r="E3039" s="147"/>
      <c r="F3039" s="146"/>
      <c r="I3039" s="147"/>
      <c r="Q3039" s="146"/>
      <c r="T3039" s="146"/>
      <c r="V3039" s="147"/>
      <c r="W3039" s="146"/>
      <c r="Y3039" s="147"/>
    </row>
    <row r="3040" spans="3:25">
      <c r="C3040" s="146"/>
      <c r="E3040" s="147"/>
      <c r="F3040" s="146"/>
      <c r="I3040" s="147"/>
      <c r="Q3040" s="146"/>
      <c r="T3040" s="146"/>
      <c r="V3040" s="147"/>
      <c r="W3040" s="146"/>
      <c r="Y3040" s="147"/>
    </row>
    <row r="3041" spans="3:25">
      <c r="C3041" s="146"/>
      <c r="E3041" s="147"/>
      <c r="F3041" s="146"/>
      <c r="I3041" s="147"/>
      <c r="Q3041" s="146"/>
      <c r="T3041" s="146"/>
      <c r="V3041" s="147"/>
      <c r="W3041" s="146"/>
      <c r="Y3041" s="147"/>
    </row>
    <row r="3042" spans="3:25">
      <c r="C3042" s="146"/>
      <c r="E3042" s="147"/>
      <c r="F3042" s="146"/>
      <c r="I3042" s="147"/>
      <c r="Q3042" s="146"/>
      <c r="T3042" s="146"/>
      <c r="V3042" s="147"/>
      <c r="W3042" s="146"/>
      <c r="Y3042" s="147"/>
    </row>
    <row r="3043" spans="3:25">
      <c r="C3043" s="146"/>
      <c r="E3043" s="147"/>
      <c r="F3043" s="146"/>
      <c r="I3043" s="147"/>
      <c r="Q3043" s="146"/>
      <c r="T3043" s="146"/>
      <c r="V3043" s="147"/>
      <c r="W3043" s="146"/>
      <c r="Y3043" s="147"/>
    </row>
    <row r="3044" spans="3:25">
      <c r="C3044" s="146"/>
      <c r="E3044" s="147"/>
      <c r="F3044" s="146"/>
      <c r="I3044" s="147"/>
      <c r="Q3044" s="146"/>
      <c r="T3044" s="146"/>
      <c r="V3044" s="147"/>
      <c r="W3044" s="146"/>
      <c r="Y3044" s="147"/>
    </row>
    <row r="3045" spans="3:25">
      <c r="C3045" s="146"/>
      <c r="E3045" s="147"/>
      <c r="F3045" s="146"/>
      <c r="I3045" s="147"/>
      <c r="Q3045" s="146"/>
      <c r="T3045" s="146"/>
      <c r="V3045" s="147"/>
      <c r="W3045" s="146"/>
      <c r="Y3045" s="147"/>
    </row>
    <row r="3046" spans="3:25">
      <c r="C3046" s="146"/>
      <c r="E3046" s="147"/>
      <c r="F3046" s="146"/>
      <c r="I3046" s="147"/>
      <c r="Q3046" s="146"/>
      <c r="T3046" s="146"/>
      <c r="V3046" s="147"/>
      <c r="W3046" s="146"/>
      <c r="Y3046" s="147"/>
    </row>
    <row r="3047" spans="3:25">
      <c r="C3047" s="146"/>
      <c r="E3047" s="147"/>
      <c r="F3047" s="146"/>
      <c r="I3047" s="147"/>
      <c r="Q3047" s="146"/>
      <c r="T3047" s="146"/>
      <c r="V3047" s="147"/>
      <c r="W3047" s="146"/>
      <c r="Y3047" s="147"/>
    </row>
    <row r="3048" spans="3:25">
      <c r="C3048" s="146"/>
      <c r="E3048" s="147"/>
      <c r="F3048" s="146"/>
      <c r="I3048" s="147"/>
      <c r="Q3048" s="146"/>
      <c r="T3048" s="146"/>
      <c r="V3048" s="147"/>
      <c r="W3048" s="146"/>
      <c r="Y3048" s="147"/>
    </row>
    <row r="3049" spans="3:25">
      <c r="C3049" s="146"/>
      <c r="E3049" s="147"/>
      <c r="F3049" s="146"/>
      <c r="I3049" s="147"/>
      <c r="Q3049" s="146"/>
      <c r="T3049" s="146"/>
      <c r="V3049" s="147"/>
      <c r="W3049" s="146"/>
      <c r="Y3049" s="147"/>
    </row>
    <row r="3050" spans="3:25">
      <c r="C3050" s="146"/>
      <c r="E3050" s="147"/>
      <c r="F3050" s="146"/>
      <c r="I3050" s="147"/>
      <c r="Q3050" s="146"/>
      <c r="T3050" s="146"/>
      <c r="V3050" s="147"/>
      <c r="W3050" s="146"/>
      <c r="Y3050" s="147"/>
    </row>
    <row r="3051" spans="3:25">
      <c r="C3051" s="146"/>
      <c r="E3051" s="147"/>
      <c r="F3051" s="146"/>
      <c r="I3051" s="147"/>
      <c r="Q3051" s="146"/>
      <c r="T3051" s="146"/>
      <c r="V3051" s="147"/>
      <c r="W3051" s="146"/>
      <c r="Y3051" s="147"/>
    </row>
    <row r="3052" spans="3:25">
      <c r="C3052" s="146"/>
      <c r="E3052" s="147"/>
      <c r="F3052" s="146"/>
      <c r="I3052" s="147"/>
      <c r="Q3052" s="146"/>
      <c r="T3052" s="146"/>
      <c r="V3052" s="147"/>
      <c r="W3052" s="146"/>
      <c r="Y3052" s="147"/>
    </row>
    <row r="3053" spans="3:25">
      <c r="C3053" s="146"/>
      <c r="E3053" s="147"/>
      <c r="F3053" s="146"/>
      <c r="I3053" s="147"/>
      <c r="Q3053" s="146"/>
      <c r="T3053" s="146"/>
      <c r="V3053" s="147"/>
      <c r="W3053" s="146"/>
      <c r="Y3053" s="147"/>
    </row>
    <row r="3054" spans="3:25">
      <c r="C3054" s="146"/>
      <c r="E3054" s="147"/>
      <c r="F3054" s="146"/>
      <c r="I3054" s="147"/>
      <c r="Q3054" s="146"/>
      <c r="T3054" s="146"/>
      <c r="V3054" s="147"/>
      <c r="W3054" s="146"/>
      <c r="Y3054" s="147"/>
    </row>
    <row r="3055" spans="3:25">
      <c r="C3055" s="146"/>
      <c r="E3055" s="147"/>
      <c r="F3055" s="146"/>
      <c r="I3055" s="147"/>
      <c r="Q3055" s="146"/>
      <c r="T3055" s="146"/>
      <c r="V3055" s="147"/>
      <c r="W3055" s="146"/>
      <c r="Y3055" s="147"/>
    </row>
    <row r="3056" spans="3:25">
      <c r="C3056" s="146"/>
      <c r="E3056" s="147"/>
      <c r="F3056" s="146"/>
      <c r="I3056" s="147"/>
      <c r="Q3056" s="146"/>
      <c r="T3056" s="146"/>
      <c r="V3056" s="147"/>
      <c r="W3056" s="146"/>
      <c r="Y3056" s="147"/>
    </row>
    <row r="3057" spans="3:25">
      <c r="C3057" s="146"/>
      <c r="E3057" s="147"/>
      <c r="F3057" s="146"/>
      <c r="I3057" s="147"/>
      <c r="Q3057" s="146"/>
      <c r="T3057" s="146"/>
      <c r="V3057" s="147"/>
      <c r="W3057" s="146"/>
      <c r="Y3057" s="147"/>
    </row>
    <row r="3058" spans="3:25">
      <c r="C3058" s="146"/>
      <c r="E3058" s="147"/>
      <c r="F3058" s="146"/>
      <c r="I3058" s="147"/>
      <c r="Q3058" s="146"/>
      <c r="T3058" s="146"/>
      <c r="V3058" s="147"/>
      <c r="W3058" s="146"/>
      <c r="Y3058" s="147"/>
    </row>
    <row r="3059" spans="3:25">
      <c r="C3059" s="146"/>
      <c r="E3059" s="147"/>
      <c r="F3059" s="146"/>
      <c r="I3059" s="147"/>
      <c r="Q3059" s="146"/>
      <c r="T3059" s="146"/>
      <c r="V3059" s="147"/>
      <c r="W3059" s="146"/>
      <c r="Y3059" s="147"/>
    </row>
    <row r="3060" spans="3:25">
      <c r="C3060" s="146"/>
      <c r="E3060" s="147"/>
      <c r="F3060" s="146"/>
      <c r="I3060" s="147"/>
      <c r="Q3060" s="146"/>
      <c r="T3060" s="146"/>
      <c r="V3060" s="147"/>
      <c r="W3060" s="146"/>
      <c r="Y3060" s="147"/>
    </row>
    <row r="3061" spans="3:25">
      <c r="C3061" s="146"/>
      <c r="E3061" s="147"/>
      <c r="F3061" s="146"/>
      <c r="I3061" s="147"/>
      <c r="Q3061" s="146"/>
      <c r="T3061" s="146"/>
      <c r="V3061" s="147"/>
      <c r="W3061" s="146"/>
      <c r="Y3061" s="147"/>
    </row>
    <row r="3062" spans="3:25">
      <c r="C3062" s="146"/>
      <c r="E3062" s="147"/>
      <c r="F3062" s="146"/>
      <c r="I3062" s="147"/>
      <c r="Q3062" s="146"/>
      <c r="T3062" s="146"/>
      <c r="V3062" s="147"/>
      <c r="W3062" s="146"/>
      <c r="Y3062" s="147"/>
    </row>
    <row r="3063" spans="3:25">
      <c r="C3063" s="146"/>
      <c r="E3063" s="147"/>
      <c r="F3063" s="146"/>
      <c r="I3063" s="147"/>
      <c r="Q3063" s="146"/>
      <c r="T3063" s="146"/>
      <c r="V3063" s="147"/>
      <c r="W3063" s="146"/>
      <c r="Y3063" s="147"/>
    </row>
    <row r="3064" spans="3:25">
      <c r="C3064" s="146"/>
      <c r="E3064" s="147"/>
      <c r="F3064" s="146"/>
      <c r="I3064" s="147"/>
      <c r="Q3064" s="146"/>
      <c r="T3064" s="146"/>
      <c r="V3064" s="147"/>
      <c r="W3064" s="146"/>
      <c r="Y3064" s="147"/>
    </row>
    <row r="3065" spans="3:25">
      <c r="C3065" s="146"/>
      <c r="E3065" s="147"/>
      <c r="F3065" s="146"/>
      <c r="I3065" s="147"/>
      <c r="Q3065" s="146"/>
      <c r="T3065" s="146"/>
      <c r="V3065" s="147"/>
      <c r="W3065" s="146"/>
      <c r="Y3065" s="147"/>
    </row>
    <row r="3066" spans="3:25">
      <c r="C3066" s="146"/>
      <c r="E3066" s="147"/>
      <c r="F3066" s="146"/>
      <c r="I3066" s="147"/>
      <c r="Q3066" s="146"/>
      <c r="T3066" s="146"/>
      <c r="V3066" s="147"/>
      <c r="W3066" s="146"/>
      <c r="Y3066" s="147"/>
    </row>
    <row r="3067" spans="3:25">
      <c r="C3067" s="146"/>
      <c r="E3067" s="147"/>
      <c r="F3067" s="146"/>
      <c r="I3067" s="147"/>
      <c r="Q3067" s="146"/>
      <c r="T3067" s="146"/>
      <c r="V3067" s="147"/>
      <c r="W3067" s="146"/>
      <c r="Y3067" s="147"/>
    </row>
    <row r="3068" spans="3:25">
      <c r="C3068" s="146"/>
      <c r="E3068" s="147"/>
      <c r="F3068" s="146"/>
      <c r="I3068" s="147"/>
      <c r="Q3068" s="146"/>
      <c r="T3068" s="146"/>
      <c r="V3068" s="147"/>
      <c r="W3068" s="146"/>
      <c r="Y3068" s="147"/>
    </row>
    <row r="3069" spans="3:25">
      <c r="C3069" s="146"/>
      <c r="E3069" s="147"/>
      <c r="F3069" s="146"/>
      <c r="I3069" s="147"/>
      <c r="Q3069" s="146"/>
      <c r="T3069" s="146"/>
      <c r="V3069" s="147"/>
      <c r="W3069" s="146"/>
      <c r="Y3069" s="147"/>
    </row>
    <row r="3070" spans="3:25">
      <c r="C3070" s="146"/>
      <c r="E3070" s="147"/>
      <c r="F3070" s="146"/>
      <c r="I3070" s="147"/>
      <c r="Q3070" s="146"/>
      <c r="T3070" s="146"/>
      <c r="V3070" s="147"/>
      <c r="W3070" s="146"/>
      <c r="Y3070" s="147"/>
    </row>
    <row r="3071" spans="3:25">
      <c r="C3071" s="146"/>
      <c r="E3071" s="147"/>
      <c r="F3071" s="146"/>
      <c r="I3071" s="147"/>
      <c r="Q3071" s="146"/>
      <c r="T3071" s="146"/>
      <c r="V3071" s="147"/>
      <c r="W3071" s="146"/>
      <c r="Y3071" s="147"/>
    </row>
    <row r="3072" spans="3:25">
      <c r="C3072" s="146"/>
      <c r="E3072" s="147"/>
      <c r="F3072" s="146"/>
      <c r="I3072" s="147"/>
      <c r="Q3072" s="146"/>
      <c r="T3072" s="146"/>
      <c r="V3072" s="147"/>
      <c r="W3072" s="146"/>
      <c r="Y3072" s="147"/>
    </row>
    <row r="3073" spans="3:25">
      <c r="C3073" s="146"/>
      <c r="E3073" s="147"/>
      <c r="F3073" s="146"/>
      <c r="I3073" s="147"/>
      <c r="Q3073" s="146"/>
      <c r="T3073" s="146"/>
      <c r="V3073" s="147"/>
      <c r="W3073" s="146"/>
      <c r="Y3073" s="147"/>
    </row>
    <row r="3074" spans="3:25">
      <c r="C3074" s="146"/>
      <c r="E3074" s="147"/>
      <c r="F3074" s="146"/>
      <c r="I3074" s="147"/>
      <c r="Q3074" s="146"/>
      <c r="T3074" s="146"/>
      <c r="V3074" s="147"/>
      <c r="W3074" s="146"/>
      <c r="Y3074" s="147"/>
    </row>
    <row r="3075" spans="3:25">
      <c r="C3075" s="146"/>
      <c r="E3075" s="147"/>
      <c r="F3075" s="146"/>
      <c r="I3075" s="147"/>
      <c r="Q3075" s="146"/>
      <c r="T3075" s="146"/>
      <c r="V3075" s="147"/>
      <c r="W3075" s="146"/>
      <c r="Y3075" s="147"/>
    </row>
    <row r="3076" spans="3:25">
      <c r="C3076" s="146"/>
      <c r="E3076" s="147"/>
      <c r="F3076" s="146"/>
      <c r="I3076" s="147"/>
      <c r="Q3076" s="146"/>
      <c r="T3076" s="146"/>
      <c r="V3076" s="147"/>
      <c r="W3076" s="146"/>
      <c r="Y3076" s="147"/>
    </row>
    <row r="3077" spans="3:25">
      <c r="C3077" s="146"/>
      <c r="E3077" s="147"/>
      <c r="F3077" s="146"/>
      <c r="I3077" s="147"/>
      <c r="Q3077" s="146"/>
      <c r="T3077" s="146"/>
      <c r="V3077" s="147"/>
      <c r="W3077" s="146"/>
      <c r="Y3077" s="147"/>
    </row>
    <row r="3078" spans="3:25">
      <c r="C3078" s="146"/>
      <c r="E3078" s="147"/>
      <c r="F3078" s="146"/>
      <c r="I3078" s="147"/>
      <c r="Q3078" s="146"/>
      <c r="T3078" s="146"/>
      <c r="V3078" s="147"/>
      <c r="W3078" s="146"/>
      <c r="Y3078" s="147"/>
    </row>
    <row r="3079" spans="3:25">
      <c r="C3079" s="146"/>
      <c r="E3079" s="147"/>
      <c r="F3079" s="146"/>
      <c r="I3079" s="147"/>
      <c r="Q3079" s="146"/>
      <c r="T3079" s="146"/>
      <c r="V3079" s="147"/>
      <c r="W3079" s="146"/>
      <c r="Y3079" s="147"/>
    </row>
    <row r="3080" spans="3:25">
      <c r="C3080" s="146"/>
      <c r="E3080" s="147"/>
      <c r="F3080" s="146"/>
      <c r="I3080" s="147"/>
      <c r="Q3080" s="146"/>
      <c r="T3080" s="146"/>
      <c r="V3080" s="147"/>
      <c r="W3080" s="146"/>
      <c r="Y3080" s="147"/>
    </row>
    <row r="3081" spans="3:25">
      <c r="C3081" s="146"/>
      <c r="E3081" s="147"/>
      <c r="F3081" s="146"/>
      <c r="I3081" s="147"/>
      <c r="Q3081" s="146"/>
      <c r="T3081" s="146"/>
      <c r="V3081" s="147"/>
      <c r="W3081" s="146"/>
      <c r="Y3081" s="147"/>
    </row>
    <row r="3082" spans="3:25">
      <c r="C3082" s="146"/>
      <c r="E3082" s="147"/>
      <c r="F3082" s="146"/>
      <c r="I3082" s="147"/>
      <c r="Q3082" s="146"/>
      <c r="T3082" s="146"/>
      <c r="V3082" s="147"/>
      <c r="W3082" s="146"/>
      <c r="Y3082" s="147"/>
    </row>
    <row r="3083" spans="3:25">
      <c r="C3083" s="146"/>
      <c r="E3083" s="147"/>
      <c r="F3083" s="146"/>
      <c r="I3083" s="147"/>
      <c r="Q3083" s="146"/>
      <c r="T3083" s="146"/>
      <c r="V3083" s="147"/>
      <c r="W3083" s="146"/>
      <c r="Y3083" s="147"/>
    </row>
    <row r="3084" spans="3:25">
      <c r="C3084" s="146"/>
      <c r="E3084" s="147"/>
      <c r="F3084" s="146"/>
      <c r="I3084" s="147"/>
      <c r="Q3084" s="146"/>
      <c r="T3084" s="146"/>
      <c r="V3084" s="147"/>
      <c r="W3084" s="146"/>
      <c r="Y3084" s="147"/>
    </row>
    <row r="3085" spans="3:25">
      <c r="C3085" s="146"/>
      <c r="E3085" s="147"/>
      <c r="F3085" s="146"/>
      <c r="I3085" s="147"/>
      <c r="Q3085" s="146"/>
      <c r="T3085" s="146"/>
      <c r="V3085" s="147"/>
      <c r="W3085" s="146"/>
      <c r="Y3085" s="147"/>
    </row>
    <row r="3086" spans="3:25">
      <c r="C3086" s="146"/>
      <c r="E3086" s="147"/>
      <c r="F3086" s="146"/>
      <c r="I3086" s="147"/>
      <c r="Q3086" s="146"/>
      <c r="T3086" s="146"/>
      <c r="V3086" s="147"/>
      <c r="W3086" s="146"/>
      <c r="Y3086" s="147"/>
    </row>
    <row r="3087" spans="3:25">
      <c r="C3087" s="146"/>
      <c r="E3087" s="147"/>
      <c r="F3087" s="146"/>
      <c r="I3087" s="147"/>
      <c r="Q3087" s="146"/>
      <c r="T3087" s="146"/>
      <c r="V3087" s="147"/>
      <c r="W3087" s="146"/>
      <c r="Y3087" s="147"/>
    </row>
    <row r="3088" spans="3:25">
      <c r="C3088" s="146"/>
      <c r="E3088" s="147"/>
      <c r="F3088" s="146"/>
      <c r="I3088" s="147"/>
      <c r="Q3088" s="146"/>
      <c r="T3088" s="146"/>
      <c r="V3088" s="147"/>
      <c r="W3088" s="146"/>
      <c r="Y3088" s="147"/>
    </row>
    <row r="3089" spans="3:25">
      <c r="C3089" s="146"/>
      <c r="E3089" s="147"/>
      <c r="F3089" s="146"/>
      <c r="I3089" s="147"/>
      <c r="Q3089" s="146"/>
      <c r="T3089" s="146"/>
      <c r="V3089" s="147"/>
      <c r="W3089" s="146"/>
      <c r="Y3089" s="147"/>
    </row>
    <row r="3090" spans="3:25">
      <c r="C3090" s="146"/>
      <c r="E3090" s="147"/>
      <c r="F3090" s="146"/>
      <c r="I3090" s="147"/>
      <c r="Q3090" s="146"/>
      <c r="T3090" s="146"/>
      <c r="V3090" s="147"/>
      <c r="W3090" s="146"/>
      <c r="Y3090" s="147"/>
    </row>
    <row r="3091" spans="3:25">
      <c r="C3091" s="146"/>
      <c r="E3091" s="147"/>
      <c r="F3091" s="146"/>
      <c r="I3091" s="147"/>
      <c r="Q3091" s="146"/>
      <c r="T3091" s="146"/>
      <c r="V3091" s="147"/>
      <c r="W3091" s="146"/>
      <c r="Y3091" s="147"/>
    </row>
    <row r="3092" spans="3:25">
      <c r="C3092" s="146"/>
      <c r="E3092" s="147"/>
      <c r="F3092" s="146"/>
      <c r="I3092" s="147"/>
      <c r="Q3092" s="146"/>
      <c r="T3092" s="146"/>
      <c r="V3092" s="147"/>
      <c r="W3092" s="146"/>
      <c r="Y3092" s="147"/>
    </row>
    <row r="3093" spans="3:25">
      <c r="C3093" s="146"/>
      <c r="E3093" s="147"/>
      <c r="F3093" s="146"/>
      <c r="I3093" s="147"/>
      <c r="Q3093" s="146"/>
      <c r="T3093" s="146"/>
      <c r="V3093" s="147"/>
      <c r="W3093" s="146"/>
      <c r="Y3093" s="147"/>
    </row>
    <row r="3094" spans="3:25">
      <c r="C3094" s="146"/>
      <c r="E3094" s="147"/>
      <c r="F3094" s="146"/>
      <c r="I3094" s="147"/>
      <c r="Q3094" s="146"/>
      <c r="T3094" s="146"/>
      <c r="V3094" s="147"/>
      <c r="W3094" s="146"/>
      <c r="Y3094" s="147"/>
    </row>
    <row r="3095" spans="3:25">
      <c r="C3095" s="146"/>
      <c r="E3095" s="147"/>
      <c r="F3095" s="146"/>
      <c r="I3095" s="147"/>
      <c r="Q3095" s="146"/>
      <c r="T3095" s="146"/>
      <c r="V3095" s="147"/>
      <c r="W3095" s="146"/>
      <c r="Y3095" s="147"/>
    </row>
    <row r="3096" spans="3:25">
      <c r="C3096" s="146"/>
      <c r="E3096" s="147"/>
      <c r="F3096" s="146"/>
      <c r="I3096" s="147"/>
      <c r="Q3096" s="146"/>
      <c r="T3096" s="146"/>
      <c r="V3096" s="147"/>
      <c r="W3096" s="146"/>
      <c r="Y3096" s="147"/>
    </row>
    <row r="3097" spans="3:25">
      <c r="C3097" s="146"/>
      <c r="E3097" s="147"/>
      <c r="F3097" s="146"/>
      <c r="I3097" s="147"/>
      <c r="Q3097" s="146"/>
      <c r="T3097" s="146"/>
      <c r="V3097" s="147"/>
      <c r="W3097" s="146"/>
      <c r="Y3097" s="147"/>
    </row>
    <row r="3098" spans="3:25">
      <c r="C3098" s="146"/>
      <c r="E3098" s="147"/>
      <c r="F3098" s="146"/>
      <c r="I3098" s="147"/>
      <c r="Q3098" s="146"/>
      <c r="T3098" s="146"/>
      <c r="V3098" s="147"/>
      <c r="W3098" s="146"/>
      <c r="Y3098" s="147"/>
    </row>
    <row r="3099" spans="3:25">
      <c r="C3099" s="146"/>
      <c r="E3099" s="147"/>
      <c r="F3099" s="146"/>
      <c r="I3099" s="147"/>
      <c r="Q3099" s="146"/>
      <c r="T3099" s="146"/>
      <c r="V3099" s="147"/>
      <c r="W3099" s="146"/>
      <c r="Y3099" s="147"/>
    </row>
    <row r="3100" spans="3:25">
      <c r="C3100" s="146"/>
      <c r="E3100" s="147"/>
      <c r="F3100" s="146"/>
      <c r="I3100" s="147"/>
      <c r="Q3100" s="146"/>
      <c r="T3100" s="146"/>
      <c r="V3100" s="147"/>
      <c r="W3100" s="146"/>
      <c r="Y3100" s="147"/>
    </row>
    <row r="3101" spans="3:25">
      <c r="C3101" s="146"/>
      <c r="E3101" s="147"/>
      <c r="F3101" s="146"/>
      <c r="I3101" s="147"/>
      <c r="Q3101" s="146"/>
      <c r="T3101" s="146"/>
      <c r="V3101" s="147"/>
      <c r="W3101" s="146"/>
      <c r="Y3101" s="147"/>
    </row>
    <row r="3102" spans="3:25">
      <c r="C3102" s="146"/>
      <c r="E3102" s="147"/>
      <c r="F3102" s="146"/>
      <c r="I3102" s="147"/>
      <c r="Q3102" s="146"/>
      <c r="T3102" s="146"/>
      <c r="V3102" s="147"/>
      <c r="W3102" s="146"/>
      <c r="Y3102" s="147"/>
    </row>
    <row r="3103" spans="3:25">
      <c r="C3103" s="146"/>
      <c r="E3103" s="147"/>
      <c r="F3103" s="146"/>
      <c r="I3103" s="147"/>
      <c r="Q3103" s="146"/>
      <c r="T3103" s="146"/>
      <c r="V3103" s="147"/>
      <c r="W3103" s="146"/>
      <c r="Y3103" s="147"/>
    </row>
    <row r="3104" spans="3:25">
      <c r="C3104" s="146"/>
      <c r="E3104" s="147"/>
      <c r="F3104" s="146"/>
      <c r="I3104" s="147"/>
      <c r="Q3104" s="146"/>
      <c r="T3104" s="146"/>
      <c r="V3104" s="147"/>
      <c r="W3104" s="146"/>
      <c r="Y3104" s="147"/>
    </row>
    <row r="3105" spans="3:25">
      <c r="C3105" s="146"/>
      <c r="E3105" s="147"/>
      <c r="F3105" s="146"/>
      <c r="I3105" s="147"/>
      <c r="Q3105" s="146"/>
      <c r="T3105" s="146"/>
      <c r="V3105" s="147"/>
      <c r="W3105" s="146"/>
      <c r="Y3105" s="147"/>
    </row>
    <row r="3106" spans="3:25">
      <c r="C3106" s="146"/>
      <c r="E3106" s="147"/>
      <c r="F3106" s="146"/>
      <c r="I3106" s="147"/>
      <c r="Q3106" s="146"/>
      <c r="T3106" s="146"/>
      <c r="V3106" s="147"/>
      <c r="W3106" s="146"/>
      <c r="Y3106" s="147"/>
    </row>
    <row r="3107" spans="3:25">
      <c r="C3107" s="146"/>
      <c r="E3107" s="147"/>
      <c r="F3107" s="146"/>
      <c r="I3107" s="147"/>
      <c r="Q3107" s="146"/>
      <c r="T3107" s="146"/>
      <c r="V3107" s="147"/>
      <c r="W3107" s="146"/>
      <c r="Y3107" s="147"/>
    </row>
    <row r="3108" spans="3:25">
      <c r="C3108" s="146"/>
      <c r="E3108" s="147"/>
      <c r="F3108" s="146"/>
      <c r="I3108" s="147"/>
      <c r="Q3108" s="146"/>
      <c r="T3108" s="146"/>
      <c r="V3108" s="147"/>
      <c r="W3108" s="146"/>
      <c r="Y3108" s="147"/>
    </row>
    <row r="3109" spans="3:25">
      <c r="C3109" s="146"/>
      <c r="E3109" s="147"/>
      <c r="F3109" s="146"/>
      <c r="I3109" s="147"/>
      <c r="Q3109" s="146"/>
      <c r="T3109" s="146"/>
      <c r="V3109" s="147"/>
      <c r="W3109" s="146"/>
      <c r="Y3109" s="147"/>
    </row>
    <row r="3110" spans="3:25">
      <c r="C3110" s="146"/>
      <c r="E3110" s="147"/>
      <c r="F3110" s="146"/>
      <c r="I3110" s="147"/>
      <c r="Q3110" s="146"/>
      <c r="T3110" s="146"/>
      <c r="V3110" s="147"/>
      <c r="W3110" s="146"/>
      <c r="Y3110" s="147"/>
    </row>
    <row r="3111" spans="3:25">
      <c r="C3111" s="146"/>
      <c r="E3111" s="147"/>
      <c r="F3111" s="146"/>
      <c r="I3111" s="147"/>
      <c r="Q3111" s="146"/>
      <c r="T3111" s="146"/>
      <c r="V3111" s="147"/>
      <c r="W3111" s="146"/>
      <c r="Y3111" s="147"/>
    </row>
    <row r="3112" spans="3:25">
      <c r="C3112" s="146"/>
      <c r="E3112" s="147"/>
      <c r="F3112" s="146"/>
      <c r="I3112" s="147"/>
      <c r="Q3112" s="146"/>
      <c r="T3112" s="146"/>
      <c r="V3112" s="147"/>
      <c r="W3112" s="146"/>
      <c r="Y3112" s="147"/>
    </row>
    <row r="3113" spans="3:25">
      <c r="C3113" s="146"/>
      <c r="E3113" s="147"/>
      <c r="F3113" s="146"/>
      <c r="I3113" s="147"/>
      <c r="Q3113" s="146"/>
      <c r="T3113" s="146"/>
      <c r="V3113" s="147"/>
      <c r="W3113" s="146"/>
      <c r="Y3113" s="147"/>
    </row>
    <row r="3114" spans="3:25">
      <c r="C3114" s="146"/>
      <c r="E3114" s="147"/>
      <c r="F3114" s="146"/>
      <c r="I3114" s="147"/>
      <c r="Q3114" s="146"/>
      <c r="T3114" s="146"/>
      <c r="V3114" s="147"/>
      <c r="W3114" s="146"/>
      <c r="Y3114" s="147"/>
    </row>
    <row r="3115" spans="3:25">
      <c r="C3115" s="146"/>
      <c r="E3115" s="147"/>
      <c r="F3115" s="146"/>
      <c r="I3115" s="147"/>
      <c r="Q3115" s="146"/>
      <c r="T3115" s="146"/>
      <c r="V3115" s="147"/>
      <c r="W3115" s="146"/>
      <c r="Y3115" s="147"/>
    </row>
    <row r="3116" spans="3:25">
      <c r="C3116" s="146"/>
      <c r="E3116" s="147"/>
      <c r="F3116" s="146"/>
      <c r="I3116" s="147"/>
      <c r="Q3116" s="146"/>
      <c r="T3116" s="146"/>
      <c r="V3116" s="147"/>
      <c r="W3116" s="146"/>
      <c r="Y3116" s="147"/>
    </row>
    <row r="3117" spans="3:25">
      <c r="C3117" s="146"/>
      <c r="E3117" s="147"/>
      <c r="F3117" s="146"/>
      <c r="I3117" s="147"/>
      <c r="Q3117" s="146"/>
      <c r="T3117" s="146"/>
      <c r="V3117" s="147"/>
      <c r="W3117" s="146"/>
      <c r="Y3117" s="147"/>
    </row>
    <row r="3118" spans="3:25">
      <c r="C3118" s="146"/>
      <c r="E3118" s="147"/>
      <c r="F3118" s="146"/>
      <c r="I3118" s="147"/>
      <c r="Q3118" s="146"/>
      <c r="T3118" s="146"/>
      <c r="V3118" s="147"/>
      <c r="W3118" s="146"/>
      <c r="Y3118" s="147"/>
    </row>
    <row r="3119" spans="3:25">
      <c r="C3119" s="146"/>
      <c r="E3119" s="147"/>
      <c r="F3119" s="146"/>
      <c r="I3119" s="147"/>
      <c r="Q3119" s="146"/>
      <c r="T3119" s="146"/>
      <c r="V3119" s="147"/>
      <c r="W3119" s="146"/>
      <c r="Y3119" s="147"/>
    </row>
    <row r="3120" spans="3:25">
      <c r="C3120" s="146"/>
      <c r="E3120" s="147"/>
      <c r="F3120" s="146"/>
      <c r="I3120" s="147"/>
      <c r="Q3120" s="146"/>
      <c r="T3120" s="146"/>
      <c r="V3120" s="147"/>
      <c r="W3120" s="146"/>
      <c r="Y3120" s="147"/>
    </row>
    <row r="3121" spans="3:25">
      <c r="C3121" s="146"/>
      <c r="E3121" s="147"/>
      <c r="F3121" s="146"/>
      <c r="I3121" s="147"/>
      <c r="Q3121" s="146"/>
      <c r="T3121" s="146"/>
      <c r="V3121" s="147"/>
      <c r="W3121" s="146"/>
      <c r="Y3121" s="147"/>
    </row>
    <row r="3122" spans="3:25">
      <c r="C3122" s="146"/>
      <c r="E3122" s="147"/>
      <c r="F3122" s="146"/>
      <c r="I3122" s="147"/>
      <c r="Q3122" s="146"/>
      <c r="T3122" s="146"/>
      <c r="V3122" s="147"/>
      <c r="W3122" s="146"/>
      <c r="Y3122" s="147"/>
    </row>
    <row r="3123" spans="3:25">
      <c r="C3123" s="146"/>
      <c r="E3123" s="147"/>
      <c r="F3123" s="146"/>
      <c r="I3123" s="147"/>
      <c r="Q3123" s="146"/>
      <c r="T3123" s="146"/>
      <c r="V3123" s="147"/>
      <c r="W3123" s="146"/>
      <c r="Y3123" s="147"/>
    </row>
    <row r="3124" spans="3:25">
      <c r="C3124" s="146"/>
      <c r="E3124" s="147"/>
      <c r="F3124" s="146"/>
      <c r="I3124" s="147"/>
      <c r="Q3124" s="146"/>
      <c r="T3124" s="146"/>
      <c r="V3124" s="147"/>
      <c r="W3124" s="146"/>
      <c r="Y3124" s="147"/>
    </row>
    <row r="3125" spans="3:25">
      <c r="C3125" s="146"/>
      <c r="E3125" s="147"/>
      <c r="F3125" s="146"/>
      <c r="I3125" s="147"/>
      <c r="Q3125" s="146"/>
      <c r="T3125" s="146"/>
      <c r="V3125" s="147"/>
      <c r="W3125" s="146"/>
      <c r="Y3125" s="147"/>
    </row>
    <row r="3126" spans="3:25">
      <c r="C3126" s="146"/>
      <c r="E3126" s="147"/>
      <c r="F3126" s="146"/>
      <c r="I3126" s="147"/>
      <c r="Q3126" s="146"/>
      <c r="T3126" s="146"/>
      <c r="V3126" s="147"/>
      <c r="W3126" s="146"/>
      <c r="Y3126" s="147"/>
    </row>
    <row r="3127" spans="3:25">
      <c r="C3127" s="146"/>
      <c r="E3127" s="147"/>
      <c r="F3127" s="146"/>
      <c r="I3127" s="147"/>
      <c r="Q3127" s="146"/>
      <c r="T3127" s="146"/>
      <c r="V3127" s="147"/>
      <c r="W3127" s="146"/>
      <c r="Y3127" s="147"/>
    </row>
    <row r="3128" spans="3:25">
      <c r="C3128" s="146"/>
      <c r="E3128" s="147"/>
      <c r="F3128" s="146"/>
      <c r="I3128" s="147"/>
      <c r="Q3128" s="146"/>
      <c r="T3128" s="146"/>
      <c r="V3128" s="147"/>
      <c r="W3128" s="146"/>
      <c r="Y3128" s="147"/>
    </row>
    <row r="3129" spans="3:25">
      <c r="C3129" s="146"/>
      <c r="E3129" s="147"/>
      <c r="F3129" s="146"/>
      <c r="I3129" s="147"/>
      <c r="Q3129" s="146"/>
      <c r="T3129" s="146"/>
      <c r="V3129" s="147"/>
      <c r="W3129" s="146"/>
      <c r="Y3129" s="147"/>
    </row>
    <row r="3130" spans="3:25">
      <c r="C3130" s="146"/>
      <c r="E3130" s="147"/>
      <c r="F3130" s="146"/>
      <c r="I3130" s="147"/>
      <c r="Q3130" s="146"/>
      <c r="T3130" s="146"/>
      <c r="V3130" s="147"/>
      <c r="W3130" s="146"/>
      <c r="Y3130" s="147"/>
    </row>
    <row r="3131" spans="3:25">
      <c r="C3131" s="146"/>
      <c r="E3131" s="147"/>
      <c r="F3131" s="146"/>
      <c r="I3131" s="147"/>
      <c r="Q3131" s="146"/>
      <c r="T3131" s="146"/>
      <c r="V3131" s="147"/>
      <c r="W3131" s="146"/>
      <c r="Y3131" s="147"/>
    </row>
    <row r="3132" spans="3:25">
      <c r="C3132" s="146"/>
      <c r="E3132" s="147"/>
      <c r="F3132" s="146"/>
      <c r="I3132" s="147"/>
      <c r="Q3132" s="146"/>
      <c r="T3132" s="146"/>
      <c r="V3132" s="147"/>
      <c r="W3132" s="146"/>
      <c r="Y3132" s="147"/>
    </row>
    <row r="3133" spans="3:25">
      <c r="C3133" s="146"/>
      <c r="E3133" s="147"/>
      <c r="F3133" s="146"/>
      <c r="I3133" s="147"/>
      <c r="Q3133" s="146"/>
      <c r="T3133" s="146"/>
      <c r="V3133" s="147"/>
      <c r="W3133" s="146"/>
      <c r="Y3133" s="147"/>
    </row>
    <row r="3134" spans="3:25">
      <c r="C3134" s="146"/>
      <c r="E3134" s="147"/>
      <c r="F3134" s="146"/>
      <c r="I3134" s="147"/>
      <c r="Q3134" s="146"/>
      <c r="T3134" s="146"/>
      <c r="V3134" s="147"/>
      <c r="W3134" s="146"/>
      <c r="Y3134" s="147"/>
    </row>
    <row r="3135" spans="3:25">
      <c r="C3135" s="146"/>
      <c r="E3135" s="147"/>
      <c r="F3135" s="146"/>
      <c r="I3135" s="147"/>
      <c r="Q3135" s="146"/>
      <c r="T3135" s="146"/>
      <c r="V3135" s="147"/>
      <c r="W3135" s="146"/>
      <c r="Y3135" s="147"/>
    </row>
    <row r="3136" spans="3:25">
      <c r="C3136" s="146"/>
      <c r="E3136" s="147"/>
      <c r="F3136" s="146"/>
      <c r="I3136" s="147"/>
      <c r="Q3136" s="146"/>
      <c r="T3136" s="146"/>
      <c r="V3136" s="147"/>
      <c r="W3136" s="146"/>
      <c r="Y3136" s="147"/>
    </row>
    <row r="3137" spans="3:25">
      <c r="C3137" s="146"/>
      <c r="E3137" s="147"/>
      <c r="F3137" s="146"/>
      <c r="I3137" s="147"/>
      <c r="Q3137" s="146"/>
      <c r="T3137" s="146"/>
      <c r="V3137" s="147"/>
      <c r="W3137" s="146"/>
      <c r="Y3137" s="147"/>
    </row>
    <row r="3138" spans="3:25">
      <c r="C3138" s="146"/>
      <c r="E3138" s="147"/>
      <c r="F3138" s="146"/>
      <c r="I3138" s="147"/>
      <c r="Q3138" s="146"/>
      <c r="T3138" s="146"/>
      <c r="V3138" s="147"/>
      <c r="W3138" s="146"/>
      <c r="Y3138" s="147"/>
    </row>
    <row r="3139" spans="3:25">
      <c r="C3139" s="146"/>
      <c r="E3139" s="147"/>
      <c r="F3139" s="146"/>
      <c r="I3139" s="147"/>
      <c r="Q3139" s="146"/>
      <c r="T3139" s="146"/>
      <c r="V3139" s="147"/>
      <c r="W3139" s="146"/>
      <c r="Y3139" s="147"/>
    </row>
    <row r="3140" spans="3:25">
      <c r="C3140" s="146"/>
      <c r="E3140" s="147"/>
      <c r="F3140" s="146"/>
      <c r="I3140" s="147"/>
      <c r="Q3140" s="146"/>
      <c r="T3140" s="146"/>
      <c r="V3140" s="147"/>
      <c r="W3140" s="146"/>
      <c r="Y3140" s="147"/>
    </row>
    <row r="3141" spans="3:25">
      <c r="C3141" s="146"/>
      <c r="E3141" s="147"/>
      <c r="F3141" s="146"/>
      <c r="I3141" s="147"/>
      <c r="Q3141" s="146"/>
      <c r="T3141" s="146"/>
      <c r="V3141" s="147"/>
      <c r="W3141" s="146"/>
      <c r="Y3141" s="147"/>
    </row>
    <row r="3142" spans="3:25">
      <c r="C3142" s="146"/>
      <c r="E3142" s="147"/>
      <c r="F3142" s="146"/>
      <c r="I3142" s="147"/>
      <c r="Q3142" s="146"/>
      <c r="T3142" s="146"/>
      <c r="V3142" s="147"/>
      <c r="W3142" s="146"/>
      <c r="Y3142" s="147"/>
    </row>
    <row r="3143" spans="3:25">
      <c r="C3143" s="146"/>
      <c r="E3143" s="147"/>
      <c r="F3143" s="146"/>
      <c r="I3143" s="147"/>
      <c r="Q3143" s="146"/>
      <c r="T3143" s="146"/>
      <c r="V3143" s="147"/>
      <c r="W3143" s="146"/>
      <c r="Y3143" s="147"/>
    </row>
    <row r="3144" spans="3:25">
      <c r="C3144" s="146"/>
      <c r="E3144" s="147"/>
      <c r="F3144" s="146"/>
      <c r="I3144" s="147"/>
      <c r="Q3144" s="146"/>
      <c r="T3144" s="146"/>
      <c r="V3144" s="147"/>
      <c r="W3144" s="146"/>
      <c r="Y3144" s="147"/>
    </row>
    <row r="3145" spans="3:25">
      <c r="C3145" s="146"/>
      <c r="E3145" s="147"/>
      <c r="F3145" s="146"/>
      <c r="I3145" s="147"/>
      <c r="Q3145" s="146"/>
      <c r="T3145" s="146"/>
      <c r="V3145" s="147"/>
      <c r="W3145" s="146"/>
      <c r="Y3145" s="147"/>
    </row>
    <row r="3146" spans="3:25">
      <c r="C3146" s="146"/>
      <c r="E3146" s="147"/>
      <c r="F3146" s="146"/>
      <c r="I3146" s="147"/>
      <c r="Q3146" s="146"/>
      <c r="T3146" s="146"/>
      <c r="V3146" s="147"/>
      <c r="W3146" s="146"/>
      <c r="Y3146" s="147"/>
    </row>
    <row r="3147" spans="3:25">
      <c r="C3147" s="146"/>
      <c r="E3147" s="147"/>
      <c r="F3147" s="146"/>
      <c r="I3147" s="147"/>
      <c r="Q3147" s="146"/>
      <c r="T3147" s="146"/>
      <c r="V3147" s="147"/>
      <c r="W3147" s="146"/>
      <c r="Y3147" s="147"/>
    </row>
    <row r="3148" spans="3:25">
      <c r="C3148" s="146"/>
      <c r="E3148" s="147"/>
      <c r="F3148" s="146"/>
      <c r="I3148" s="147"/>
      <c r="Q3148" s="146"/>
      <c r="T3148" s="146"/>
      <c r="V3148" s="147"/>
      <c r="W3148" s="146"/>
      <c r="Y3148" s="147"/>
    </row>
    <row r="3149" spans="3:25">
      <c r="C3149" s="146"/>
      <c r="E3149" s="147"/>
      <c r="F3149" s="146"/>
      <c r="I3149" s="147"/>
      <c r="Q3149" s="146"/>
      <c r="T3149" s="146"/>
      <c r="V3149" s="147"/>
      <c r="W3149" s="146"/>
      <c r="Y3149" s="147"/>
    </row>
    <row r="3150" spans="3:25">
      <c r="C3150" s="146"/>
      <c r="E3150" s="147"/>
      <c r="F3150" s="146"/>
      <c r="I3150" s="147"/>
      <c r="Q3150" s="146"/>
      <c r="T3150" s="146"/>
      <c r="V3150" s="147"/>
      <c r="W3150" s="146"/>
      <c r="Y3150" s="147"/>
    </row>
    <row r="3151" spans="3:25">
      <c r="C3151" s="146"/>
      <c r="E3151" s="147"/>
      <c r="F3151" s="146"/>
      <c r="I3151" s="147"/>
      <c r="Q3151" s="146"/>
      <c r="T3151" s="146"/>
      <c r="V3151" s="147"/>
      <c r="W3151" s="146"/>
      <c r="Y3151" s="147"/>
    </row>
    <row r="3152" spans="3:25">
      <c r="C3152" s="146"/>
      <c r="E3152" s="147"/>
      <c r="F3152" s="146"/>
      <c r="I3152" s="147"/>
      <c r="Q3152" s="146"/>
      <c r="T3152" s="146"/>
      <c r="V3152" s="147"/>
      <c r="W3152" s="146"/>
      <c r="Y3152" s="147"/>
    </row>
    <row r="3153" spans="3:25">
      <c r="C3153" s="146"/>
      <c r="E3153" s="147"/>
      <c r="F3153" s="146"/>
      <c r="I3153" s="147"/>
      <c r="Q3153" s="146"/>
      <c r="T3153" s="146"/>
      <c r="V3153" s="147"/>
      <c r="W3153" s="146"/>
      <c r="Y3153" s="147"/>
    </row>
    <row r="3154" spans="3:25">
      <c r="C3154" s="146"/>
      <c r="E3154" s="147"/>
      <c r="F3154" s="146"/>
      <c r="I3154" s="147"/>
      <c r="Q3154" s="146"/>
      <c r="T3154" s="146"/>
      <c r="V3154" s="147"/>
      <c r="W3154" s="146"/>
      <c r="Y3154" s="147"/>
    </row>
    <row r="3155" spans="3:25">
      <c r="C3155" s="146"/>
      <c r="E3155" s="147"/>
      <c r="F3155" s="146"/>
      <c r="I3155" s="147"/>
      <c r="Q3155" s="146"/>
      <c r="T3155" s="146"/>
      <c r="V3155" s="147"/>
      <c r="W3155" s="146"/>
      <c r="Y3155" s="147"/>
    </row>
    <row r="3156" spans="3:25">
      <c r="C3156" s="146"/>
      <c r="E3156" s="147"/>
      <c r="F3156" s="146"/>
      <c r="I3156" s="147"/>
      <c r="Q3156" s="146"/>
      <c r="T3156" s="146"/>
      <c r="V3156" s="147"/>
      <c r="W3156" s="146"/>
      <c r="Y3156" s="147"/>
    </row>
    <row r="3157" spans="3:25">
      <c r="C3157" s="146"/>
      <c r="E3157" s="147"/>
      <c r="F3157" s="146"/>
      <c r="I3157" s="147"/>
      <c r="Q3157" s="146"/>
      <c r="T3157" s="146"/>
      <c r="V3157" s="147"/>
      <c r="W3157" s="146"/>
      <c r="Y3157" s="147"/>
    </row>
    <row r="3158" spans="3:25">
      <c r="C3158" s="146"/>
      <c r="E3158" s="147"/>
      <c r="F3158" s="146"/>
      <c r="I3158" s="147"/>
      <c r="Q3158" s="146"/>
      <c r="T3158" s="146"/>
      <c r="V3158" s="147"/>
      <c r="W3158" s="146"/>
      <c r="Y3158" s="147"/>
    </row>
    <row r="3159" spans="3:25">
      <c r="C3159" s="146"/>
      <c r="E3159" s="147"/>
      <c r="F3159" s="146"/>
      <c r="I3159" s="147"/>
      <c r="Q3159" s="146"/>
      <c r="T3159" s="146"/>
      <c r="V3159" s="147"/>
      <c r="W3159" s="146"/>
      <c r="Y3159" s="147"/>
    </row>
    <row r="3160" spans="3:25">
      <c r="C3160" s="146"/>
      <c r="E3160" s="147"/>
      <c r="F3160" s="146"/>
      <c r="I3160" s="147"/>
      <c r="Q3160" s="146"/>
      <c r="T3160" s="146"/>
      <c r="V3160" s="147"/>
      <c r="W3160" s="146"/>
      <c r="Y3160" s="147"/>
    </row>
    <row r="3161" spans="3:25">
      <c r="C3161" s="146"/>
      <c r="E3161" s="147"/>
      <c r="F3161" s="146"/>
      <c r="I3161" s="147"/>
      <c r="Q3161" s="146"/>
      <c r="T3161" s="146"/>
      <c r="V3161" s="147"/>
      <c r="W3161" s="146"/>
      <c r="Y3161" s="147"/>
    </row>
    <row r="3162" spans="3:25">
      <c r="C3162" s="146"/>
      <c r="E3162" s="147"/>
      <c r="F3162" s="146"/>
      <c r="I3162" s="147"/>
      <c r="Q3162" s="146"/>
      <c r="T3162" s="146"/>
      <c r="V3162" s="147"/>
      <c r="W3162" s="146"/>
      <c r="Y3162" s="147"/>
    </row>
    <row r="3163" spans="3:25">
      <c r="C3163" s="146"/>
      <c r="E3163" s="147"/>
      <c r="F3163" s="146"/>
      <c r="I3163" s="147"/>
      <c r="Q3163" s="146"/>
      <c r="T3163" s="146"/>
      <c r="V3163" s="147"/>
      <c r="W3163" s="146"/>
      <c r="Y3163" s="147"/>
    </row>
    <row r="3164" spans="3:25">
      <c r="C3164" s="146"/>
      <c r="E3164" s="147"/>
      <c r="F3164" s="146"/>
      <c r="I3164" s="147"/>
      <c r="Q3164" s="146"/>
      <c r="T3164" s="146"/>
      <c r="V3164" s="147"/>
      <c r="W3164" s="146"/>
      <c r="Y3164" s="147"/>
    </row>
    <row r="3165" spans="3:25">
      <c r="C3165" s="146"/>
      <c r="E3165" s="147"/>
      <c r="F3165" s="146"/>
      <c r="I3165" s="147"/>
      <c r="Q3165" s="146"/>
      <c r="T3165" s="146"/>
      <c r="V3165" s="147"/>
      <c r="W3165" s="146"/>
      <c r="Y3165" s="147"/>
    </row>
    <row r="3166" spans="3:25">
      <c r="C3166" s="146"/>
      <c r="E3166" s="147"/>
      <c r="F3166" s="146"/>
      <c r="I3166" s="147"/>
      <c r="Q3166" s="146"/>
      <c r="T3166" s="146"/>
      <c r="V3166" s="147"/>
      <c r="W3166" s="146"/>
      <c r="Y3166" s="147"/>
    </row>
    <row r="3167" spans="3:25">
      <c r="C3167" s="146"/>
      <c r="E3167" s="147"/>
      <c r="F3167" s="146"/>
      <c r="I3167" s="147"/>
      <c r="Q3167" s="146"/>
      <c r="T3167" s="146"/>
      <c r="V3167" s="147"/>
      <c r="W3167" s="146"/>
      <c r="Y3167" s="147"/>
    </row>
    <row r="3168" spans="3:25">
      <c r="C3168" s="146"/>
      <c r="E3168" s="147"/>
      <c r="F3168" s="146"/>
      <c r="I3168" s="147"/>
      <c r="Q3168" s="146"/>
      <c r="T3168" s="146"/>
      <c r="V3168" s="147"/>
      <c r="W3168" s="146"/>
      <c r="Y3168" s="147"/>
    </row>
    <row r="3169" spans="3:25">
      <c r="C3169" s="146"/>
      <c r="E3169" s="147"/>
      <c r="F3169" s="146"/>
      <c r="I3169" s="147"/>
      <c r="Q3169" s="146"/>
      <c r="T3169" s="146"/>
      <c r="V3169" s="147"/>
      <c r="W3169" s="146"/>
      <c r="Y3169" s="147"/>
    </row>
    <row r="3170" spans="3:25">
      <c r="C3170" s="146"/>
      <c r="E3170" s="147"/>
      <c r="F3170" s="146"/>
      <c r="I3170" s="147"/>
      <c r="Q3170" s="146"/>
      <c r="T3170" s="146"/>
      <c r="V3170" s="147"/>
      <c r="W3170" s="146"/>
      <c r="Y3170" s="147"/>
    </row>
    <row r="3171" spans="3:25">
      <c r="C3171" s="146"/>
      <c r="E3171" s="147"/>
      <c r="F3171" s="146"/>
      <c r="I3171" s="147"/>
      <c r="Q3171" s="146"/>
      <c r="T3171" s="146"/>
      <c r="V3171" s="147"/>
      <c r="W3171" s="146"/>
      <c r="Y3171" s="147"/>
    </row>
    <row r="3172" spans="3:25">
      <c r="C3172" s="146"/>
      <c r="E3172" s="147"/>
      <c r="F3172" s="146"/>
      <c r="I3172" s="147"/>
      <c r="Q3172" s="146"/>
      <c r="T3172" s="146"/>
      <c r="V3172" s="147"/>
      <c r="W3172" s="146"/>
      <c r="Y3172" s="147"/>
    </row>
    <row r="3173" spans="3:25">
      <c r="C3173" s="146"/>
      <c r="E3173" s="147"/>
      <c r="F3173" s="146"/>
      <c r="I3173" s="147"/>
      <c r="Q3173" s="146"/>
      <c r="T3173" s="146"/>
      <c r="V3173" s="147"/>
      <c r="W3173" s="146"/>
      <c r="Y3173" s="147"/>
    </row>
    <row r="3174" spans="3:25">
      <c r="C3174" s="146"/>
      <c r="E3174" s="147"/>
      <c r="F3174" s="146"/>
      <c r="I3174" s="147"/>
      <c r="Q3174" s="146"/>
      <c r="T3174" s="146"/>
      <c r="V3174" s="147"/>
      <c r="W3174" s="146"/>
      <c r="Y3174" s="147"/>
    </row>
    <row r="3175" spans="3:25">
      <c r="C3175" s="146"/>
      <c r="E3175" s="147"/>
      <c r="F3175" s="146"/>
      <c r="I3175" s="147"/>
      <c r="Q3175" s="146"/>
      <c r="T3175" s="146"/>
      <c r="V3175" s="147"/>
      <c r="W3175" s="146"/>
      <c r="Y3175" s="147"/>
    </row>
    <row r="3176" spans="3:25">
      <c r="C3176" s="146"/>
      <c r="E3176" s="147"/>
      <c r="F3176" s="146"/>
      <c r="I3176" s="147"/>
      <c r="Q3176" s="146"/>
      <c r="T3176" s="146"/>
      <c r="V3176" s="147"/>
      <c r="W3176" s="146"/>
      <c r="Y3176" s="147"/>
    </row>
    <row r="3177" spans="3:25">
      <c r="C3177" s="146"/>
      <c r="E3177" s="147"/>
      <c r="F3177" s="146"/>
      <c r="I3177" s="147"/>
      <c r="Q3177" s="146"/>
      <c r="T3177" s="146"/>
      <c r="V3177" s="147"/>
      <c r="W3177" s="146"/>
      <c r="Y3177" s="147"/>
    </row>
    <row r="3178" spans="3:25">
      <c r="C3178" s="146"/>
      <c r="E3178" s="147"/>
      <c r="F3178" s="146"/>
      <c r="I3178" s="147"/>
      <c r="Q3178" s="146"/>
      <c r="T3178" s="146"/>
      <c r="V3178" s="147"/>
      <c r="W3178" s="146"/>
      <c r="Y3178" s="147"/>
    </row>
    <row r="3179" spans="3:25">
      <c r="C3179" s="146"/>
      <c r="E3179" s="147"/>
      <c r="F3179" s="146"/>
      <c r="I3179" s="147"/>
      <c r="Q3179" s="146"/>
      <c r="T3179" s="146"/>
      <c r="V3179" s="147"/>
      <c r="W3179" s="146"/>
      <c r="Y3179" s="147"/>
    </row>
    <row r="3180" spans="3:25">
      <c r="C3180" s="146"/>
      <c r="E3180" s="147"/>
      <c r="F3180" s="146"/>
      <c r="I3180" s="147"/>
      <c r="Q3180" s="146"/>
      <c r="T3180" s="146"/>
      <c r="V3180" s="147"/>
      <c r="W3180" s="146"/>
      <c r="Y3180" s="147"/>
    </row>
    <row r="3181" spans="3:25">
      <c r="C3181" s="146"/>
      <c r="E3181" s="147"/>
      <c r="F3181" s="146"/>
      <c r="I3181" s="147"/>
      <c r="Q3181" s="146"/>
      <c r="T3181" s="146"/>
      <c r="V3181" s="147"/>
      <c r="W3181" s="146"/>
      <c r="Y3181" s="147"/>
    </row>
    <row r="3182" spans="3:25">
      <c r="C3182" s="146"/>
      <c r="E3182" s="147"/>
      <c r="F3182" s="146"/>
      <c r="I3182" s="147"/>
      <c r="Q3182" s="146"/>
      <c r="T3182" s="146"/>
      <c r="V3182" s="147"/>
      <c r="W3182" s="146"/>
      <c r="Y3182" s="147"/>
    </row>
    <row r="3183" spans="3:25">
      <c r="C3183" s="146"/>
      <c r="E3183" s="147"/>
      <c r="F3183" s="146"/>
      <c r="I3183" s="147"/>
      <c r="Q3183" s="146"/>
      <c r="T3183" s="146"/>
      <c r="V3183" s="147"/>
      <c r="W3183" s="146"/>
      <c r="Y3183" s="147"/>
    </row>
    <row r="3184" spans="3:25">
      <c r="C3184" s="146"/>
      <c r="E3184" s="147"/>
      <c r="F3184" s="146"/>
      <c r="I3184" s="147"/>
      <c r="Q3184" s="146"/>
      <c r="T3184" s="146"/>
      <c r="V3184" s="147"/>
      <c r="W3184" s="146"/>
      <c r="Y3184" s="147"/>
    </row>
    <row r="3185" spans="3:25">
      <c r="C3185" s="146"/>
      <c r="E3185" s="147"/>
      <c r="F3185" s="146"/>
      <c r="I3185" s="147"/>
      <c r="Q3185" s="146"/>
      <c r="T3185" s="146"/>
      <c r="V3185" s="147"/>
      <c r="W3185" s="146"/>
      <c r="Y3185" s="147"/>
    </row>
    <row r="3186" spans="3:25">
      <c r="C3186" s="146"/>
      <c r="E3186" s="147"/>
      <c r="F3186" s="146"/>
      <c r="I3186" s="147"/>
      <c r="Q3186" s="146"/>
      <c r="T3186" s="146"/>
      <c r="V3186" s="147"/>
      <c r="W3186" s="146"/>
      <c r="Y3186" s="147"/>
    </row>
    <row r="3187" spans="3:25">
      <c r="C3187" s="146"/>
      <c r="E3187" s="147"/>
      <c r="F3187" s="146"/>
      <c r="I3187" s="147"/>
      <c r="Q3187" s="146"/>
      <c r="T3187" s="146"/>
      <c r="V3187" s="147"/>
      <c r="W3187" s="146"/>
      <c r="Y3187" s="147"/>
    </row>
    <row r="3188" spans="3:25">
      <c r="C3188" s="146"/>
      <c r="E3188" s="147"/>
      <c r="F3188" s="146"/>
      <c r="I3188" s="147"/>
      <c r="Q3188" s="146"/>
      <c r="T3188" s="146"/>
      <c r="V3188" s="147"/>
      <c r="W3188" s="146"/>
      <c r="Y3188" s="147"/>
    </row>
    <row r="3189" spans="3:25">
      <c r="C3189" s="146"/>
      <c r="E3189" s="147"/>
      <c r="F3189" s="146"/>
      <c r="I3189" s="147"/>
      <c r="Q3189" s="146"/>
      <c r="T3189" s="146"/>
      <c r="V3189" s="147"/>
      <c r="W3189" s="146"/>
      <c r="Y3189" s="147"/>
    </row>
    <row r="3190" spans="3:25">
      <c r="C3190" s="146"/>
      <c r="E3190" s="147"/>
      <c r="F3190" s="146"/>
      <c r="I3190" s="147"/>
      <c r="Q3190" s="146"/>
      <c r="T3190" s="146"/>
      <c r="V3190" s="147"/>
      <c r="W3190" s="146"/>
      <c r="Y3190" s="147"/>
    </row>
    <row r="3191" spans="3:25">
      <c r="C3191" s="146"/>
      <c r="E3191" s="147"/>
      <c r="F3191" s="146"/>
      <c r="I3191" s="147"/>
      <c r="Q3191" s="146"/>
      <c r="T3191" s="146"/>
      <c r="V3191" s="147"/>
      <c r="W3191" s="146"/>
      <c r="Y3191" s="147"/>
    </row>
    <row r="3192" spans="3:25">
      <c r="C3192" s="146"/>
      <c r="E3192" s="147"/>
      <c r="F3192" s="146"/>
      <c r="I3192" s="147"/>
      <c r="Q3192" s="146"/>
      <c r="T3192" s="146"/>
      <c r="V3192" s="147"/>
      <c r="W3192" s="146"/>
      <c r="Y3192" s="147"/>
    </row>
    <row r="3193" spans="3:25">
      <c r="C3193" s="146"/>
      <c r="E3193" s="147"/>
      <c r="F3193" s="146"/>
      <c r="I3193" s="147"/>
      <c r="Q3193" s="146"/>
      <c r="T3193" s="146"/>
      <c r="V3193" s="147"/>
      <c r="W3193" s="146"/>
      <c r="Y3193" s="147"/>
    </row>
    <row r="3194" spans="3:25">
      <c r="C3194" s="146"/>
      <c r="E3194" s="147"/>
      <c r="F3194" s="146"/>
      <c r="I3194" s="147"/>
      <c r="Q3194" s="146"/>
      <c r="T3194" s="146"/>
      <c r="V3194" s="147"/>
      <c r="W3194" s="146"/>
      <c r="Y3194" s="147"/>
    </row>
    <row r="3195" spans="3:25">
      <c r="C3195" s="146"/>
      <c r="E3195" s="147"/>
      <c r="F3195" s="146"/>
      <c r="I3195" s="147"/>
      <c r="Q3195" s="146"/>
      <c r="T3195" s="146"/>
      <c r="V3195" s="147"/>
      <c r="W3195" s="146"/>
      <c r="Y3195" s="147"/>
    </row>
    <row r="3196" spans="3:25">
      <c r="C3196" s="146"/>
      <c r="E3196" s="147"/>
      <c r="F3196" s="146"/>
      <c r="I3196" s="147"/>
      <c r="Q3196" s="146"/>
      <c r="T3196" s="146"/>
      <c r="V3196" s="147"/>
      <c r="W3196" s="146"/>
      <c r="Y3196" s="147"/>
    </row>
    <row r="3197" spans="3:25">
      <c r="C3197" s="146"/>
      <c r="E3197" s="147"/>
      <c r="F3197" s="146"/>
      <c r="I3197" s="147"/>
      <c r="Q3197" s="146"/>
      <c r="T3197" s="146"/>
      <c r="V3197" s="147"/>
      <c r="W3197" s="146"/>
      <c r="Y3197" s="147"/>
    </row>
    <row r="3198" spans="3:25">
      <c r="C3198" s="146"/>
      <c r="E3198" s="147"/>
      <c r="F3198" s="146"/>
      <c r="I3198" s="147"/>
      <c r="Q3198" s="146"/>
      <c r="T3198" s="146"/>
      <c r="V3198" s="147"/>
      <c r="W3198" s="146"/>
      <c r="Y3198" s="147"/>
    </row>
    <row r="3199" spans="3:25">
      <c r="C3199" s="146"/>
      <c r="E3199" s="147"/>
      <c r="F3199" s="146"/>
      <c r="I3199" s="147"/>
      <c r="Q3199" s="146"/>
      <c r="T3199" s="146"/>
      <c r="V3199" s="147"/>
      <c r="W3199" s="146"/>
      <c r="Y3199" s="147"/>
    </row>
    <row r="3200" spans="3:25">
      <c r="C3200" s="146"/>
      <c r="E3200" s="147"/>
      <c r="F3200" s="146"/>
      <c r="I3200" s="147"/>
      <c r="Q3200" s="146"/>
      <c r="T3200" s="146"/>
      <c r="V3200" s="147"/>
      <c r="W3200" s="146"/>
      <c r="Y3200" s="147"/>
    </row>
    <row r="3201" spans="3:25">
      <c r="C3201" s="146"/>
      <c r="E3201" s="147"/>
      <c r="F3201" s="146"/>
      <c r="I3201" s="147"/>
      <c r="Q3201" s="146"/>
      <c r="T3201" s="146"/>
      <c r="V3201" s="147"/>
      <c r="W3201" s="146"/>
      <c r="Y3201" s="147"/>
    </row>
    <row r="3202" spans="3:25">
      <c r="C3202" s="146"/>
      <c r="E3202" s="147"/>
      <c r="F3202" s="146"/>
      <c r="I3202" s="147"/>
      <c r="Q3202" s="146"/>
      <c r="T3202" s="146"/>
      <c r="V3202" s="147"/>
      <c r="W3202" s="146"/>
      <c r="Y3202" s="147"/>
    </row>
    <row r="3203" spans="3:25">
      <c r="C3203" s="146"/>
      <c r="E3203" s="147"/>
      <c r="F3203" s="146"/>
      <c r="I3203" s="147"/>
      <c r="Q3203" s="146"/>
      <c r="T3203" s="146"/>
      <c r="V3203" s="147"/>
      <c r="W3203" s="146"/>
      <c r="Y3203" s="147"/>
    </row>
    <row r="3204" spans="3:25">
      <c r="C3204" s="146"/>
      <c r="E3204" s="147"/>
      <c r="F3204" s="146"/>
      <c r="I3204" s="147"/>
      <c r="Q3204" s="146"/>
      <c r="T3204" s="146"/>
      <c r="V3204" s="147"/>
      <c r="W3204" s="146"/>
      <c r="Y3204" s="147"/>
    </row>
    <row r="3205" spans="3:25">
      <c r="C3205" s="146"/>
      <c r="E3205" s="147"/>
      <c r="F3205" s="146"/>
      <c r="I3205" s="147"/>
      <c r="Q3205" s="146"/>
      <c r="T3205" s="146"/>
      <c r="V3205" s="147"/>
      <c r="W3205" s="146"/>
      <c r="Y3205" s="147"/>
    </row>
    <row r="3206" spans="3:25">
      <c r="C3206" s="146"/>
      <c r="E3206" s="147"/>
      <c r="F3206" s="146"/>
      <c r="I3206" s="147"/>
      <c r="Q3206" s="146"/>
      <c r="T3206" s="146"/>
      <c r="V3206" s="147"/>
      <c r="W3206" s="146"/>
      <c r="Y3206" s="147"/>
    </row>
    <row r="3207" spans="3:25">
      <c r="C3207" s="146"/>
      <c r="E3207" s="147"/>
      <c r="F3207" s="146"/>
      <c r="I3207" s="147"/>
      <c r="Q3207" s="146"/>
      <c r="T3207" s="146"/>
      <c r="V3207" s="147"/>
      <c r="W3207" s="146"/>
      <c r="Y3207" s="147"/>
    </row>
    <row r="3208" spans="3:25">
      <c r="C3208" s="146"/>
      <c r="E3208" s="147"/>
      <c r="F3208" s="146"/>
      <c r="I3208" s="147"/>
      <c r="Q3208" s="146"/>
      <c r="T3208" s="146"/>
      <c r="V3208" s="147"/>
      <c r="W3208" s="146"/>
      <c r="Y3208" s="147"/>
    </row>
    <row r="3209" spans="3:25">
      <c r="C3209" s="146"/>
      <c r="E3209" s="147"/>
      <c r="F3209" s="146"/>
      <c r="I3209" s="147"/>
      <c r="Q3209" s="146"/>
      <c r="T3209" s="146"/>
      <c r="V3209" s="147"/>
      <c r="W3209" s="146"/>
      <c r="Y3209" s="147"/>
    </row>
    <row r="3210" spans="3:25">
      <c r="C3210" s="146"/>
      <c r="E3210" s="147"/>
      <c r="F3210" s="146"/>
      <c r="I3210" s="147"/>
      <c r="Q3210" s="146"/>
      <c r="T3210" s="146"/>
      <c r="V3210" s="147"/>
      <c r="W3210" s="146"/>
      <c r="Y3210" s="147"/>
    </row>
    <row r="3211" spans="3:25">
      <c r="C3211" s="146"/>
      <c r="E3211" s="147"/>
      <c r="F3211" s="146"/>
      <c r="I3211" s="147"/>
      <c r="Q3211" s="146"/>
      <c r="T3211" s="146"/>
      <c r="V3211" s="147"/>
      <c r="W3211" s="146"/>
      <c r="Y3211" s="147"/>
    </row>
    <row r="3212" spans="3:25">
      <c r="C3212" s="146"/>
      <c r="E3212" s="147"/>
      <c r="F3212" s="146"/>
      <c r="I3212" s="147"/>
      <c r="Q3212" s="146"/>
      <c r="T3212" s="146"/>
      <c r="V3212" s="147"/>
      <c r="W3212" s="146"/>
      <c r="Y3212" s="147"/>
    </row>
    <row r="3213" spans="3:25">
      <c r="C3213" s="146"/>
      <c r="E3213" s="147"/>
      <c r="F3213" s="146"/>
      <c r="I3213" s="147"/>
      <c r="Q3213" s="146"/>
      <c r="T3213" s="146"/>
      <c r="V3213" s="147"/>
      <c r="W3213" s="146"/>
      <c r="Y3213" s="147"/>
    </row>
    <row r="3214" spans="3:25">
      <c r="C3214" s="146"/>
      <c r="E3214" s="147"/>
      <c r="F3214" s="146"/>
      <c r="I3214" s="147"/>
      <c r="Q3214" s="146"/>
      <c r="T3214" s="146"/>
      <c r="V3214" s="147"/>
      <c r="W3214" s="146"/>
      <c r="Y3214" s="147"/>
    </row>
    <row r="3215" spans="3:25">
      <c r="C3215" s="146"/>
      <c r="E3215" s="147"/>
      <c r="F3215" s="146"/>
      <c r="I3215" s="147"/>
      <c r="Q3215" s="146"/>
      <c r="T3215" s="146"/>
      <c r="V3215" s="147"/>
      <c r="W3215" s="146"/>
      <c r="Y3215" s="147"/>
    </row>
    <row r="3216" spans="3:25">
      <c r="C3216" s="146"/>
      <c r="E3216" s="147"/>
      <c r="F3216" s="146"/>
      <c r="I3216" s="147"/>
      <c r="Q3216" s="146"/>
      <c r="T3216" s="146"/>
      <c r="V3216" s="147"/>
      <c r="W3216" s="146"/>
      <c r="Y3216" s="147"/>
    </row>
    <row r="3217" spans="3:25">
      <c r="C3217" s="146"/>
      <c r="E3217" s="147"/>
      <c r="F3217" s="146"/>
      <c r="I3217" s="147"/>
      <c r="Q3217" s="146"/>
      <c r="T3217" s="146"/>
      <c r="V3217" s="147"/>
      <c r="W3217" s="146"/>
      <c r="Y3217" s="147"/>
    </row>
    <row r="3218" spans="3:25">
      <c r="C3218" s="146"/>
      <c r="E3218" s="147"/>
      <c r="F3218" s="146"/>
      <c r="I3218" s="147"/>
      <c r="Q3218" s="146"/>
      <c r="T3218" s="146"/>
      <c r="V3218" s="147"/>
      <c r="W3218" s="146"/>
      <c r="Y3218" s="147"/>
    </row>
    <row r="3219" spans="3:25">
      <c r="C3219" s="146"/>
      <c r="E3219" s="147"/>
      <c r="F3219" s="146"/>
      <c r="I3219" s="147"/>
      <c r="Q3219" s="146"/>
      <c r="T3219" s="146"/>
      <c r="V3219" s="147"/>
      <c r="W3219" s="146"/>
      <c r="Y3219" s="147"/>
    </row>
    <row r="3220" spans="3:25">
      <c r="C3220" s="146"/>
      <c r="E3220" s="147"/>
      <c r="F3220" s="146"/>
      <c r="I3220" s="147"/>
      <c r="Q3220" s="146"/>
      <c r="T3220" s="146"/>
      <c r="V3220" s="147"/>
      <c r="W3220" s="146"/>
      <c r="Y3220" s="147"/>
    </row>
    <row r="3221" spans="3:25">
      <c r="C3221" s="146"/>
      <c r="E3221" s="147"/>
      <c r="F3221" s="146"/>
      <c r="I3221" s="147"/>
      <c r="Q3221" s="146"/>
      <c r="T3221" s="146"/>
      <c r="V3221" s="147"/>
      <c r="W3221" s="146"/>
      <c r="Y3221" s="147"/>
    </row>
    <row r="3222" spans="3:25">
      <c r="C3222" s="146"/>
      <c r="E3222" s="147"/>
      <c r="F3222" s="146"/>
      <c r="I3222" s="147"/>
      <c r="Q3222" s="146"/>
      <c r="T3222" s="146"/>
      <c r="V3222" s="147"/>
      <c r="W3222" s="146"/>
      <c r="Y3222" s="147"/>
    </row>
    <row r="3223" spans="3:25">
      <c r="C3223" s="146"/>
      <c r="E3223" s="147"/>
      <c r="F3223" s="146"/>
      <c r="I3223" s="147"/>
      <c r="Q3223" s="146"/>
      <c r="T3223" s="146"/>
      <c r="V3223" s="147"/>
      <c r="W3223" s="146"/>
      <c r="Y3223" s="147"/>
    </row>
    <row r="3224" spans="3:25">
      <c r="C3224" s="146"/>
      <c r="E3224" s="147"/>
      <c r="F3224" s="146"/>
      <c r="I3224" s="147"/>
      <c r="Q3224" s="146"/>
      <c r="T3224" s="146"/>
      <c r="V3224" s="147"/>
      <c r="W3224" s="146"/>
      <c r="Y3224" s="147"/>
    </row>
    <row r="3225" spans="3:25">
      <c r="C3225" s="146"/>
      <c r="E3225" s="147"/>
      <c r="F3225" s="146"/>
      <c r="I3225" s="147"/>
      <c r="Q3225" s="146"/>
      <c r="T3225" s="146"/>
      <c r="V3225" s="147"/>
      <c r="W3225" s="146"/>
      <c r="Y3225" s="147"/>
    </row>
    <row r="3226" spans="3:25">
      <c r="C3226" s="146"/>
      <c r="E3226" s="147"/>
      <c r="F3226" s="146"/>
      <c r="I3226" s="147"/>
      <c r="Q3226" s="146"/>
      <c r="T3226" s="146"/>
      <c r="V3226" s="147"/>
      <c r="W3226" s="146"/>
      <c r="Y3226" s="147"/>
    </row>
    <row r="3227" spans="3:25">
      <c r="C3227" s="146"/>
      <c r="E3227" s="147"/>
      <c r="F3227" s="146"/>
      <c r="I3227" s="147"/>
      <c r="Q3227" s="146"/>
      <c r="T3227" s="146"/>
      <c r="V3227" s="147"/>
      <c r="W3227" s="146"/>
      <c r="Y3227" s="147"/>
    </row>
    <row r="3228" spans="3:25">
      <c r="C3228" s="146"/>
      <c r="E3228" s="147"/>
      <c r="F3228" s="146"/>
      <c r="I3228" s="147"/>
      <c r="Q3228" s="146"/>
      <c r="T3228" s="146"/>
      <c r="V3228" s="147"/>
      <c r="W3228" s="146"/>
      <c r="Y3228" s="147"/>
    </row>
    <row r="3229" spans="3:25">
      <c r="C3229" s="146"/>
      <c r="E3229" s="147"/>
      <c r="F3229" s="146"/>
      <c r="I3229" s="147"/>
      <c r="Q3229" s="146"/>
      <c r="T3229" s="146"/>
      <c r="V3229" s="147"/>
      <c r="W3229" s="146"/>
      <c r="Y3229" s="147"/>
    </row>
    <row r="3230" spans="3:25">
      <c r="C3230" s="146"/>
      <c r="E3230" s="147"/>
      <c r="F3230" s="146"/>
      <c r="I3230" s="147"/>
      <c r="Q3230" s="146"/>
      <c r="T3230" s="146"/>
      <c r="V3230" s="147"/>
      <c r="W3230" s="146"/>
      <c r="Y3230" s="147"/>
    </row>
    <row r="3231" spans="3:25">
      <c r="C3231" s="146"/>
      <c r="E3231" s="147"/>
      <c r="F3231" s="146"/>
      <c r="I3231" s="147"/>
      <c r="Q3231" s="146"/>
      <c r="T3231" s="146"/>
      <c r="V3231" s="147"/>
      <c r="W3231" s="146"/>
      <c r="Y3231" s="147"/>
    </row>
    <row r="3232" spans="3:25">
      <c r="C3232" s="146"/>
      <c r="E3232" s="147"/>
      <c r="F3232" s="146"/>
      <c r="I3232" s="147"/>
      <c r="Q3232" s="146"/>
      <c r="T3232" s="146"/>
      <c r="V3232" s="147"/>
      <c r="W3232" s="146"/>
      <c r="Y3232" s="147"/>
    </row>
    <row r="3233" spans="3:25">
      <c r="C3233" s="146"/>
      <c r="E3233" s="147"/>
      <c r="F3233" s="146"/>
      <c r="I3233" s="147"/>
      <c r="Q3233" s="146"/>
      <c r="T3233" s="146"/>
      <c r="V3233" s="147"/>
      <c r="W3233" s="146"/>
      <c r="Y3233" s="147"/>
    </row>
    <row r="3234" spans="3:25">
      <c r="C3234" s="146"/>
      <c r="E3234" s="147"/>
      <c r="F3234" s="146"/>
      <c r="I3234" s="147"/>
      <c r="Q3234" s="146"/>
      <c r="T3234" s="146"/>
      <c r="V3234" s="147"/>
      <c r="W3234" s="146"/>
      <c r="Y3234" s="147"/>
    </row>
    <row r="3235" spans="3:25">
      <c r="C3235" s="146"/>
      <c r="E3235" s="147"/>
      <c r="F3235" s="146"/>
      <c r="I3235" s="147"/>
      <c r="Q3235" s="146"/>
      <c r="T3235" s="146"/>
      <c r="V3235" s="147"/>
      <c r="W3235" s="146"/>
      <c r="Y3235" s="147"/>
    </row>
    <row r="3236" spans="3:25">
      <c r="C3236" s="146"/>
      <c r="E3236" s="147"/>
      <c r="F3236" s="146"/>
      <c r="I3236" s="147"/>
      <c r="Q3236" s="146"/>
      <c r="T3236" s="146"/>
      <c r="V3236" s="147"/>
      <c r="W3236" s="146"/>
      <c r="Y3236" s="147"/>
    </row>
    <row r="3237" spans="3:25">
      <c r="C3237" s="146"/>
      <c r="E3237" s="147"/>
      <c r="F3237" s="146"/>
      <c r="I3237" s="147"/>
      <c r="Q3237" s="146"/>
      <c r="T3237" s="146"/>
      <c r="V3237" s="147"/>
      <c r="W3237" s="146"/>
      <c r="Y3237" s="147"/>
    </row>
    <row r="3238" spans="3:25">
      <c r="C3238" s="146"/>
      <c r="E3238" s="147"/>
      <c r="F3238" s="146"/>
      <c r="I3238" s="147"/>
      <c r="Q3238" s="146"/>
      <c r="T3238" s="146"/>
      <c r="V3238" s="147"/>
      <c r="W3238" s="146"/>
      <c r="Y3238" s="147"/>
    </row>
    <row r="3239" spans="3:25">
      <c r="C3239" s="146"/>
      <c r="E3239" s="147"/>
      <c r="F3239" s="146"/>
      <c r="I3239" s="147"/>
      <c r="Q3239" s="146"/>
      <c r="T3239" s="146"/>
      <c r="V3239" s="147"/>
      <c r="W3239" s="146"/>
      <c r="Y3239" s="147"/>
    </row>
    <row r="3240" spans="3:25">
      <c r="C3240" s="146"/>
      <c r="E3240" s="147"/>
      <c r="F3240" s="146"/>
      <c r="I3240" s="147"/>
      <c r="Q3240" s="146"/>
      <c r="T3240" s="146"/>
      <c r="V3240" s="147"/>
      <c r="W3240" s="146"/>
      <c r="Y3240" s="147"/>
    </row>
    <row r="3241" spans="3:25">
      <c r="C3241" s="146"/>
      <c r="E3241" s="147"/>
      <c r="F3241" s="146"/>
      <c r="I3241" s="147"/>
      <c r="Q3241" s="146"/>
      <c r="T3241" s="146"/>
      <c r="V3241" s="147"/>
      <c r="W3241" s="146"/>
      <c r="Y3241" s="147"/>
    </row>
    <row r="3242" spans="3:25">
      <c r="C3242" s="146"/>
      <c r="E3242" s="147"/>
      <c r="F3242" s="146"/>
      <c r="I3242" s="147"/>
      <c r="Q3242" s="146"/>
      <c r="T3242" s="146"/>
      <c r="V3242" s="147"/>
      <c r="W3242" s="146"/>
      <c r="Y3242" s="147"/>
    </row>
    <row r="3243" spans="3:25">
      <c r="C3243" s="146"/>
      <c r="E3243" s="147"/>
      <c r="F3243" s="146"/>
      <c r="I3243" s="147"/>
      <c r="Q3243" s="146"/>
      <c r="T3243" s="146"/>
      <c r="V3243" s="147"/>
      <c r="W3243" s="146"/>
      <c r="Y3243" s="147"/>
    </row>
    <row r="3244" spans="3:25">
      <c r="C3244" s="146"/>
      <c r="E3244" s="147"/>
      <c r="F3244" s="146"/>
      <c r="I3244" s="147"/>
      <c r="Q3244" s="146"/>
      <c r="T3244" s="146"/>
      <c r="V3244" s="147"/>
      <c r="W3244" s="146"/>
      <c r="Y3244" s="147"/>
    </row>
    <row r="3245" spans="3:25">
      <c r="C3245" s="146"/>
      <c r="E3245" s="147"/>
      <c r="F3245" s="146"/>
      <c r="I3245" s="147"/>
      <c r="Q3245" s="146"/>
      <c r="T3245" s="146"/>
      <c r="V3245" s="147"/>
      <c r="W3245" s="146"/>
      <c r="Y3245" s="147"/>
    </row>
    <row r="3246" spans="3:25">
      <c r="C3246" s="146"/>
      <c r="E3246" s="147"/>
      <c r="F3246" s="146"/>
      <c r="I3246" s="147"/>
      <c r="Q3246" s="146"/>
      <c r="T3246" s="146"/>
      <c r="V3246" s="147"/>
      <c r="W3246" s="146"/>
      <c r="Y3246" s="147"/>
    </row>
    <row r="3247" spans="3:25">
      <c r="C3247" s="146"/>
      <c r="E3247" s="147"/>
      <c r="F3247" s="146"/>
      <c r="I3247" s="147"/>
      <c r="Q3247" s="146"/>
      <c r="T3247" s="146"/>
      <c r="V3247" s="147"/>
      <c r="W3247" s="146"/>
      <c r="Y3247" s="147"/>
    </row>
    <row r="3248" spans="3:25">
      <c r="C3248" s="146"/>
      <c r="E3248" s="147"/>
      <c r="F3248" s="146"/>
      <c r="I3248" s="147"/>
      <c r="Q3248" s="146"/>
      <c r="T3248" s="146"/>
      <c r="V3248" s="147"/>
      <c r="W3248" s="146"/>
      <c r="Y3248" s="147"/>
    </row>
    <row r="3249" spans="3:25">
      <c r="C3249" s="146"/>
      <c r="E3249" s="147"/>
      <c r="F3249" s="146"/>
      <c r="I3249" s="147"/>
      <c r="Q3249" s="146"/>
      <c r="T3249" s="146"/>
      <c r="V3249" s="147"/>
      <c r="W3249" s="146"/>
      <c r="Y3249" s="147"/>
    </row>
    <row r="3250" spans="3:25">
      <c r="C3250" s="146"/>
      <c r="E3250" s="147"/>
      <c r="F3250" s="146"/>
      <c r="I3250" s="147"/>
      <c r="Q3250" s="146"/>
      <c r="T3250" s="146"/>
      <c r="V3250" s="147"/>
      <c r="W3250" s="146"/>
      <c r="Y3250" s="147"/>
    </row>
    <row r="3251" spans="3:25">
      <c r="C3251" s="146"/>
      <c r="E3251" s="147"/>
      <c r="F3251" s="146"/>
      <c r="I3251" s="147"/>
      <c r="Q3251" s="146"/>
      <c r="T3251" s="146"/>
      <c r="V3251" s="147"/>
      <c r="W3251" s="146"/>
      <c r="Y3251" s="147"/>
    </row>
    <row r="3252" spans="3:25">
      <c r="C3252" s="146"/>
      <c r="E3252" s="147"/>
      <c r="F3252" s="146"/>
      <c r="I3252" s="147"/>
      <c r="Q3252" s="146"/>
      <c r="T3252" s="146"/>
      <c r="V3252" s="147"/>
      <c r="W3252" s="146"/>
      <c r="Y3252" s="147"/>
    </row>
    <row r="3253" spans="3:25">
      <c r="C3253" s="146"/>
      <c r="E3253" s="147"/>
      <c r="F3253" s="146"/>
      <c r="I3253" s="147"/>
      <c r="Q3253" s="146"/>
      <c r="T3253" s="146"/>
      <c r="V3253" s="147"/>
      <c r="W3253" s="146"/>
      <c r="Y3253" s="147"/>
    </row>
    <row r="3254" spans="3:25">
      <c r="C3254" s="146"/>
      <c r="E3254" s="147"/>
      <c r="F3254" s="146"/>
      <c r="I3254" s="147"/>
      <c r="Q3254" s="146"/>
      <c r="T3254" s="146"/>
      <c r="V3254" s="147"/>
      <c r="W3254" s="146"/>
      <c r="Y3254" s="147"/>
    </row>
    <row r="3255" spans="3:25">
      <c r="C3255" s="146"/>
      <c r="E3255" s="147"/>
      <c r="F3255" s="146"/>
      <c r="I3255" s="147"/>
      <c r="Q3255" s="146"/>
      <c r="T3255" s="146"/>
      <c r="V3255" s="147"/>
      <c r="W3255" s="146"/>
      <c r="Y3255" s="147"/>
    </row>
    <row r="3256" spans="3:25">
      <c r="C3256" s="146"/>
      <c r="E3256" s="147"/>
      <c r="F3256" s="146"/>
      <c r="I3256" s="147"/>
      <c r="Q3256" s="146"/>
      <c r="T3256" s="146"/>
      <c r="V3256" s="147"/>
      <c r="W3256" s="146"/>
      <c r="Y3256" s="147"/>
    </row>
    <row r="3257" spans="3:25">
      <c r="C3257" s="146"/>
      <c r="E3257" s="147"/>
      <c r="F3257" s="146"/>
      <c r="I3257" s="147"/>
      <c r="Q3257" s="146"/>
      <c r="T3257" s="146"/>
      <c r="V3257" s="147"/>
      <c r="W3257" s="146"/>
      <c r="Y3257" s="147"/>
    </row>
    <row r="3258" spans="3:25">
      <c r="C3258" s="146"/>
      <c r="E3258" s="147"/>
      <c r="F3258" s="146"/>
      <c r="I3258" s="147"/>
      <c r="Q3258" s="146"/>
      <c r="T3258" s="146"/>
      <c r="V3258" s="147"/>
      <c r="W3258" s="146"/>
      <c r="Y3258" s="147"/>
    </row>
    <row r="3259" spans="3:25">
      <c r="C3259" s="146"/>
      <c r="E3259" s="147"/>
      <c r="F3259" s="146"/>
      <c r="I3259" s="147"/>
      <c r="Q3259" s="146"/>
      <c r="T3259" s="146"/>
      <c r="V3259" s="147"/>
      <c r="W3259" s="146"/>
      <c r="Y3259" s="147"/>
    </row>
    <row r="3260" spans="3:25">
      <c r="C3260" s="146"/>
      <c r="E3260" s="147"/>
      <c r="F3260" s="146"/>
      <c r="I3260" s="147"/>
      <c r="Q3260" s="146"/>
      <c r="T3260" s="146"/>
      <c r="V3260" s="147"/>
      <c r="W3260" s="146"/>
      <c r="Y3260" s="147"/>
    </row>
    <row r="3261" spans="3:25">
      <c r="C3261" s="146"/>
      <c r="E3261" s="147"/>
      <c r="F3261" s="146"/>
      <c r="I3261" s="147"/>
      <c r="Q3261" s="146"/>
      <c r="T3261" s="146"/>
      <c r="V3261" s="147"/>
      <c r="W3261" s="146"/>
      <c r="Y3261" s="147"/>
    </row>
    <row r="3262" spans="3:25">
      <c r="C3262" s="146"/>
      <c r="E3262" s="147"/>
      <c r="F3262" s="146"/>
      <c r="I3262" s="147"/>
      <c r="Q3262" s="146"/>
      <c r="T3262" s="146"/>
      <c r="V3262" s="147"/>
      <c r="W3262" s="146"/>
      <c r="Y3262" s="147"/>
    </row>
    <row r="3263" spans="3:25">
      <c r="C3263" s="146"/>
      <c r="E3263" s="147"/>
      <c r="F3263" s="146"/>
      <c r="I3263" s="147"/>
      <c r="Q3263" s="146"/>
      <c r="T3263" s="146"/>
      <c r="V3263" s="147"/>
      <c r="W3263" s="146"/>
      <c r="Y3263" s="147"/>
    </row>
    <row r="3264" spans="3:25">
      <c r="C3264" s="146"/>
      <c r="E3264" s="147"/>
      <c r="F3264" s="146"/>
      <c r="I3264" s="147"/>
      <c r="Q3264" s="146"/>
      <c r="T3264" s="146"/>
      <c r="V3264" s="147"/>
      <c r="W3264" s="146"/>
      <c r="Y3264" s="147"/>
    </row>
    <row r="3265" spans="3:25">
      <c r="C3265" s="146"/>
      <c r="E3265" s="147"/>
      <c r="F3265" s="146"/>
      <c r="I3265" s="147"/>
      <c r="Q3265" s="146"/>
      <c r="T3265" s="146"/>
      <c r="V3265" s="147"/>
      <c r="W3265" s="146"/>
      <c r="Y3265" s="147"/>
    </row>
    <row r="3266" spans="3:25">
      <c r="C3266" s="146"/>
      <c r="E3266" s="147"/>
      <c r="F3266" s="146"/>
      <c r="I3266" s="147"/>
      <c r="Q3266" s="146"/>
      <c r="T3266" s="146"/>
      <c r="V3266" s="147"/>
      <c r="W3266" s="146"/>
      <c r="Y3266" s="147"/>
    </row>
    <row r="3267" spans="3:25">
      <c r="C3267" s="146"/>
      <c r="E3267" s="147"/>
      <c r="F3267" s="146"/>
      <c r="I3267" s="147"/>
      <c r="Q3267" s="146"/>
      <c r="T3267" s="146"/>
      <c r="V3267" s="147"/>
      <c r="W3267" s="146"/>
      <c r="Y3267" s="147"/>
    </row>
    <row r="3268" spans="3:25">
      <c r="C3268" s="146"/>
      <c r="E3268" s="147"/>
      <c r="F3268" s="146"/>
      <c r="I3268" s="147"/>
      <c r="Q3268" s="146"/>
      <c r="T3268" s="146"/>
      <c r="V3268" s="147"/>
      <c r="W3268" s="146"/>
      <c r="Y3268" s="147"/>
    </row>
    <row r="3269" spans="3:25">
      <c r="C3269" s="146"/>
      <c r="E3269" s="147"/>
      <c r="F3269" s="146"/>
      <c r="I3269" s="147"/>
      <c r="Q3269" s="146"/>
      <c r="T3269" s="146"/>
      <c r="V3269" s="147"/>
      <c r="W3269" s="146"/>
      <c r="Y3269" s="147"/>
    </row>
    <row r="3270" spans="3:25">
      <c r="C3270" s="146"/>
      <c r="E3270" s="147"/>
      <c r="F3270" s="146"/>
      <c r="I3270" s="147"/>
      <c r="Q3270" s="146"/>
      <c r="T3270" s="146"/>
      <c r="V3270" s="147"/>
      <c r="W3270" s="146"/>
      <c r="Y3270" s="147"/>
    </row>
    <row r="3271" spans="3:25">
      <c r="C3271" s="146"/>
      <c r="E3271" s="147"/>
      <c r="F3271" s="146"/>
      <c r="I3271" s="147"/>
      <c r="Q3271" s="146"/>
      <c r="T3271" s="146"/>
      <c r="V3271" s="147"/>
      <c r="W3271" s="146"/>
      <c r="Y3271" s="147"/>
    </row>
    <row r="3272" spans="3:25">
      <c r="C3272" s="146"/>
      <c r="E3272" s="147"/>
      <c r="F3272" s="146"/>
      <c r="I3272" s="147"/>
      <c r="Q3272" s="146"/>
      <c r="T3272" s="146"/>
      <c r="V3272" s="147"/>
      <c r="W3272" s="146"/>
      <c r="Y3272" s="147"/>
    </row>
    <row r="3273" spans="3:25">
      <c r="C3273" s="146"/>
      <c r="E3273" s="147"/>
      <c r="F3273" s="146"/>
      <c r="I3273" s="147"/>
      <c r="Q3273" s="146"/>
      <c r="T3273" s="146"/>
      <c r="V3273" s="147"/>
      <c r="W3273" s="146"/>
      <c r="Y3273" s="147"/>
    </row>
    <row r="3274" spans="3:25">
      <c r="C3274" s="146"/>
      <c r="E3274" s="147"/>
      <c r="F3274" s="146"/>
      <c r="I3274" s="147"/>
      <c r="Q3274" s="146"/>
      <c r="T3274" s="146"/>
      <c r="V3274" s="147"/>
      <c r="W3274" s="146"/>
      <c r="Y3274" s="147"/>
    </row>
    <row r="3275" spans="3:25">
      <c r="C3275" s="146"/>
      <c r="E3275" s="147"/>
      <c r="F3275" s="146"/>
      <c r="I3275" s="147"/>
      <c r="Q3275" s="146"/>
      <c r="T3275" s="146"/>
      <c r="V3275" s="147"/>
      <c r="W3275" s="146"/>
      <c r="Y3275" s="147"/>
    </row>
    <row r="3276" spans="3:25">
      <c r="C3276" s="146"/>
      <c r="E3276" s="147"/>
      <c r="F3276" s="146"/>
      <c r="I3276" s="147"/>
      <c r="Q3276" s="146"/>
      <c r="T3276" s="146"/>
      <c r="V3276" s="147"/>
      <c r="W3276" s="146"/>
      <c r="Y3276" s="147"/>
    </row>
    <row r="3277" spans="3:25">
      <c r="C3277" s="146"/>
      <c r="E3277" s="147"/>
      <c r="F3277" s="146"/>
      <c r="I3277" s="147"/>
      <c r="Q3277" s="146"/>
      <c r="T3277" s="146"/>
      <c r="V3277" s="147"/>
      <c r="W3277" s="146"/>
      <c r="Y3277" s="147"/>
    </row>
    <row r="3278" spans="3:25">
      <c r="C3278" s="146"/>
      <c r="E3278" s="147"/>
      <c r="F3278" s="146"/>
      <c r="I3278" s="147"/>
      <c r="Q3278" s="146"/>
      <c r="T3278" s="146"/>
      <c r="V3278" s="147"/>
      <c r="W3278" s="146"/>
      <c r="Y3278" s="147"/>
    </row>
    <row r="3279" spans="3:25">
      <c r="C3279" s="146"/>
      <c r="E3279" s="147"/>
      <c r="F3279" s="146"/>
      <c r="I3279" s="147"/>
      <c r="Q3279" s="146"/>
      <c r="T3279" s="146"/>
      <c r="V3279" s="147"/>
      <c r="W3279" s="146"/>
      <c r="Y3279" s="147"/>
    </row>
    <row r="3280" spans="3:25">
      <c r="C3280" s="146"/>
      <c r="E3280" s="147"/>
      <c r="F3280" s="146"/>
      <c r="I3280" s="147"/>
      <c r="Q3280" s="146"/>
      <c r="T3280" s="146"/>
      <c r="V3280" s="147"/>
      <c r="W3280" s="146"/>
      <c r="Y3280" s="147"/>
    </row>
    <row r="3281" spans="3:25">
      <c r="C3281" s="146"/>
      <c r="E3281" s="147"/>
      <c r="F3281" s="146"/>
      <c r="I3281" s="147"/>
      <c r="Q3281" s="146"/>
      <c r="T3281" s="146"/>
      <c r="V3281" s="147"/>
      <c r="W3281" s="146"/>
      <c r="Y3281" s="147"/>
    </row>
    <row r="3282" spans="3:25">
      <c r="C3282" s="146"/>
      <c r="E3282" s="147"/>
      <c r="F3282" s="146"/>
      <c r="I3282" s="147"/>
      <c r="Q3282" s="146"/>
      <c r="T3282" s="146"/>
      <c r="V3282" s="147"/>
      <c r="W3282" s="146"/>
      <c r="Y3282" s="147"/>
    </row>
    <row r="3283" spans="3:25">
      <c r="C3283" s="146"/>
      <c r="E3283" s="147"/>
      <c r="F3283" s="146"/>
      <c r="I3283" s="147"/>
      <c r="Q3283" s="146"/>
      <c r="T3283" s="146"/>
      <c r="V3283" s="147"/>
      <c r="W3283" s="146"/>
      <c r="Y3283" s="147"/>
    </row>
    <row r="3284" spans="3:25">
      <c r="C3284" s="146"/>
      <c r="E3284" s="147"/>
      <c r="F3284" s="146"/>
      <c r="I3284" s="147"/>
      <c r="Q3284" s="146"/>
      <c r="T3284" s="146"/>
      <c r="V3284" s="147"/>
      <c r="W3284" s="146"/>
      <c r="Y3284" s="147"/>
    </row>
    <row r="3285" spans="3:25">
      <c r="C3285" s="146"/>
      <c r="E3285" s="147"/>
      <c r="F3285" s="146"/>
      <c r="I3285" s="147"/>
      <c r="Q3285" s="146"/>
      <c r="T3285" s="146"/>
      <c r="V3285" s="147"/>
      <c r="W3285" s="146"/>
      <c r="Y3285" s="147"/>
    </row>
    <row r="3286" spans="3:25">
      <c r="C3286" s="146"/>
      <c r="E3286" s="147"/>
      <c r="F3286" s="146"/>
      <c r="I3286" s="147"/>
      <c r="Q3286" s="146"/>
      <c r="T3286" s="146"/>
      <c r="V3286" s="147"/>
      <c r="W3286" s="146"/>
      <c r="Y3286" s="147"/>
    </row>
    <row r="3287" spans="3:25">
      <c r="C3287" s="146"/>
      <c r="E3287" s="147"/>
      <c r="F3287" s="146"/>
      <c r="I3287" s="147"/>
      <c r="Q3287" s="146"/>
      <c r="T3287" s="146"/>
      <c r="V3287" s="147"/>
      <c r="W3287" s="146"/>
      <c r="Y3287" s="147"/>
    </row>
    <row r="3288" spans="3:25">
      <c r="C3288" s="146"/>
      <c r="E3288" s="147"/>
      <c r="F3288" s="146"/>
      <c r="I3288" s="147"/>
      <c r="Q3288" s="146"/>
      <c r="T3288" s="146"/>
      <c r="V3288" s="147"/>
      <c r="W3288" s="146"/>
      <c r="Y3288" s="147"/>
    </row>
    <row r="3289" spans="3:25">
      <c r="C3289" s="146"/>
      <c r="E3289" s="147"/>
      <c r="F3289" s="146"/>
      <c r="I3289" s="147"/>
      <c r="Q3289" s="146"/>
      <c r="T3289" s="146"/>
      <c r="V3289" s="147"/>
      <c r="W3289" s="146"/>
      <c r="Y3289" s="147"/>
    </row>
    <row r="3290" spans="3:25">
      <c r="C3290" s="146"/>
      <c r="E3290" s="147"/>
      <c r="F3290" s="146"/>
      <c r="I3290" s="147"/>
      <c r="Q3290" s="146"/>
      <c r="T3290" s="146"/>
      <c r="V3290" s="147"/>
      <c r="W3290" s="146"/>
      <c r="Y3290" s="147"/>
    </row>
    <row r="3291" spans="3:25">
      <c r="C3291" s="146"/>
      <c r="E3291" s="147"/>
      <c r="F3291" s="146"/>
      <c r="I3291" s="147"/>
      <c r="Q3291" s="146"/>
      <c r="T3291" s="146"/>
      <c r="V3291" s="147"/>
      <c r="W3291" s="146"/>
      <c r="Y3291" s="147"/>
    </row>
    <row r="3292" spans="3:25">
      <c r="C3292" s="146"/>
      <c r="E3292" s="147"/>
      <c r="F3292" s="146"/>
      <c r="I3292" s="147"/>
      <c r="Q3292" s="146"/>
      <c r="T3292" s="146"/>
      <c r="V3292" s="147"/>
      <c r="W3292" s="146"/>
      <c r="Y3292" s="147"/>
    </row>
    <row r="3293" spans="3:25">
      <c r="C3293" s="146"/>
      <c r="E3293" s="147"/>
      <c r="F3293" s="146"/>
      <c r="I3293" s="147"/>
      <c r="Q3293" s="146"/>
      <c r="T3293" s="146"/>
      <c r="V3293" s="147"/>
      <c r="W3293" s="146"/>
      <c r="Y3293" s="147"/>
    </row>
    <row r="3294" spans="3:25">
      <c r="C3294" s="146"/>
      <c r="E3294" s="147"/>
      <c r="F3294" s="146"/>
      <c r="I3294" s="147"/>
      <c r="Q3294" s="146"/>
      <c r="T3294" s="146"/>
      <c r="V3294" s="147"/>
      <c r="W3294" s="146"/>
      <c r="Y3294" s="147"/>
    </row>
    <row r="3295" spans="3:25">
      <c r="C3295" s="146"/>
      <c r="E3295" s="147"/>
      <c r="F3295" s="146"/>
      <c r="I3295" s="147"/>
      <c r="Q3295" s="146"/>
      <c r="T3295" s="146"/>
      <c r="V3295" s="147"/>
      <c r="W3295" s="146"/>
      <c r="Y3295" s="147"/>
    </row>
    <row r="3296" spans="3:25">
      <c r="C3296" s="146"/>
      <c r="E3296" s="147"/>
      <c r="F3296" s="146"/>
      <c r="I3296" s="147"/>
      <c r="Q3296" s="146"/>
      <c r="T3296" s="146"/>
      <c r="V3296" s="147"/>
      <c r="W3296" s="146"/>
      <c r="Y3296" s="147"/>
    </row>
    <row r="3297" spans="3:25">
      <c r="C3297" s="146"/>
      <c r="E3297" s="147"/>
      <c r="F3297" s="146"/>
      <c r="I3297" s="147"/>
      <c r="Q3297" s="146"/>
      <c r="T3297" s="146"/>
      <c r="V3297" s="147"/>
      <c r="W3297" s="146"/>
      <c r="Y3297" s="147"/>
    </row>
    <row r="3298" spans="3:25">
      <c r="C3298" s="146"/>
      <c r="E3298" s="147"/>
      <c r="F3298" s="146"/>
      <c r="I3298" s="147"/>
      <c r="Q3298" s="146"/>
      <c r="T3298" s="146"/>
      <c r="V3298" s="147"/>
      <c r="W3298" s="146"/>
      <c r="Y3298" s="147"/>
    </row>
    <row r="3299" spans="3:25">
      <c r="C3299" s="146"/>
      <c r="E3299" s="147"/>
      <c r="F3299" s="146"/>
      <c r="I3299" s="147"/>
      <c r="Q3299" s="146"/>
      <c r="T3299" s="146"/>
      <c r="V3299" s="147"/>
      <c r="W3299" s="146"/>
      <c r="Y3299" s="147"/>
    </row>
    <row r="3300" spans="3:25">
      <c r="C3300" s="146"/>
      <c r="E3300" s="147"/>
      <c r="F3300" s="146"/>
      <c r="I3300" s="147"/>
      <c r="Q3300" s="146"/>
      <c r="T3300" s="146"/>
      <c r="V3300" s="147"/>
      <c r="W3300" s="146"/>
      <c r="Y3300" s="147"/>
    </row>
    <row r="3301" spans="3:25">
      <c r="C3301" s="146"/>
      <c r="E3301" s="147"/>
      <c r="F3301" s="146"/>
      <c r="I3301" s="147"/>
      <c r="Q3301" s="146"/>
      <c r="T3301" s="146"/>
      <c r="V3301" s="147"/>
      <c r="W3301" s="146"/>
      <c r="Y3301" s="147"/>
    </row>
    <row r="3302" spans="3:25">
      <c r="C3302" s="146"/>
      <c r="E3302" s="147"/>
      <c r="F3302" s="146"/>
      <c r="I3302" s="147"/>
      <c r="Q3302" s="146"/>
      <c r="T3302" s="146"/>
      <c r="V3302" s="147"/>
      <c r="W3302" s="146"/>
      <c r="Y3302" s="147"/>
    </row>
    <row r="3303" spans="3:25">
      <c r="C3303" s="146"/>
      <c r="E3303" s="147"/>
      <c r="F3303" s="146"/>
      <c r="I3303" s="147"/>
      <c r="Q3303" s="146"/>
      <c r="T3303" s="146"/>
      <c r="V3303" s="147"/>
      <c r="W3303" s="146"/>
      <c r="Y3303" s="147"/>
    </row>
    <row r="3304" spans="3:25">
      <c r="C3304" s="146"/>
      <c r="E3304" s="147"/>
      <c r="F3304" s="146"/>
      <c r="I3304" s="147"/>
      <c r="Q3304" s="146"/>
      <c r="T3304" s="146"/>
      <c r="V3304" s="147"/>
      <c r="W3304" s="146"/>
      <c r="Y3304" s="147"/>
    </row>
    <row r="3305" spans="3:25">
      <c r="C3305" s="146"/>
      <c r="E3305" s="147"/>
      <c r="F3305" s="146"/>
      <c r="I3305" s="147"/>
      <c r="Q3305" s="146"/>
      <c r="T3305" s="146"/>
      <c r="V3305" s="147"/>
      <c r="W3305" s="146"/>
      <c r="Y3305" s="147"/>
    </row>
    <row r="3306" spans="3:25">
      <c r="C3306" s="146"/>
      <c r="E3306" s="147"/>
      <c r="F3306" s="146"/>
      <c r="I3306" s="147"/>
      <c r="Q3306" s="146"/>
      <c r="T3306" s="146"/>
      <c r="V3306" s="147"/>
      <c r="W3306" s="146"/>
      <c r="Y3306" s="147"/>
    </row>
    <row r="3307" spans="3:25">
      <c r="C3307" s="146"/>
      <c r="E3307" s="147"/>
      <c r="F3307" s="146"/>
      <c r="I3307" s="147"/>
      <c r="Q3307" s="146"/>
      <c r="T3307" s="146"/>
      <c r="V3307" s="147"/>
      <c r="W3307" s="146"/>
      <c r="Y3307" s="147"/>
    </row>
    <row r="3308" spans="3:25">
      <c r="C3308" s="146"/>
      <c r="E3308" s="147"/>
      <c r="F3308" s="146"/>
      <c r="I3308" s="147"/>
      <c r="Q3308" s="146"/>
      <c r="T3308" s="146"/>
      <c r="V3308" s="147"/>
      <c r="W3308" s="146"/>
      <c r="Y3308" s="147"/>
    </row>
    <row r="3309" spans="3:25">
      <c r="C3309" s="146"/>
      <c r="E3309" s="147"/>
      <c r="F3309" s="146"/>
      <c r="I3309" s="147"/>
      <c r="Q3309" s="146"/>
      <c r="T3309" s="146"/>
      <c r="V3309" s="147"/>
      <c r="W3309" s="146"/>
      <c r="Y3309" s="147"/>
    </row>
    <row r="3310" spans="3:25">
      <c r="C3310" s="146"/>
      <c r="E3310" s="147"/>
      <c r="F3310" s="146"/>
      <c r="I3310" s="147"/>
      <c r="Q3310" s="146"/>
      <c r="T3310" s="146"/>
      <c r="V3310" s="147"/>
      <c r="W3310" s="146"/>
      <c r="Y3310" s="147"/>
    </row>
    <row r="3311" spans="3:25">
      <c r="C3311" s="146"/>
      <c r="E3311" s="147"/>
      <c r="F3311" s="146"/>
      <c r="I3311" s="147"/>
      <c r="Q3311" s="146"/>
      <c r="T3311" s="146"/>
      <c r="V3311" s="147"/>
      <c r="W3311" s="146"/>
      <c r="Y3311" s="147"/>
    </row>
    <row r="3312" spans="3:25">
      <c r="C3312" s="146"/>
      <c r="E3312" s="147"/>
      <c r="F3312" s="146"/>
      <c r="I3312" s="147"/>
      <c r="Q3312" s="146"/>
      <c r="T3312" s="146"/>
      <c r="V3312" s="147"/>
      <c r="W3312" s="146"/>
      <c r="Y3312" s="147"/>
    </row>
    <row r="3313" spans="3:25">
      <c r="C3313" s="146"/>
      <c r="E3313" s="147"/>
      <c r="F3313" s="146"/>
      <c r="I3313" s="147"/>
      <c r="Q3313" s="146"/>
      <c r="T3313" s="146"/>
      <c r="V3313" s="147"/>
      <c r="W3313" s="146"/>
      <c r="Y3313" s="147"/>
    </row>
    <row r="3314" spans="3:25">
      <c r="C3314" s="146"/>
      <c r="E3314" s="147"/>
      <c r="F3314" s="146"/>
      <c r="I3314" s="147"/>
      <c r="Q3314" s="146"/>
      <c r="T3314" s="146"/>
      <c r="V3314" s="147"/>
      <c r="W3314" s="146"/>
      <c r="Y3314" s="147"/>
    </row>
    <row r="3315" spans="3:25">
      <c r="C3315" s="146"/>
      <c r="E3315" s="147"/>
      <c r="F3315" s="146"/>
      <c r="I3315" s="147"/>
      <c r="Q3315" s="146"/>
      <c r="T3315" s="146"/>
      <c r="V3315" s="147"/>
      <c r="W3315" s="146"/>
      <c r="Y3315" s="147"/>
    </row>
    <row r="3316" spans="3:25">
      <c r="C3316" s="146"/>
      <c r="E3316" s="147"/>
      <c r="F3316" s="146"/>
      <c r="I3316" s="147"/>
      <c r="Q3316" s="146"/>
      <c r="T3316" s="146"/>
      <c r="V3316" s="147"/>
      <c r="W3316" s="146"/>
      <c r="Y3316" s="147"/>
    </row>
    <row r="3317" spans="3:25">
      <c r="C3317" s="146"/>
      <c r="E3317" s="147"/>
      <c r="F3317" s="146"/>
      <c r="I3317" s="147"/>
      <c r="Q3317" s="146"/>
      <c r="T3317" s="146"/>
      <c r="V3317" s="147"/>
      <c r="W3317" s="146"/>
      <c r="Y3317" s="147"/>
    </row>
    <row r="3318" spans="3:25">
      <c r="C3318" s="146"/>
      <c r="E3318" s="147"/>
      <c r="F3318" s="146"/>
      <c r="I3318" s="147"/>
      <c r="Q3318" s="146"/>
      <c r="T3318" s="146"/>
      <c r="V3318" s="147"/>
      <c r="W3318" s="146"/>
      <c r="Y3318" s="147"/>
    </row>
    <row r="3319" spans="3:25">
      <c r="C3319" s="146"/>
      <c r="E3319" s="147"/>
      <c r="F3319" s="146"/>
      <c r="I3319" s="147"/>
      <c r="Q3319" s="146"/>
      <c r="T3319" s="146"/>
      <c r="V3319" s="147"/>
      <c r="W3319" s="146"/>
      <c r="Y3319" s="147"/>
    </row>
    <row r="3320" spans="3:25">
      <c r="C3320" s="146"/>
      <c r="E3320" s="147"/>
      <c r="F3320" s="146"/>
      <c r="I3320" s="147"/>
      <c r="Q3320" s="146"/>
      <c r="T3320" s="146"/>
      <c r="V3320" s="147"/>
      <c r="W3320" s="146"/>
      <c r="Y3320" s="147"/>
    </row>
    <row r="3321" spans="3:25">
      <c r="C3321" s="146"/>
      <c r="E3321" s="147"/>
      <c r="F3321" s="146"/>
      <c r="I3321" s="147"/>
      <c r="Q3321" s="146"/>
      <c r="T3321" s="146"/>
      <c r="V3321" s="147"/>
      <c r="W3321" s="146"/>
      <c r="Y3321" s="147"/>
    </row>
    <row r="3322" spans="3:25">
      <c r="C3322" s="146"/>
      <c r="E3322" s="147"/>
      <c r="F3322" s="146"/>
      <c r="I3322" s="147"/>
      <c r="Q3322" s="146"/>
      <c r="T3322" s="146"/>
      <c r="V3322" s="147"/>
      <c r="W3322" s="146"/>
      <c r="Y3322" s="147"/>
    </row>
    <row r="3323" spans="3:25">
      <c r="C3323" s="146"/>
      <c r="E3323" s="147"/>
      <c r="F3323" s="146"/>
      <c r="I3323" s="147"/>
      <c r="Q3323" s="146"/>
      <c r="T3323" s="146"/>
      <c r="V3323" s="147"/>
      <c r="W3323" s="146"/>
      <c r="Y3323" s="147"/>
    </row>
    <row r="3324" spans="3:25">
      <c r="C3324" s="146"/>
      <c r="E3324" s="147"/>
      <c r="F3324" s="146"/>
      <c r="I3324" s="147"/>
      <c r="Q3324" s="146"/>
      <c r="T3324" s="146"/>
      <c r="V3324" s="147"/>
      <c r="W3324" s="146"/>
      <c r="Y3324" s="147"/>
    </row>
    <row r="3325" spans="3:25">
      <c r="C3325" s="146"/>
      <c r="E3325" s="147"/>
      <c r="F3325" s="146"/>
      <c r="I3325" s="147"/>
      <c r="Q3325" s="146"/>
      <c r="T3325" s="146"/>
      <c r="V3325" s="147"/>
      <c r="W3325" s="146"/>
      <c r="Y3325" s="147"/>
    </row>
    <row r="3326" spans="3:25">
      <c r="C3326" s="146"/>
      <c r="E3326" s="147"/>
      <c r="F3326" s="146"/>
      <c r="I3326" s="147"/>
      <c r="Q3326" s="146"/>
      <c r="T3326" s="146"/>
      <c r="V3326" s="147"/>
      <c r="W3326" s="146"/>
      <c r="Y3326" s="147"/>
    </row>
    <row r="3327" spans="3:25">
      <c r="C3327" s="146"/>
      <c r="E3327" s="147"/>
      <c r="F3327" s="146"/>
      <c r="I3327" s="147"/>
      <c r="Q3327" s="146"/>
      <c r="T3327" s="146"/>
      <c r="V3327" s="147"/>
      <c r="W3327" s="146"/>
      <c r="Y3327" s="147"/>
    </row>
    <row r="3328" spans="3:25">
      <c r="C3328" s="146"/>
      <c r="E3328" s="147"/>
      <c r="F3328" s="146"/>
      <c r="I3328" s="147"/>
      <c r="Q3328" s="146"/>
      <c r="T3328" s="146"/>
      <c r="V3328" s="147"/>
      <c r="W3328" s="146"/>
      <c r="Y3328" s="147"/>
    </row>
    <row r="3329" spans="3:25">
      <c r="C3329" s="146"/>
      <c r="E3329" s="147"/>
      <c r="F3329" s="146"/>
      <c r="I3329" s="147"/>
      <c r="Q3329" s="146"/>
      <c r="T3329" s="146"/>
      <c r="V3329" s="147"/>
      <c r="W3329" s="146"/>
      <c r="Y3329" s="147"/>
    </row>
    <row r="3330" spans="3:25">
      <c r="C3330" s="146"/>
      <c r="E3330" s="147"/>
      <c r="F3330" s="146"/>
      <c r="I3330" s="147"/>
      <c r="Q3330" s="146"/>
      <c r="T3330" s="146"/>
      <c r="V3330" s="147"/>
      <c r="W3330" s="146"/>
      <c r="Y3330" s="147"/>
    </row>
    <row r="3331" spans="3:25">
      <c r="C3331" s="146"/>
      <c r="E3331" s="147"/>
      <c r="F3331" s="146"/>
      <c r="I3331" s="147"/>
      <c r="Q3331" s="146"/>
      <c r="T3331" s="146"/>
      <c r="V3331" s="147"/>
      <c r="W3331" s="146"/>
      <c r="Y3331" s="147"/>
    </row>
    <row r="3332" spans="3:25">
      <c r="C3332" s="146"/>
      <c r="E3332" s="147"/>
      <c r="F3332" s="146"/>
      <c r="I3332" s="147"/>
      <c r="Q3332" s="146"/>
      <c r="T3332" s="146"/>
      <c r="V3332" s="147"/>
      <c r="W3332" s="146"/>
      <c r="Y3332" s="147"/>
    </row>
    <row r="3333" spans="3:25">
      <c r="C3333" s="146"/>
      <c r="E3333" s="147"/>
      <c r="F3333" s="146"/>
      <c r="I3333" s="147"/>
      <c r="Q3333" s="146"/>
      <c r="T3333" s="146"/>
      <c r="V3333" s="147"/>
      <c r="W3333" s="146"/>
      <c r="Y3333" s="147"/>
    </row>
    <row r="3334" spans="3:25">
      <c r="C3334" s="146"/>
      <c r="E3334" s="147"/>
      <c r="F3334" s="146"/>
      <c r="I3334" s="147"/>
      <c r="Q3334" s="146"/>
      <c r="T3334" s="146"/>
      <c r="V3334" s="147"/>
      <c r="W3334" s="146"/>
      <c r="Y3334" s="147"/>
    </row>
    <row r="3335" spans="3:25">
      <c r="C3335" s="146"/>
      <c r="E3335" s="147"/>
      <c r="F3335" s="146"/>
      <c r="I3335" s="147"/>
      <c r="Q3335" s="146"/>
      <c r="T3335" s="146"/>
      <c r="V3335" s="147"/>
      <c r="W3335" s="146"/>
      <c r="Y3335" s="147"/>
    </row>
    <row r="3336" spans="3:25">
      <c r="C3336" s="146"/>
      <c r="E3336" s="147"/>
      <c r="F3336" s="146"/>
      <c r="I3336" s="147"/>
      <c r="Q3336" s="146"/>
      <c r="T3336" s="146"/>
      <c r="V3336" s="147"/>
      <c r="W3336" s="146"/>
      <c r="Y3336" s="147"/>
    </row>
    <row r="3337" spans="3:25">
      <c r="C3337" s="146"/>
      <c r="E3337" s="147"/>
      <c r="F3337" s="146"/>
      <c r="I3337" s="147"/>
      <c r="Q3337" s="146"/>
      <c r="T3337" s="146"/>
      <c r="V3337" s="147"/>
      <c r="W3337" s="146"/>
      <c r="Y3337" s="147"/>
    </row>
    <row r="3338" spans="3:25">
      <c r="C3338" s="146"/>
      <c r="E3338" s="147"/>
      <c r="F3338" s="146"/>
      <c r="I3338" s="147"/>
      <c r="Q3338" s="146"/>
      <c r="T3338" s="146"/>
      <c r="V3338" s="147"/>
      <c r="W3338" s="146"/>
      <c r="Y3338" s="147"/>
    </row>
    <row r="3339" spans="3:25">
      <c r="C3339" s="146"/>
      <c r="E3339" s="147"/>
      <c r="F3339" s="146"/>
      <c r="I3339" s="147"/>
      <c r="Q3339" s="146"/>
      <c r="T3339" s="146"/>
      <c r="V3339" s="147"/>
      <c r="W3339" s="146"/>
      <c r="Y3339" s="147"/>
    </row>
    <row r="3340" spans="3:25">
      <c r="C3340" s="146"/>
      <c r="E3340" s="147"/>
      <c r="F3340" s="146"/>
      <c r="I3340" s="147"/>
      <c r="Q3340" s="146"/>
      <c r="T3340" s="146"/>
      <c r="V3340" s="147"/>
      <c r="W3340" s="146"/>
      <c r="Y3340" s="147"/>
    </row>
    <row r="3341" spans="3:25">
      <c r="C3341" s="146"/>
      <c r="E3341" s="147"/>
      <c r="F3341" s="146"/>
      <c r="I3341" s="147"/>
      <c r="Q3341" s="146"/>
      <c r="T3341" s="146"/>
      <c r="V3341" s="147"/>
      <c r="W3341" s="146"/>
      <c r="Y3341" s="147"/>
    </row>
    <row r="3342" spans="3:25">
      <c r="C3342" s="146"/>
      <c r="E3342" s="147"/>
      <c r="F3342" s="146"/>
      <c r="I3342" s="147"/>
      <c r="Q3342" s="146"/>
      <c r="T3342" s="146"/>
      <c r="V3342" s="147"/>
      <c r="W3342" s="146"/>
      <c r="Y3342" s="147"/>
    </row>
    <row r="3343" spans="3:25">
      <c r="C3343" s="146"/>
      <c r="E3343" s="147"/>
      <c r="F3343" s="146"/>
      <c r="I3343" s="147"/>
      <c r="Q3343" s="146"/>
      <c r="T3343" s="146"/>
      <c r="V3343" s="147"/>
      <c r="W3343" s="146"/>
      <c r="Y3343" s="147"/>
    </row>
    <row r="3344" spans="3:25">
      <c r="C3344" s="146"/>
      <c r="E3344" s="147"/>
      <c r="F3344" s="146"/>
      <c r="I3344" s="147"/>
      <c r="Q3344" s="146"/>
      <c r="T3344" s="146"/>
      <c r="V3344" s="147"/>
      <c r="W3344" s="146"/>
      <c r="Y3344" s="147"/>
    </row>
    <row r="3345" spans="3:25">
      <c r="C3345" s="146"/>
      <c r="E3345" s="147"/>
      <c r="F3345" s="146"/>
      <c r="I3345" s="147"/>
      <c r="Q3345" s="146"/>
      <c r="T3345" s="146"/>
      <c r="V3345" s="147"/>
      <c r="W3345" s="146"/>
      <c r="Y3345" s="147"/>
    </row>
    <row r="3346" spans="3:25">
      <c r="C3346" s="146"/>
      <c r="E3346" s="147"/>
      <c r="F3346" s="146"/>
      <c r="I3346" s="147"/>
      <c r="Q3346" s="146"/>
      <c r="T3346" s="146"/>
      <c r="V3346" s="147"/>
      <c r="W3346" s="146"/>
      <c r="Y3346" s="147"/>
    </row>
    <row r="3347" spans="3:25">
      <c r="C3347" s="146"/>
      <c r="E3347" s="147"/>
      <c r="F3347" s="146"/>
      <c r="I3347" s="147"/>
      <c r="Q3347" s="146"/>
      <c r="T3347" s="146"/>
      <c r="V3347" s="147"/>
      <c r="W3347" s="146"/>
      <c r="Y3347" s="147"/>
    </row>
    <row r="3348" spans="3:25">
      <c r="C3348" s="146"/>
      <c r="E3348" s="147"/>
      <c r="F3348" s="146"/>
      <c r="I3348" s="147"/>
      <c r="Q3348" s="146"/>
      <c r="T3348" s="146"/>
      <c r="V3348" s="147"/>
      <c r="W3348" s="146"/>
      <c r="Y3348" s="147"/>
    </row>
    <row r="3349" spans="3:25">
      <c r="C3349" s="146"/>
      <c r="E3349" s="147"/>
      <c r="F3349" s="146"/>
      <c r="I3349" s="147"/>
      <c r="Q3349" s="146"/>
      <c r="T3349" s="146"/>
      <c r="V3349" s="147"/>
      <c r="W3349" s="146"/>
      <c r="Y3349" s="147"/>
    </row>
    <row r="3350" spans="3:25">
      <c r="C3350" s="146"/>
      <c r="E3350" s="147"/>
      <c r="F3350" s="146"/>
      <c r="I3350" s="147"/>
      <c r="Q3350" s="146"/>
      <c r="T3350" s="146"/>
      <c r="V3350" s="147"/>
      <c r="W3350" s="146"/>
      <c r="Y3350" s="147"/>
    </row>
    <row r="3351" spans="3:25">
      <c r="C3351" s="146"/>
      <c r="E3351" s="147"/>
      <c r="F3351" s="146"/>
      <c r="I3351" s="147"/>
      <c r="Q3351" s="146"/>
      <c r="T3351" s="146"/>
      <c r="V3351" s="147"/>
      <c r="W3351" s="146"/>
      <c r="Y3351" s="147"/>
    </row>
    <row r="3352" spans="3:25">
      <c r="C3352" s="146"/>
      <c r="E3352" s="147"/>
      <c r="F3352" s="146"/>
      <c r="I3352" s="147"/>
      <c r="Q3352" s="146"/>
      <c r="T3352" s="146"/>
      <c r="V3352" s="147"/>
      <c r="W3352" s="146"/>
      <c r="Y3352" s="147"/>
    </row>
    <row r="3353" spans="3:25">
      <c r="C3353" s="146"/>
      <c r="E3353" s="147"/>
      <c r="F3353" s="146"/>
      <c r="I3353" s="147"/>
      <c r="Q3353" s="146"/>
      <c r="T3353" s="146"/>
      <c r="V3353" s="147"/>
      <c r="W3353" s="146"/>
      <c r="Y3353" s="147"/>
    </row>
    <row r="3354" spans="3:25">
      <c r="C3354" s="146"/>
      <c r="E3354" s="147"/>
      <c r="F3354" s="146"/>
      <c r="I3354" s="147"/>
      <c r="Q3354" s="146"/>
      <c r="T3354" s="146"/>
      <c r="V3354" s="147"/>
      <c r="W3354" s="146"/>
      <c r="Y3354" s="147"/>
    </row>
    <row r="3355" spans="3:25">
      <c r="C3355" s="146"/>
      <c r="E3355" s="147"/>
      <c r="F3355" s="146"/>
      <c r="I3355" s="147"/>
      <c r="Q3355" s="146"/>
      <c r="T3355" s="146"/>
      <c r="V3355" s="147"/>
      <c r="W3355" s="146"/>
      <c r="Y3355" s="147"/>
    </row>
    <row r="3356" spans="3:25">
      <c r="C3356" s="146"/>
      <c r="E3356" s="147"/>
      <c r="F3356" s="146"/>
      <c r="I3356" s="147"/>
      <c r="Q3356" s="146"/>
      <c r="T3356" s="146"/>
      <c r="V3356" s="147"/>
      <c r="W3356" s="146"/>
      <c r="Y3356" s="147"/>
    </row>
    <row r="3357" spans="3:25">
      <c r="C3357" s="146"/>
      <c r="E3357" s="147"/>
      <c r="F3357" s="146"/>
      <c r="I3357" s="147"/>
      <c r="Q3357" s="146"/>
      <c r="T3357" s="146"/>
      <c r="V3357" s="147"/>
      <c r="W3357" s="146"/>
      <c r="Y3357" s="147"/>
    </row>
    <row r="3358" spans="3:25">
      <c r="C3358" s="146"/>
      <c r="E3358" s="147"/>
      <c r="F3358" s="146"/>
      <c r="I3358" s="147"/>
      <c r="Q3358" s="146"/>
      <c r="T3358" s="146"/>
      <c r="V3358" s="147"/>
      <c r="W3358" s="146"/>
      <c r="Y3358" s="147"/>
    </row>
    <row r="3359" spans="3:25">
      <c r="C3359" s="146"/>
      <c r="E3359" s="147"/>
      <c r="F3359" s="146"/>
      <c r="I3359" s="147"/>
      <c r="Q3359" s="146"/>
      <c r="T3359" s="146"/>
      <c r="V3359" s="147"/>
      <c r="W3359" s="146"/>
      <c r="Y3359" s="147"/>
    </row>
    <row r="3360" spans="3:25">
      <c r="C3360" s="146"/>
      <c r="E3360" s="147"/>
      <c r="F3360" s="146"/>
      <c r="I3360" s="147"/>
      <c r="Q3360" s="146"/>
      <c r="T3360" s="146"/>
      <c r="V3360" s="147"/>
      <c r="W3360" s="146"/>
      <c r="Y3360" s="147"/>
    </row>
    <row r="3361" spans="3:25">
      <c r="C3361" s="146"/>
      <c r="E3361" s="147"/>
      <c r="F3361" s="146"/>
      <c r="I3361" s="147"/>
      <c r="Q3361" s="146"/>
      <c r="T3361" s="146"/>
      <c r="V3361" s="147"/>
      <c r="W3361" s="146"/>
      <c r="Y3361" s="147"/>
    </row>
    <row r="3362" spans="3:25">
      <c r="C3362" s="146"/>
      <c r="E3362" s="147"/>
      <c r="F3362" s="146"/>
      <c r="I3362" s="147"/>
      <c r="Q3362" s="146"/>
      <c r="T3362" s="146"/>
      <c r="V3362" s="147"/>
      <c r="W3362" s="146"/>
      <c r="Y3362" s="147"/>
    </row>
    <row r="3363" spans="3:25">
      <c r="C3363" s="146"/>
      <c r="E3363" s="147"/>
      <c r="F3363" s="146"/>
      <c r="I3363" s="147"/>
      <c r="Q3363" s="146"/>
      <c r="T3363" s="146"/>
      <c r="V3363" s="147"/>
      <c r="W3363" s="146"/>
      <c r="Y3363" s="147"/>
    </row>
    <row r="3364" spans="3:25">
      <c r="C3364" s="146"/>
      <c r="E3364" s="147"/>
      <c r="F3364" s="146"/>
      <c r="I3364" s="147"/>
      <c r="Q3364" s="146"/>
      <c r="T3364" s="146"/>
      <c r="V3364" s="147"/>
      <c r="W3364" s="146"/>
      <c r="Y3364" s="147"/>
    </row>
    <row r="3365" spans="3:25">
      <c r="C3365" s="146"/>
      <c r="E3365" s="147"/>
      <c r="F3365" s="146"/>
      <c r="I3365" s="147"/>
      <c r="Q3365" s="146"/>
      <c r="T3365" s="146"/>
      <c r="V3365" s="147"/>
      <c r="W3365" s="146"/>
      <c r="Y3365" s="147"/>
    </row>
    <row r="3366" spans="3:25">
      <c r="C3366" s="146"/>
      <c r="E3366" s="147"/>
      <c r="F3366" s="146"/>
      <c r="I3366" s="147"/>
      <c r="Q3366" s="146"/>
      <c r="T3366" s="146"/>
      <c r="V3366" s="147"/>
      <c r="W3366" s="146"/>
      <c r="Y3366" s="147"/>
    </row>
    <row r="3367" spans="3:25">
      <c r="C3367" s="146"/>
      <c r="E3367" s="147"/>
      <c r="F3367" s="146"/>
      <c r="I3367" s="147"/>
      <c r="Q3367" s="146"/>
      <c r="T3367" s="146"/>
      <c r="V3367" s="147"/>
      <c r="W3367" s="146"/>
      <c r="Y3367" s="147"/>
    </row>
    <row r="3368" spans="3:25">
      <c r="C3368" s="146"/>
      <c r="E3368" s="147"/>
      <c r="F3368" s="146"/>
      <c r="I3368" s="147"/>
      <c r="Q3368" s="146"/>
      <c r="T3368" s="146"/>
      <c r="V3368" s="147"/>
      <c r="W3368" s="146"/>
      <c r="Y3368" s="147"/>
    </row>
    <row r="3369" spans="3:25">
      <c r="C3369" s="146"/>
      <c r="E3369" s="147"/>
      <c r="F3369" s="146"/>
      <c r="I3369" s="147"/>
      <c r="Q3369" s="146"/>
      <c r="T3369" s="146"/>
      <c r="V3369" s="147"/>
      <c r="W3369" s="146"/>
      <c r="Y3369" s="147"/>
    </row>
    <row r="3370" spans="3:25">
      <c r="C3370" s="146"/>
      <c r="E3370" s="147"/>
      <c r="F3370" s="146"/>
      <c r="I3370" s="147"/>
      <c r="Q3370" s="146"/>
      <c r="T3370" s="146"/>
      <c r="V3370" s="147"/>
      <c r="W3370" s="146"/>
      <c r="Y3370" s="147"/>
    </row>
    <row r="3371" spans="3:25">
      <c r="C3371" s="146"/>
      <c r="E3371" s="147"/>
      <c r="F3371" s="146"/>
      <c r="I3371" s="147"/>
      <c r="Q3371" s="146"/>
      <c r="T3371" s="146"/>
      <c r="V3371" s="147"/>
      <c r="W3371" s="146"/>
      <c r="Y3371" s="147"/>
    </row>
    <row r="3372" spans="3:25">
      <c r="C3372" s="146"/>
      <c r="E3372" s="147"/>
      <c r="F3372" s="146"/>
      <c r="I3372" s="147"/>
      <c r="Q3372" s="146"/>
      <c r="T3372" s="146"/>
      <c r="V3372" s="147"/>
      <c r="W3372" s="146"/>
      <c r="Y3372" s="147"/>
    </row>
    <row r="3373" spans="3:25">
      <c r="C3373" s="146"/>
      <c r="E3373" s="147"/>
      <c r="F3373" s="146"/>
      <c r="I3373" s="147"/>
      <c r="Q3373" s="146"/>
      <c r="T3373" s="146"/>
      <c r="V3373" s="147"/>
      <c r="W3373" s="146"/>
      <c r="Y3373" s="147"/>
    </row>
    <row r="3374" spans="3:25">
      <c r="C3374" s="146"/>
      <c r="E3374" s="147"/>
      <c r="F3374" s="146"/>
      <c r="I3374" s="147"/>
      <c r="Q3374" s="146"/>
      <c r="T3374" s="146"/>
      <c r="V3374" s="147"/>
      <c r="W3374" s="146"/>
      <c r="Y3374" s="147"/>
    </row>
    <row r="3375" spans="3:25">
      <c r="C3375" s="146"/>
      <c r="E3375" s="147"/>
      <c r="F3375" s="146"/>
      <c r="I3375" s="147"/>
      <c r="Q3375" s="146"/>
      <c r="T3375" s="146"/>
      <c r="V3375" s="147"/>
      <c r="W3375" s="146"/>
      <c r="Y3375" s="147"/>
    </row>
    <row r="3376" spans="3:25">
      <c r="C3376" s="146"/>
      <c r="E3376" s="147"/>
      <c r="F3376" s="146"/>
      <c r="I3376" s="147"/>
      <c r="Q3376" s="146"/>
      <c r="T3376" s="146"/>
      <c r="V3376" s="147"/>
      <c r="W3376" s="146"/>
      <c r="Y3376" s="147"/>
    </row>
    <row r="3377" spans="3:25">
      <c r="C3377" s="146"/>
      <c r="E3377" s="147"/>
      <c r="F3377" s="146"/>
      <c r="I3377" s="147"/>
      <c r="Q3377" s="146"/>
      <c r="T3377" s="146"/>
      <c r="V3377" s="147"/>
      <c r="W3377" s="146"/>
      <c r="Y3377" s="147"/>
    </row>
    <row r="3378" spans="3:25">
      <c r="C3378" s="146"/>
      <c r="E3378" s="147"/>
      <c r="F3378" s="146"/>
      <c r="I3378" s="147"/>
      <c r="Q3378" s="146"/>
      <c r="T3378" s="146"/>
      <c r="V3378" s="147"/>
      <c r="W3378" s="146"/>
      <c r="Y3378" s="147"/>
    </row>
    <row r="3379" spans="3:25">
      <c r="C3379" s="146"/>
      <c r="E3379" s="147"/>
      <c r="F3379" s="146"/>
      <c r="I3379" s="147"/>
      <c r="Q3379" s="146"/>
      <c r="T3379" s="146"/>
      <c r="V3379" s="147"/>
      <c r="W3379" s="146"/>
      <c r="Y3379" s="147"/>
    </row>
    <row r="3380" spans="3:25">
      <c r="C3380" s="146"/>
      <c r="E3380" s="147"/>
      <c r="F3380" s="146"/>
      <c r="I3380" s="147"/>
      <c r="Q3380" s="146"/>
      <c r="T3380" s="146"/>
      <c r="V3380" s="147"/>
      <c r="W3380" s="146"/>
      <c r="Y3380" s="147"/>
    </row>
    <row r="3381" spans="3:25">
      <c r="C3381" s="146"/>
      <c r="E3381" s="147"/>
      <c r="F3381" s="146"/>
      <c r="I3381" s="147"/>
      <c r="Q3381" s="146"/>
      <c r="T3381" s="146"/>
      <c r="V3381" s="147"/>
      <c r="W3381" s="146"/>
      <c r="Y3381" s="147"/>
    </row>
    <row r="3382" spans="3:25">
      <c r="C3382" s="146"/>
      <c r="E3382" s="147"/>
      <c r="F3382" s="146"/>
      <c r="I3382" s="147"/>
      <c r="Q3382" s="146"/>
      <c r="T3382" s="146"/>
      <c r="V3382" s="147"/>
      <c r="W3382" s="146"/>
      <c r="Y3382" s="147"/>
    </row>
    <row r="3383" spans="3:25">
      <c r="C3383" s="146"/>
      <c r="E3383" s="147"/>
      <c r="F3383" s="146"/>
      <c r="I3383" s="147"/>
      <c r="Q3383" s="146"/>
      <c r="T3383" s="146"/>
      <c r="V3383" s="147"/>
      <c r="W3383" s="146"/>
      <c r="Y3383" s="147"/>
    </row>
    <row r="3384" spans="3:25">
      <c r="C3384" s="146"/>
      <c r="E3384" s="147"/>
      <c r="F3384" s="146"/>
      <c r="I3384" s="147"/>
      <c r="Q3384" s="146"/>
      <c r="T3384" s="146"/>
      <c r="V3384" s="147"/>
      <c r="W3384" s="146"/>
      <c r="Y3384" s="147"/>
    </row>
    <row r="3385" spans="3:25">
      <c r="C3385" s="146"/>
      <c r="E3385" s="147"/>
      <c r="F3385" s="146"/>
      <c r="I3385" s="147"/>
      <c r="Q3385" s="146"/>
      <c r="T3385" s="146"/>
      <c r="V3385" s="147"/>
      <c r="W3385" s="146"/>
      <c r="Y3385" s="147"/>
    </row>
    <row r="3386" spans="3:25">
      <c r="C3386" s="146"/>
      <c r="E3386" s="147"/>
      <c r="F3386" s="146"/>
      <c r="I3386" s="147"/>
      <c r="Q3386" s="146"/>
      <c r="T3386" s="146"/>
      <c r="V3386" s="147"/>
      <c r="W3386" s="146"/>
      <c r="Y3386" s="147"/>
    </row>
    <row r="3387" spans="3:25">
      <c r="C3387" s="146"/>
      <c r="E3387" s="147"/>
      <c r="F3387" s="146"/>
      <c r="I3387" s="147"/>
      <c r="Q3387" s="146"/>
      <c r="T3387" s="146"/>
      <c r="V3387" s="147"/>
      <c r="W3387" s="146"/>
      <c r="Y3387" s="147"/>
    </row>
    <row r="3388" spans="3:25">
      <c r="C3388" s="146"/>
      <c r="E3388" s="147"/>
      <c r="F3388" s="146"/>
      <c r="I3388" s="147"/>
      <c r="Q3388" s="146"/>
      <c r="T3388" s="146"/>
      <c r="V3388" s="147"/>
      <c r="W3388" s="146"/>
      <c r="Y3388" s="147"/>
    </row>
    <row r="3389" spans="3:25">
      <c r="C3389" s="146"/>
      <c r="E3389" s="147"/>
      <c r="F3389" s="146"/>
      <c r="I3389" s="147"/>
      <c r="Q3389" s="146"/>
      <c r="T3389" s="146"/>
      <c r="V3389" s="147"/>
      <c r="W3389" s="146"/>
      <c r="Y3389" s="147"/>
    </row>
    <row r="3390" spans="3:25">
      <c r="C3390" s="146"/>
      <c r="E3390" s="147"/>
      <c r="F3390" s="146"/>
      <c r="I3390" s="147"/>
      <c r="Q3390" s="146"/>
      <c r="T3390" s="146"/>
      <c r="V3390" s="147"/>
      <c r="W3390" s="146"/>
      <c r="Y3390" s="147"/>
    </row>
    <row r="3391" spans="3:25">
      <c r="C3391" s="146"/>
      <c r="E3391" s="147"/>
      <c r="F3391" s="146"/>
      <c r="I3391" s="147"/>
      <c r="Q3391" s="146"/>
      <c r="T3391" s="146"/>
      <c r="V3391" s="147"/>
      <c r="W3391" s="146"/>
      <c r="Y3391" s="147"/>
    </row>
    <row r="3392" spans="3:25">
      <c r="C3392" s="146"/>
      <c r="E3392" s="147"/>
      <c r="F3392" s="146"/>
      <c r="I3392" s="147"/>
      <c r="Q3392" s="146"/>
      <c r="T3392" s="146"/>
      <c r="V3392" s="147"/>
      <c r="W3392" s="146"/>
      <c r="Y3392" s="147"/>
    </row>
    <row r="3393" spans="3:25">
      <c r="C3393" s="146"/>
      <c r="E3393" s="147"/>
      <c r="F3393" s="146"/>
      <c r="I3393" s="147"/>
      <c r="Q3393" s="146"/>
      <c r="T3393" s="146"/>
      <c r="V3393" s="147"/>
      <c r="W3393" s="146"/>
      <c r="Y3393" s="147"/>
    </row>
    <row r="3394" spans="3:25">
      <c r="C3394" s="146"/>
      <c r="E3394" s="147"/>
      <c r="F3394" s="146"/>
      <c r="I3394" s="147"/>
      <c r="Q3394" s="146"/>
      <c r="T3394" s="146"/>
      <c r="V3394" s="147"/>
      <c r="W3394" s="146"/>
      <c r="Y3394" s="147"/>
    </row>
    <row r="3395" spans="3:25">
      <c r="C3395" s="146"/>
      <c r="E3395" s="147"/>
      <c r="F3395" s="146"/>
      <c r="I3395" s="147"/>
      <c r="Q3395" s="146"/>
      <c r="T3395" s="146"/>
      <c r="V3395" s="147"/>
      <c r="W3395" s="146"/>
      <c r="Y3395" s="147"/>
    </row>
    <row r="3396" spans="3:25">
      <c r="C3396" s="146"/>
      <c r="E3396" s="147"/>
      <c r="F3396" s="146"/>
      <c r="I3396" s="147"/>
      <c r="Q3396" s="146"/>
      <c r="T3396" s="146"/>
      <c r="V3396" s="147"/>
      <c r="W3396" s="146"/>
      <c r="Y3396" s="147"/>
    </row>
    <row r="3397" spans="3:25">
      <c r="C3397" s="146"/>
      <c r="E3397" s="147"/>
      <c r="F3397" s="146"/>
      <c r="I3397" s="147"/>
      <c r="Q3397" s="146"/>
      <c r="T3397" s="146"/>
      <c r="V3397" s="147"/>
      <c r="W3397" s="146"/>
      <c r="Y3397" s="147"/>
    </row>
    <row r="3398" spans="3:25">
      <c r="C3398" s="146"/>
      <c r="E3398" s="147"/>
      <c r="F3398" s="146"/>
      <c r="I3398" s="147"/>
      <c r="Q3398" s="146"/>
      <c r="T3398" s="146"/>
      <c r="V3398" s="147"/>
      <c r="W3398" s="146"/>
      <c r="Y3398" s="147"/>
    </row>
    <row r="3399" spans="3:25">
      <c r="C3399" s="146"/>
      <c r="E3399" s="147"/>
      <c r="F3399" s="146"/>
      <c r="I3399" s="147"/>
      <c r="Q3399" s="146"/>
      <c r="T3399" s="146"/>
      <c r="V3399" s="147"/>
      <c r="W3399" s="146"/>
      <c r="Y3399" s="147"/>
    </row>
    <row r="3400" spans="3:25">
      <c r="C3400" s="146"/>
      <c r="E3400" s="147"/>
      <c r="F3400" s="146"/>
      <c r="I3400" s="147"/>
      <c r="Q3400" s="146"/>
      <c r="T3400" s="146"/>
      <c r="V3400" s="147"/>
      <c r="W3400" s="146"/>
      <c r="Y3400" s="147"/>
    </row>
    <row r="3401" spans="3:25">
      <c r="C3401" s="146"/>
      <c r="E3401" s="147"/>
      <c r="F3401" s="146"/>
      <c r="I3401" s="147"/>
      <c r="Q3401" s="146"/>
      <c r="T3401" s="146"/>
      <c r="V3401" s="147"/>
      <c r="W3401" s="146"/>
      <c r="Y3401" s="147"/>
    </row>
    <row r="3402" spans="3:25">
      <c r="C3402" s="146"/>
      <c r="E3402" s="147"/>
      <c r="F3402" s="146"/>
      <c r="I3402" s="147"/>
      <c r="Q3402" s="146"/>
      <c r="T3402" s="146"/>
      <c r="V3402" s="147"/>
      <c r="W3402" s="146"/>
      <c r="Y3402" s="147"/>
    </row>
    <row r="3403" spans="3:25">
      <c r="C3403" s="146"/>
      <c r="E3403" s="147"/>
      <c r="F3403" s="146"/>
      <c r="I3403" s="147"/>
      <c r="Q3403" s="146"/>
      <c r="T3403" s="146"/>
      <c r="V3403" s="147"/>
      <c r="W3403" s="146"/>
      <c r="Y3403" s="147"/>
    </row>
    <row r="3404" spans="3:25">
      <c r="C3404" s="146"/>
      <c r="E3404" s="147"/>
      <c r="F3404" s="146"/>
      <c r="I3404" s="147"/>
      <c r="Q3404" s="146"/>
      <c r="T3404" s="146"/>
      <c r="V3404" s="147"/>
      <c r="W3404" s="146"/>
      <c r="Y3404" s="147"/>
    </row>
    <row r="3405" spans="3:25">
      <c r="C3405" s="146"/>
      <c r="E3405" s="147"/>
      <c r="F3405" s="146"/>
      <c r="I3405" s="147"/>
      <c r="Q3405" s="146"/>
      <c r="T3405" s="146"/>
      <c r="V3405" s="147"/>
      <c r="W3405" s="146"/>
      <c r="Y3405" s="147"/>
    </row>
    <row r="3406" spans="3:25">
      <c r="C3406" s="146"/>
      <c r="E3406" s="147"/>
      <c r="F3406" s="146"/>
      <c r="I3406" s="147"/>
      <c r="Q3406" s="146"/>
      <c r="T3406" s="146"/>
      <c r="V3406" s="147"/>
      <c r="W3406" s="146"/>
      <c r="Y3406" s="147"/>
    </row>
    <row r="3407" spans="3:25">
      <c r="C3407" s="146"/>
      <c r="E3407" s="147"/>
      <c r="F3407" s="146"/>
      <c r="I3407" s="147"/>
      <c r="Q3407" s="146"/>
      <c r="T3407" s="146"/>
      <c r="V3407" s="147"/>
      <c r="W3407" s="146"/>
      <c r="Y3407" s="147"/>
    </row>
    <row r="3408" spans="3:25">
      <c r="C3408" s="146"/>
      <c r="E3408" s="147"/>
      <c r="F3408" s="146"/>
      <c r="I3408" s="147"/>
      <c r="Q3408" s="146"/>
      <c r="T3408" s="146"/>
      <c r="V3408" s="147"/>
      <c r="W3408" s="146"/>
      <c r="Y3408" s="147"/>
    </row>
    <row r="3409" spans="3:25">
      <c r="C3409" s="146"/>
      <c r="E3409" s="147"/>
      <c r="F3409" s="146"/>
      <c r="I3409" s="147"/>
      <c r="Q3409" s="146"/>
      <c r="T3409" s="146"/>
      <c r="V3409" s="147"/>
      <c r="W3409" s="146"/>
      <c r="Y3409" s="147"/>
    </row>
    <row r="3410" spans="3:25">
      <c r="C3410" s="146"/>
      <c r="E3410" s="147"/>
      <c r="F3410" s="146"/>
      <c r="I3410" s="147"/>
      <c r="Q3410" s="146"/>
      <c r="T3410" s="146"/>
      <c r="V3410" s="147"/>
      <c r="W3410" s="146"/>
      <c r="Y3410" s="147"/>
    </row>
    <row r="3411" spans="3:25">
      <c r="C3411" s="146"/>
      <c r="E3411" s="147"/>
      <c r="F3411" s="146"/>
      <c r="I3411" s="147"/>
      <c r="Q3411" s="146"/>
      <c r="T3411" s="146"/>
      <c r="V3411" s="147"/>
      <c r="W3411" s="146"/>
      <c r="Y3411" s="147"/>
    </row>
    <row r="3412" spans="3:25">
      <c r="C3412" s="146"/>
      <c r="E3412" s="147"/>
      <c r="F3412" s="146"/>
      <c r="I3412" s="147"/>
      <c r="Q3412" s="146"/>
      <c r="T3412" s="146"/>
      <c r="V3412" s="147"/>
      <c r="W3412" s="146"/>
      <c r="Y3412" s="147"/>
    </row>
    <row r="3413" spans="3:25">
      <c r="C3413" s="146"/>
      <c r="E3413" s="147"/>
      <c r="F3413" s="146"/>
      <c r="I3413" s="147"/>
      <c r="Q3413" s="146"/>
      <c r="T3413" s="146"/>
      <c r="V3413" s="147"/>
      <c r="W3413" s="146"/>
      <c r="Y3413" s="147"/>
    </row>
    <row r="3414" spans="3:25">
      <c r="C3414" s="146"/>
      <c r="E3414" s="147"/>
      <c r="F3414" s="146"/>
      <c r="I3414" s="147"/>
      <c r="Q3414" s="146"/>
      <c r="T3414" s="146"/>
      <c r="V3414" s="147"/>
      <c r="W3414" s="146"/>
      <c r="Y3414" s="147"/>
    </row>
    <row r="3415" spans="3:25">
      <c r="C3415" s="146"/>
      <c r="E3415" s="147"/>
      <c r="F3415" s="146"/>
      <c r="I3415" s="147"/>
      <c r="Q3415" s="146"/>
      <c r="T3415" s="146"/>
      <c r="V3415" s="147"/>
      <c r="W3415" s="146"/>
      <c r="Y3415" s="147"/>
    </row>
    <row r="3416" spans="3:25">
      <c r="C3416" s="146"/>
      <c r="E3416" s="147"/>
      <c r="F3416" s="146"/>
      <c r="I3416" s="147"/>
      <c r="Q3416" s="146"/>
      <c r="T3416" s="146"/>
      <c r="V3416" s="147"/>
      <c r="W3416" s="146"/>
      <c r="Y3416" s="147"/>
    </row>
    <row r="3417" spans="3:25">
      <c r="C3417" s="146"/>
      <c r="E3417" s="147"/>
      <c r="F3417" s="146"/>
      <c r="I3417" s="147"/>
      <c r="Q3417" s="146"/>
      <c r="T3417" s="146"/>
      <c r="V3417" s="147"/>
      <c r="W3417" s="146"/>
      <c r="Y3417" s="147"/>
    </row>
    <row r="3418" spans="3:25">
      <c r="C3418" s="146"/>
      <c r="E3418" s="147"/>
      <c r="F3418" s="146"/>
      <c r="I3418" s="147"/>
      <c r="Q3418" s="146"/>
      <c r="T3418" s="146"/>
      <c r="V3418" s="147"/>
      <c r="W3418" s="146"/>
      <c r="Y3418" s="147"/>
    </row>
    <row r="3419" spans="3:25">
      <c r="C3419" s="146"/>
      <c r="E3419" s="147"/>
      <c r="F3419" s="146"/>
      <c r="I3419" s="147"/>
      <c r="Q3419" s="146"/>
      <c r="T3419" s="146"/>
      <c r="V3419" s="147"/>
      <c r="W3419" s="146"/>
      <c r="Y3419" s="147"/>
    </row>
    <row r="3420" spans="3:25">
      <c r="C3420" s="146"/>
      <c r="E3420" s="147"/>
      <c r="F3420" s="146"/>
      <c r="I3420" s="147"/>
      <c r="Q3420" s="146"/>
      <c r="T3420" s="146"/>
      <c r="V3420" s="147"/>
      <c r="W3420" s="146"/>
      <c r="Y3420" s="147"/>
    </row>
    <row r="3421" spans="3:25">
      <c r="C3421" s="146"/>
      <c r="E3421" s="147"/>
      <c r="F3421" s="146"/>
      <c r="I3421" s="147"/>
      <c r="Q3421" s="146"/>
      <c r="T3421" s="146"/>
      <c r="V3421" s="147"/>
      <c r="W3421" s="146"/>
      <c r="Y3421" s="147"/>
    </row>
    <row r="3422" spans="3:25">
      <c r="C3422" s="146"/>
      <c r="E3422" s="147"/>
      <c r="F3422" s="146"/>
      <c r="I3422" s="147"/>
      <c r="Q3422" s="146"/>
      <c r="T3422" s="146"/>
      <c r="V3422" s="147"/>
      <c r="W3422" s="146"/>
      <c r="Y3422" s="147"/>
    </row>
    <row r="3423" spans="3:25">
      <c r="C3423" s="146"/>
      <c r="E3423" s="147"/>
      <c r="F3423" s="146"/>
      <c r="I3423" s="147"/>
      <c r="Q3423" s="146"/>
      <c r="T3423" s="146"/>
      <c r="V3423" s="147"/>
      <c r="W3423" s="146"/>
      <c r="Y3423" s="147"/>
    </row>
    <row r="3424" spans="3:25">
      <c r="C3424" s="146"/>
      <c r="E3424" s="147"/>
      <c r="F3424" s="146"/>
      <c r="I3424" s="147"/>
      <c r="Q3424" s="146"/>
      <c r="T3424" s="146"/>
      <c r="V3424" s="147"/>
      <c r="W3424" s="146"/>
      <c r="Y3424" s="147"/>
    </row>
    <row r="3425" spans="3:25">
      <c r="C3425" s="146"/>
      <c r="E3425" s="147"/>
      <c r="F3425" s="146"/>
      <c r="I3425" s="147"/>
      <c r="Q3425" s="146"/>
      <c r="T3425" s="146"/>
      <c r="V3425" s="147"/>
      <c r="W3425" s="146"/>
      <c r="Y3425" s="147"/>
    </row>
    <row r="3426" spans="3:25">
      <c r="C3426" s="146"/>
      <c r="E3426" s="147"/>
      <c r="F3426" s="146"/>
      <c r="I3426" s="147"/>
      <c r="Q3426" s="146"/>
      <c r="T3426" s="146"/>
      <c r="V3426" s="147"/>
      <c r="W3426" s="146"/>
      <c r="Y3426" s="147"/>
    </row>
    <row r="3427" spans="3:25">
      <c r="C3427" s="146"/>
      <c r="E3427" s="147"/>
      <c r="F3427" s="146"/>
      <c r="I3427" s="147"/>
      <c r="Q3427" s="146"/>
      <c r="T3427" s="146"/>
      <c r="V3427" s="147"/>
      <c r="W3427" s="146"/>
      <c r="Y3427" s="147"/>
    </row>
    <row r="3428" spans="3:25">
      <c r="C3428" s="146"/>
      <c r="E3428" s="147"/>
      <c r="F3428" s="146"/>
      <c r="I3428" s="147"/>
      <c r="Q3428" s="146"/>
      <c r="T3428" s="146"/>
      <c r="V3428" s="147"/>
      <c r="W3428" s="146"/>
      <c r="Y3428" s="147"/>
    </row>
    <row r="3429" spans="3:25">
      <c r="C3429" s="146"/>
      <c r="E3429" s="147"/>
      <c r="F3429" s="146"/>
      <c r="I3429" s="147"/>
      <c r="Q3429" s="146"/>
      <c r="T3429" s="146"/>
      <c r="V3429" s="147"/>
      <c r="W3429" s="146"/>
      <c r="Y3429" s="147"/>
    </row>
    <row r="3430" spans="3:25">
      <c r="C3430" s="146"/>
      <c r="E3430" s="147"/>
      <c r="F3430" s="146"/>
      <c r="I3430" s="147"/>
      <c r="Q3430" s="146"/>
      <c r="T3430" s="146"/>
      <c r="V3430" s="147"/>
      <c r="W3430" s="146"/>
      <c r="Y3430" s="147"/>
    </row>
    <row r="3431" spans="3:25">
      <c r="C3431" s="146"/>
      <c r="E3431" s="147"/>
      <c r="F3431" s="146"/>
      <c r="I3431" s="147"/>
      <c r="Q3431" s="146"/>
      <c r="T3431" s="146"/>
      <c r="V3431" s="147"/>
      <c r="W3431" s="146"/>
      <c r="Y3431" s="147"/>
    </row>
    <row r="3432" spans="3:25">
      <c r="C3432" s="146"/>
      <c r="E3432" s="147"/>
      <c r="F3432" s="146"/>
      <c r="I3432" s="147"/>
      <c r="Q3432" s="146"/>
      <c r="T3432" s="146"/>
      <c r="V3432" s="147"/>
      <c r="W3432" s="146"/>
      <c r="Y3432" s="147"/>
    </row>
    <row r="3433" spans="3:25">
      <c r="C3433" s="146"/>
      <c r="E3433" s="147"/>
      <c r="F3433" s="146"/>
      <c r="I3433" s="147"/>
      <c r="Q3433" s="146"/>
      <c r="T3433" s="146"/>
      <c r="V3433" s="147"/>
      <c r="W3433" s="146"/>
      <c r="Y3433" s="147"/>
    </row>
    <row r="3434" spans="3:25">
      <c r="C3434" s="146"/>
      <c r="E3434" s="147"/>
      <c r="F3434" s="146"/>
      <c r="I3434" s="147"/>
      <c r="Q3434" s="146"/>
      <c r="T3434" s="146"/>
      <c r="V3434" s="147"/>
      <c r="W3434" s="146"/>
      <c r="Y3434" s="147"/>
    </row>
    <row r="3435" spans="3:25">
      <c r="C3435" s="146"/>
      <c r="E3435" s="147"/>
      <c r="F3435" s="146"/>
      <c r="I3435" s="147"/>
      <c r="Q3435" s="146"/>
      <c r="T3435" s="146"/>
      <c r="V3435" s="147"/>
      <c r="W3435" s="146"/>
      <c r="Y3435" s="147"/>
    </row>
    <row r="3436" spans="3:25">
      <c r="C3436" s="146"/>
      <c r="E3436" s="147"/>
      <c r="F3436" s="146"/>
      <c r="I3436" s="147"/>
      <c r="Q3436" s="146"/>
      <c r="T3436" s="146"/>
      <c r="V3436" s="147"/>
      <c r="W3436" s="146"/>
      <c r="Y3436" s="147"/>
    </row>
    <row r="3437" spans="3:25">
      <c r="C3437" s="146"/>
      <c r="E3437" s="147"/>
      <c r="F3437" s="146"/>
      <c r="I3437" s="147"/>
      <c r="Q3437" s="146"/>
      <c r="T3437" s="146"/>
      <c r="V3437" s="147"/>
      <c r="W3437" s="146"/>
      <c r="Y3437" s="147"/>
    </row>
    <row r="3438" spans="3:25">
      <c r="C3438" s="146"/>
      <c r="E3438" s="147"/>
      <c r="F3438" s="146"/>
      <c r="I3438" s="147"/>
      <c r="Q3438" s="146"/>
      <c r="T3438" s="146"/>
      <c r="V3438" s="147"/>
      <c r="W3438" s="146"/>
      <c r="Y3438" s="147"/>
    </row>
    <row r="3439" spans="3:25">
      <c r="C3439" s="146"/>
      <c r="E3439" s="147"/>
      <c r="F3439" s="146"/>
      <c r="I3439" s="147"/>
      <c r="Q3439" s="146"/>
      <c r="T3439" s="146"/>
      <c r="V3439" s="147"/>
      <c r="W3439" s="146"/>
      <c r="Y3439" s="147"/>
    </row>
    <row r="3440" spans="3:25">
      <c r="C3440" s="146"/>
      <c r="E3440" s="147"/>
      <c r="F3440" s="146"/>
      <c r="I3440" s="147"/>
      <c r="Q3440" s="146"/>
      <c r="T3440" s="146"/>
      <c r="V3440" s="147"/>
      <c r="W3440" s="146"/>
      <c r="Y3440" s="147"/>
    </row>
    <row r="3441" spans="3:25">
      <c r="C3441" s="146"/>
      <c r="E3441" s="147"/>
      <c r="F3441" s="146"/>
      <c r="I3441" s="147"/>
      <c r="Q3441" s="146"/>
      <c r="T3441" s="146"/>
      <c r="V3441" s="147"/>
      <c r="W3441" s="146"/>
      <c r="Y3441" s="147"/>
    </row>
    <row r="3442" spans="3:25">
      <c r="C3442" s="146"/>
      <c r="E3442" s="147"/>
      <c r="F3442" s="146"/>
      <c r="I3442" s="147"/>
      <c r="Q3442" s="146"/>
      <c r="T3442" s="146"/>
      <c r="V3442" s="147"/>
      <c r="W3442" s="146"/>
      <c r="Y3442" s="147"/>
    </row>
    <row r="3443" spans="3:25">
      <c r="C3443" s="146"/>
      <c r="E3443" s="147"/>
      <c r="F3443" s="146"/>
      <c r="I3443" s="147"/>
      <c r="Q3443" s="146"/>
      <c r="T3443" s="146"/>
      <c r="V3443" s="147"/>
      <c r="W3443" s="146"/>
      <c r="Y3443" s="147"/>
    </row>
    <row r="3444" spans="3:25">
      <c r="C3444" s="146"/>
      <c r="E3444" s="147"/>
      <c r="F3444" s="146"/>
      <c r="I3444" s="147"/>
      <c r="Q3444" s="146"/>
      <c r="T3444" s="146"/>
      <c r="V3444" s="147"/>
      <c r="W3444" s="146"/>
      <c r="Y3444" s="147"/>
    </row>
    <row r="3445" spans="3:25">
      <c r="C3445" s="146"/>
      <c r="E3445" s="147"/>
      <c r="F3445" s="146"/>
      <c r="I3445" s="147"/>
      <c r="Q3445" s="146"/>
      <c r="T3445" s="146"/>
      <c r="V3445" s="147"/>
      <c r="W3445" s="146"/>
      <c r="Y3445" s="147"/>
    </row>
    <row r="3446" spans="3:25">
      <c r="C3446" s="146"/>
      <c r="E3446" s="147"/>
      <c r="F3446" s="146"/>
      <c r="I3446" s="147"/>
      <c r="Q3446" s="146"/>
      <c r="T3446" s="146"/>
      <c r="V3446" s="147"/>
      <c r="W3446" s="146"/>
      <c r="Y3446" s="147"/>
    </row>
    <row r="3447" spans="3:25">
      <c r="C3447" s="146"/>
      <c r="E3447" s="147"/>
      <c r="F3447" s="146"/>
      <c r="I3447" s="147"/>
      <c r="Q3447" s="146"/>
      <c r="T3447" s="146"/>
      <c r="V3447" s="147"/>
      <c r="W3447" s="146"/>
      <c r="Y3447" s="147"/>
    </row>
    <row r="3448" spans="3:25">
      <c r="C3448" s="146"/>
      <c r="E3448" s="147"/>
      <c r="F3448" s="146"/>
      <c r="I3448" s="147"/>
      <c r="Q3448" s="146"/>
      <c r="T3448" s="146"/>
      <c r="V3448" s="147"/>
      <c r="W3448" s="146"/>
      <c r="Y3448" s="147"/>
    </row>
    <row r="3449" spans="3:25">
      <c r="C3449" s="146"/>
      <c r="E3449" s="147"/>
      <c r="F3449" s="146"/>
      <c r="I3449" s="147"/>
      <c r="Q3449" s="146"/>
      <c r="T3449" s="146"/>
      <c r="V3449" s="147"/>
      <c r="W3449" s="146"/>
      <c r="Y3449" s="147"/>
    </row>
    <row r="3450" spans="3:25">
      <c r="C3450" s="146"/>
      <c r="E3450" s="147"/>
      <c r="F3450" s="146"/>
      <c r="I3450" s="147"/>
      <c r="Q3450" s="146"/>
      <c r="T3450" s="146"/>
      <c r="V3450" s="147"/>
      <c r="W3450" s="146"/>
      <c r="Y3450" s="147"/>
    </row>
    <row r="3451" spans="3:25">
      <c r="C3451" s="146"/>
      <c r="E3451" s="147"/>
      <c r="F3451" s="146"/>
      <c r="I3451" s="147"/>
      <c r="Q3451" s="146"/>
      <c r="T3451" s="146"/>
      <c r="V3451" s="147"/>
      <c r="W3451" s="146"/>
      <c r="Y3451" s="147"/>
    </row>
    <row r="3452" spans="3:25">
      <c r="C3452" s="146"/>
      <c r="E3452" s="147"/>
      <c r="F3452" s="146"/>
      <c r="I3452" s="147"/>
      <c r="Q3452" s="146"/>
      <c r="T3452" s="146"/>
      <c r="V3452" s="147"/>
      <c r="W3452" s="146"/>
      <c r="Y3452" s="147"/>
    </row>
    <row r="3453" spans="3:25">
      <c r="C3453" s="146"/>
      <c r="E3453" s="147"/>
      <c r="F3453" s="146"/>
      <c r="I3453" s="147"/>
      <c r="Q3453" s="146"/>
      <c r="T3453" s="146"/>
      <c r="V3453" s="147"/>
      <c r="W3453" s="146"/>
      <c r="Y3453" s="147"/>
    </row>
    <row r="3454" spans="3:25">
      <c r="C3454" s="146"/>
      <c r="E3454" s="147"/>
      <c r="F3454" s="146"/>
      <c r="I3454" s="147"/>
      <c r="Q3454" s="146"/>
      <c r="T3454" s="146"/>
      <c r="V3454" s="147"/>
      <c r="W3454" s="146"/>
      <c r="Y3454" s="147"/>
    </row>
    <row r="3455" spans="3:25">
      <c r="C3455" s="146"/>
      <c r="E3455" s="147"/>
      <c r="F3455" s="146"/>
      <c r="I3455" s="147"/>
      <c r="Q3455" s="146"/>
      <c r="T3455" s="146"/>
      <c r="V3455" s="147"/>
      <c r="W3455" s="146"/>
      <c r="Y3455" s="147"/>
    </row>
    <row r="3456" spans="3:25">
      <c r="C3456" s="146"/>
      <c r="E3456" s="147"/>
      <c r="F3456" s="146"/>
      <c r="I3456" s="147"/>
      <c r="Q3456" s="146"/>
      <c r="T3456" s="146"/>
      <c r="V3456" s="147"/>
      <c r="W3456" s="146"/>
      <c r="Y3456" s="147"/>
    </row>
    <row r="3457" spans="3:25">
      <c r="C3457" s="146"/>
      <c r="E3457" s="147"/>
      <c r="F3457" s="146"/>
      <c r="I3457" s="147"/>
      <c r="Q3457" s="146"/>
      <c r="T3457" s="146"/>
      <c r="V3457" s="147"/>
      <c r="W3457" s="146"/>
      <c r="Y3457" s="147"/>
    </row>
    <row r="3458" spans="3:25">
      <c r="C3458" s="146"/>
      <c r="E3458" s="147"/>
      <c r="F3458" s="146"/>
      <c r="I3458" s="147"/>
      <c r="Q3458" s="146"/>
      <c r="T3458" s="146"/>
      <c r="V3458" s="147"/>
      <c r="W3458" s="146"/>
      <c r="Y3458" s="147"/>
    </row>
    <row r="3459" spans="3:25">
      <c r="C3459" s="146"/>
      <c r="E3459" s="147"/>
      <c r="F3459" s="146"/>
      <c r="I3459" s="147"/>
      <c r="Q3459" s="146"/>
      <c r="T3459" s="146"/>
      <c r="V3459" s="147"/>
      <c r="W3459" s="146"/>
      <c r="Y3459" s="147"/>
    </row>
    <row r="3460" spans="3:25">
      <c r="C3460" s="146"/>
      <c r="E3460" s="147"/>
      <c r="F3460" s="146"/>
      <c r="I3460" s="147"/>
      <c r="Q3460" s="146"/>
      <c r="T3460" s="146"/>
      <c r="V3460" s="147"/>
      <c r="W3460" s="146"/>
      <c r="Y3460" s="147"/>
    </row>
    <row r="3461" spans="3:25">
      <c r="C3461" s="146"/>
      <c r="E3461" s="147"/>
      <c r="F3461" s="146"/>
      <c r="I3461" s="147"/>
      <c r="Q3461" s="146"/>
      <c r="T3461" s="146"/>
      <c r="V3461" s="147"/>
      <c r="W3461" s="146"/>
      <c r="Y3461" s="147"/>
    </row>
    <row r="3462" spans="3:25">
      <c r="C3462" s="146"/>
      <c r="E3462" s="147"/>
      <c r="F3462" s="146"/>
      <c r="I3462" s="147"/>
      <c r="Q3462" s="146"/>
      <c r="T3462" s="146"/>
      <c r="V3462" s="147"/>
      <c r="W3462" s="146"/>
      <c r="Y3462" s="147"/>
    </row>
    <row r="3463" spans="3:25">
      <c r="C3463" s="146"/>
      <c r="E3463" s="147"/>
      <c r="F3463" s="146"/>
      <c r="I3463" s="147"/>
      <c r="Q3463" s="146"/>
      <c r="T3463" s="146"/>
      <c r="V3463" s="147"/>
      <c r="W3463" s="146"/>
      <c r="Y3463" s="147"/>
    </row>
    <row r="3464" spans="3:25">
      <c r="C3464" s="146"/>
      <c r="E3464" s="147"/>
      <c r="F3464" s="146"/>
      <c r="I3464" s="147"/>
      <c r="Q3464" s="146"/>
      <c r="T3464" s="146"/>
      <c r="V3464" s="147"/>
      <c r="W3464" s="146"/>
      <c r="Y3464" s="147"/>
    </row>
    <row r="3465" spans="3:25">
      <c r="C3465" s="146"/>
      <c r="E3465" s="147"/>
      <c r="F3465" s="146"/>
      <c r="I3465" s="147"/>
      <c r="Q3465" s="146"/>
      <c r="T3465" s="146"/>
      <c r="V3465" s="147"/>
      <c r="W3465" s="146"/>
      <c r="Y3465" s="147"/>
    </row>
    <row r="3466" spans="3:25">
      <c r="C3466" s="146"/>
      <c r="E3466" s="147"/>
      <c r="F3466" s="146"/>
      <c r="I3466" s="147"/>
      <c r="Q3466" s="146"/>
      <c r="T3466" s="146"/>
      <c r="V3466" s="147"/>
      <c r="W3466" s="146"/>
      <c r="Y3466" s="147"/>
    </row>
    <row r="3467" spans="3:25">
      <c r="C3467" s="146"/>
      <c r="E3467" s="147"/>
      <c r="F3467" s="146"/>
      <c r="I3467" s="147"/>
      <c r="Q3467" s="146"/>
      <c r="T3467" s="146"/>
      <c r="V3467" s="147"/>
      <c r="W3467" s="146"/>
      <c r="Y3467" s="147"/>
    </row>
    <row r="3468" spans="3:25">
      <c r="C3468" s="146"/>
      <c r="E3468" s="147"/>
      <c r="F3468" s="146"/>
      <c r="I3468" s="147"/>
      <c r="Q3468" s="146"/>
      <c r="T3468" s="146"/>
      <c r="V3468" s="147"/>
      <c r="W3468" s="146"/>
      <c r="Y3468" s="147"/>
    </row>
    <row r="3469" spans="3:25">
      <c r="C3469" s="146"/>
      <c r="E3469" s="147"/>
      <c r="F3469" s="146"/>
      <c r="I3469" s="147"/>
      <c r="Q3469" s="146"/>
      <c r="T3469" s="146"/>
      <c r="V3469" s="147"/>
      <c r="W3469" s="146"/>
      <c r="Y3469" s="147"/>
    </row>
    <row r="3470" spans="3:25">
      <c r="C3470" s="146"/>
      <c r="E3470" s="147"/>
      <c r="F3470" s="146"/>
      <c r="I3470" s="147"/>
      <c r="Q3470" s="146"/>
      <c r="T3470" s="146"/>
      <c r="V3470" s="147"/>
      <c r="W3470" s="146"/>
      <c r="Y3470" s="147"/>
    </row>
    <row r="3471" spans="3:25">
      <c r="C3471" s="146"/>
      <c r="E3471" s="147"/>
      <c r="F3471" s="146"/>
      <c r="I3471" s="147"/>
      <c r="Q3471" s="146"/>
      <c r="T3471" s="146"/>
      <c r="V3471" s="147"/>
      <c r="W3471" s="146"/>
      <c r="Y3471" s="147"/>
    </row>
    <row r="3472" spans="3:25">
      <c r="C3472" s="146"/>
      <c r="E3472" s="147"/>
      <c r="F3472" s="146"/>
      <c r="I3472" s="147"/>
      <c r="Q3472" s="146"/>
      <c r="T3472" s="146"/>
      <c r="V3472" s="147"/>
      <c r="W3472" s="146"/>
      <c r="Y3472" s="147"/>
    </row>
    <row r="3473" spans="3:25">
      <c r="C3473" s="146"/>
      <c r="E3473" s="147"/>
      <c r="F3473" s="146"/>
      <c r="I3473" s="147"/>
      <c r="Q3473" s="146"/>
      <c r="T3473" s="146"/>
      <c r="V3473" s="147"/>
      <c r="W3473" s="146"/>
      <c r="Y3473" s="147"/>
    </row>
    <row r="3474" spans="3:25">
      <c r="C3474" s="146"/>
      <c r="E3474" s="147"/>
      <c r="F3474" s="146"/>
      <c r="I3474" s="147"/>
      <c r="Q3474" s="146"/>
      <c r="T3474" s="146"/>
      <c r="V3474" s="147"/>
      <c r="W3474" s="146"/>
      <c r="Y3474" s="147"/>
    </row>
    <row r="3475" spans="3:25">
      <c r="C3475" s="146"/>
      <c r="E3475" s="147"/>
      <c r="F3475" s="146"/>
      <c r="I3475" s="147"/>
      <c r="Q3475" s="146"/>
      <c r="T3475" s="146"/>
      <c r="V3475" s="147"/>
      <c r="W3475" s="146"/>
      <c r="Y3475" s="147"/>
    </row>
    <row r="3476" spans="3:25">
      <c r="C3476" s="146"/>
      <c r="E3476" s="147"/>
      <c r="F3476" s="146"/>
      <c r="I3476" s="147"/>
      <c r="Q3476" s="146"/>
      <c r="T3476" s="146"/>
      <c r="V3476" s="147"/>
      <c r="W3476" s="146"/>
      <c r="Y3476" s="147"/>
    </row>
    <row r="3477" spans="3:25">
      <c r="C3477" s="146"/>
      <c r="E3477" s="147"/>
      <c r="F3477" s="146"/>
      <c r="I3477" s="147"/>
      <c r="Q3477" s="146"/>
      <c r="T3477" s="146"/>
      <c r="V3477" s="147"/>
      <c r="W3477" s="146"/>
      <c r="Y3477" s="147"/>
    </row>
    <row r="3478" spans="3:25">
      <c r="C3478" s="146"/>
      <c r="E3478" s="147"/>
      <c r="F3478" s="146"/>
      <c r="I3478" s="147"/>
      <c r="Q3478" s="146"/>
      <c r="T3478" s="146"/>
      <c r="V3478" s="147"/>
      <c r="W3478" s="146"/>
      <c r="Y3478" s="147"/>
    </row>
    <row r="3479" spans="3:25">
      <c r="C3479" s="146"/>
      <c r="E3479" s="147"/>
      <c r="F3479" s="146"/>
      <c r="I3479" s="147"/>
      <c r="Q3479" s="146"/>
      <c r="T3479" s="146"/>
      <c r="V3479" s="147"/>
      <c r="W3479" s="146"/>
      <c r="Y3479" s="147"/>
    </row>
    <row r="3480" spans="3:25">
      <c r="C3480" s="146"/>
      <c r="E3480" s="147"/>
      <c r="F3480" s="146"/>
      <c r="I3480" s="147"/>
      <c r="Q3480" s="146"/>
      <c r="T3480" s="146"/>
      <c r="V3480" s="147"/>
      <c r="W3480" s="146"/>
      <c r="Y3480" s="147"/>
    </row>
    <row r="3481" spans="3:25">
      <c r="C3481" s="146"/>
      <c r="E3481" s="147"/>
      <c r="F3481" s="146"/>
      <c r="I3481" s="147"/>
      <c r="Q3481" s="146"/>
      <c r="T3481" s="146"/>
      <c r="V3481" s="147"/>
      <c r="W3481" s="146"/>
      <c r="Y3481" s="147"/>
    </row>
    <row r="3482" spans="3:25">
      <c r="C3482" s="146"/>
      <c r="E3482" s="147"/>
      <c r="F3482" s="146"/>
      <c r="I3482" s="147"/>
      <c r="Q3482" s="146"/>
      <c r="T3482" s="146"/>
      <c r="V3482" s="147"/>
      <c r="W3482" s="146"/>
      <c r="Y3482" s="147"/>
    </row>
    <row r="3483" spans="3:25">
      <c r="C3483" s="146"/>
      <c r="E3483" s="147"/>
      <c r="F3483" s="146"/>
      <c r="I3483" s="147"/>
      <c r="Q3483" s="146"/>
      <c r="T3483" s="146"/>
      <c r="V3483" s="147"/>
      <c r="W3483" s="146"/>
      <c r="Y3483" s="147"/>
    </row>
    <row r="3484" spans="3:25">
      <c r="C3484" s="146"/>
      <c r="E3484" s="147"/>
      <c r="F3484" s="146"/>
      <c r="I3484" s="147"/>
      <c r="Q3484" s="146"/>
      <c r="T3484" s="146"/>
      <c r="V3484" s="147"/>
      <c r="W3484" s="146"/>
      <c r="Y3484" s="147"/>
    </row>
    <row r="3485" spans="3:25">
      <c r="C3485" s="146"/>
      <c r="E3485" s="147"/>
      <c r="F3485" s="146"/>
      <c r="I3485" s="147"/>
      <c r="Q3485" s="146"/>
      <c r="T3485" s="146"/>
      <c r="V3485" s="147"/>
      <c r="W3485" s="146"/>
      <c r="Y3485" s="147"/>
    </row>
    <row r="3486" spans="3:25">
      <c r="C3486" s="146"/>
      <c r="E3486" s="147"/>
      <c r="F3486" s="146"/>
      <c r="I3486" s="147"/>
      <c r="Q3486" s="146"/>
      <c r="T3486" s="146"/>
      <c r="V3486" s="147"/>
      <c r="W3486" s="146"/>
      <c r="Y3486" s="147"/>
    </row>
    <row r="3487" spans="3:25">
      <c r="C3487" s="146"/>
      <c r="E3487" s="147"/>
      <c r="F3487" s="146"/>
      <c r="I3487" s="147"/>
      <c r="Q3487" s="146"/>
      <c r="T3487" s="146"/>
      <c r="V3487" s="147"/>
      <c r="W3487" s="146"/>
      <c r="Y3487" s="147"/>
    </row>
    <row r="3488" spans="3:25">
      <c r="C3488" s="146"/>
      <c r="E3488" s="147"/>
      <c r="F3488" s="146"/>
      <c r="I3488" s="147"/>
      <c r="Q3488" s="146"/>
      <c r="T3488" s="146"/>
      <c r="V3488" s="147"/>
      <c r="W3488" s="146"/>
      <c r="Y3488" s="147"/>
    </row>
    <row r="3489" spans="3:25">
      <c r="C3489" s="146"/>
      <c r="E3489" s="147"/>
      <c r="F3489" s="146"/>
      <c r="I3489" s="147"/>
      <c r="Q3489" s="146"/>
      <c r="T3489" s="146"/>
      <c r="V3489" s="147"/>
      <c r="W3489" s="146"/>
      <c r="Y3489" s="147"/>
    </row>
    <row r="3490" spans="3:25">
      <c r="C3490" s="146"/>
      <c r="E3490" s="147"/>
      <c r="F3490" s="146"/>
      <c r="I3490" s="147"/>
      <c r="Q3490" s="146"/>
      <c r="T3490" s="146"/>
      <c r="V3490" s="147"/>
      <c r="W3490" s="146"/>
      <c r="Y3490" s="147"/>
    </row>
    <row r="3491" spans="3:25">
      <c r="C3491" s="146"/>
      <c r="E3491" s="147"/>
      <c r="F3491" s="146"/>
      <c r="I3491" s="147"/>
      <c r="Q3491" s="146"/>
      <c r="T3491" s="146"/>
      <c r="V3491" s="147"/>
      <c r="W3491" s="146"/>
      <c r="Y3491" s="147"/>
    </row>
    <row r="3492" spans="3:25">
      <c r="C3492" s="146"/>
      <c r="E3492" s="147"/>
      <c r="F3492" s="146"/>
      <c r="I3492" s="147"/>
      <c r="Q3492" s="146"/>
      <c r="T3492" s="146"/>
      <c r="V3492" s="147"/>
      <c r="W3492" s="146"/>
      <c r="Y3492" s="147"/>
    </row>
    <row r="3493" spans="3:25">
      <c r="C3493" s="146"/>
      <c r="E3493" s="147"/>
      <c r="F3493" s="146"/>
      <c r="I3493" s="147"/>
      <c r="Q3493" s="146"/>
      <c r="T3493" s="146"/>
      <c r="V3493" s="147"/>
      <c r="W3493" s="146"/>
      <c r="Y3493" s="147"/>
    </row>
    <row r="3494" spans="3:25">
      <c r="C3494" s="146"/>
      <c r="E3494" s="147"/>
      <c r="F3494" s="146"/>
      <c r="I3494" s="147"/>
      <c r="Q3494" s="146"/>
      <c r="T3494" s="146"/>
      <c r="V3494" s="147"/>
      <c r="W3494" s="146"/>
      <c r="Y3494" s="147"/>
    </row>
    <row r="3495" spans="3:25">
      <c r="C3495" s="146"/>
      <c r="E3495" s="147"/>
      <c r="F3495" s="146"/>
      <c r="I3495" s="147"/>
      <c r="Q3495" s="146"/>
      <c r="T3495" s="146"/>
      <c r="V3495" s="147"/>
      <c r="W3495" s="146"/>
      <c r="Y3495" s="147"/>
    </row>
    <row r="3496" spans="3:25">
      <c r="C3496" s="146"/>
      <c r="E3496" s="147"/>
      <c r="F3496" s="146"/>
      <c r="I3496" s="147"/>
      <c r="Q3496" s="146"/>
      <c r="T3496" s="146"/>
      <c r="V3496" s="147"/>
      <c r="W3496" s="146"/>
      <c r="Y3496" s="147"/>
    </row>
    <row r="3497" spans="3:25">
      <c r="C3497" s="146"/>
      <c r="E3497" s="147"/>
      <c r="F3497" s="146"/>
      <c r="I3497" s="147"/>
      <c r="Q3497" s="146"/>
      <c r="T3497" s="146"/>
      <c r="V3497" s="147"/>
      <c r="W3497" s="146"/>
      <c r="Y3497" s="147"/>
    </row>
    <row r="3498" spans="3:25">
      <c r="C3498" s="146"/>
      <c r="E3498" s="147"/>
      <c r="F3498" s="146"/>
      <c r="I3498" s="147"/>
      <c r="Q3498" s="146"/>
      <c r="T3498" s="146"/>
      <c r="V3498" s="147"/>
      <c r="W3498" s="146"/>
      <c r="Y3498" s="147"/>
    </row>
    <row r="3499" spans="3:25">
      <c r="C3499" s="146"/>
      <c r="E3499" s="147"/>
      <c r="F3499" s="146"/>
      <c r="I3499" s="147"/>
      <c r="Q3499" s="146"/>
      <c r="T3499" s="146"/>
      <c r="V3499" s="147"/>
      <c r="W3499" s="146"/>
      <c r="Y3499" s="147"/>
    </row>
    <row r="3500" spans="3:25">
      <c r="C3500" s="146"/>
      <c r="E3500" s="147"/>
      <c r="F3500" s="146"/>
      <c r="I3500" s="147"/>
      <c r="Q3500" s="146"/>
      <c r="T3500" s="146"/>
      <c r="V3500" s="147"/>
      <c r="W3500" s="146"/>
      <c r="Y3500" s="147"/>
    </row>
    <row r="3501" spans="3:25">
      <c r="C3501" s="146"/>
      <c r="E3501" s="147"/>
      <c r="F3501" s="146"/>
      <c r="I3501" s="147"/>
      <c r="Q3501" s="146"/>
      <c r="T3501" s="146"/>
      <c r="V3501" s="147"/>
      <c r="W3501" s="146"/>
      <c r="Y3501" s="147"/>
    </row>
    <row r="3502" spans="3:25">
      <c r="C3502" s="146"/>
      <c r="E3502" s="147"/>
      <c r="F3502" s="146"/>
      <c r="I3502" s="147"/>
      <c r="Q3502" s="146"/>
      <c r="T3502" s="146"/>
      <c r="V3502" s="147"/>
      <c r="W3502" s="146"/>
      <c r="Y3502" s="147"/>
    </row>
    <row r="3503" spans="3:25">
      <c r="C3503" s="146"/>
      <c r="E3503" s="147"/>
      <c r="F3503" s="146"/>
      <c r="I3503" s="147"/>
      <c r="Q3503" s="146"/>
      <c r="T3503" s="146"/>
      <c r="V3503" s="147"/>
      <c r="W3503" s="146"/>
      <c r="Y3503" s="147"/>
    </row>
    <row r="3504" spans="3:25">
      <c r="C3504" s="146"/>
      <c r="E3504" s="147"/>
      <c r="F3504" s="146"/>
      <c r="I3504" s="147"/>
      <c r="Q3504" s="146"/>
      <c r="T3504" s="146"/>
      <c r="V3504" s="147"/>
      <c r="W3504" s="146"/>
      <c r="Y3504" s="147"/>
    </row>
    <row r="3505" spans="3:25">
      <c r="C3505" s="146"/>
      <c r="E3505" s="147"/>
      <c r="F3505" s="146"/>
      <c r="I3505" s="147"/>
      <c r="Q3505" s="146"/>
      <c r="T3505" s="146"/>
      <c r="V3505" s="147"/>
      <c r="W3505" s="146"/>
      <c r="Y3505" s="147"/>
    </row>
    <row r="3506" spans="3:25">
      <c r="C3506" s="146"/>
      <c r="E3506" s="147"/>
      <c r="F3506" s="146"/>
      <c r="I3506" s="147"/>
      <c r="Q3506" s="146"/>
      <c r="T3506" s="146"/>
      <c r="V3506" s="147"/>
      <c r="W3506" s="146"/>
      <c r="Y3506" s="147"/>
    </row>
    <row r="3507" spans="3:25">
      <c r="C3507" s="146"/>
      <c r="E3507" s="147"/>
      <c r="F3507" s="146"/>
      <c r="I3507" s="147"/>
      <c r="Q3507" s="146"/>
      <c r="T3507" s="146"/>
      <c r="V3507" s="147"/>
      <c r="W3507" s="146"/>
      <c r="Y3507" s="147"/>
    </row>
    <row r="3508" spans="3:25">
      <c r="C3508" s="146"/>
      <c r="E3508" s="147"/>
      <c r="F3508" s="146"/>
      <c r="I3508" s="147"/>
      <c r="Q3508" s="146"/>
      <c r="T3508" s="146"/>
      <c r="V3508" s="147"/>
      <c r="W3508" s="146"/>
      <c r="Y3508" s="147"/>
    </row>
    <row r="3509" spans="3:25">
      <c r="C3509" s="146"/>
      <c r="E3509" s="147"/>
      <c r="F3509" s="146"/>
      <c r="I3509" s="147"/>
      <c r="Q3509" s="146"/>
      <c r="T3509" s="146"/>
      <c r="V3509" s="147"/>
      <c r="W3509" s="146"/>
      <c r="Y3509" s="147"/>
    </row>
    <row r="3510" spans="3:25">
      <c r="C3510" s="146"/>
      <c r="E3510" s="147"/>
      <c r="F3510" s="146"/>
      <c r="I3510" s="147"/>
      <c r="Q3510" s="146"/>
      <c r="T3510" s="146"/>
      <c r="V3510" s="147"/>
      <c r="W3510" s="146"/>
      <c r="Y3510" s="147"/>
    </row>
    <row r="3511" spans="3:25">
      <c r="C3511" s="146"/>
      <c r="E3511" s="147"/>
      <c r="F3511" s="146"/>
      <c r="I3511" s="147"/>
      <c r="Q3511" s="146"/>
      <c r="T3511" s="146"/>
      <c r="V3511" s="147"/>
      <c r="W3511" s="146"/>
      <c r="Y3511" s="147"/>
    </row>
    <row r="3512" spans="3:25">
      <c r="C3512" s="146"/>
      <c r="E3512" s="147"/>
      <c r="F3512" s="146"/>
      <c r="I3512" s="147"/>
      <c r="Q3512" s="146"/>
      <c r="T3512" s="146"/>
      <c r="V3512" s="147"/>
      <c r="W3512" s="146"/>
      <c r="Y3512" s="147"/>
    </row>
    <row r="3513" spans="3:25">
      <c r="C3513" s="146"/>
      <c r="E3513" s="147"/>
      <c r="F3513" s="146"/>
      <c r="I3513" s="147"/>
      <c r="Q3513" s="146"/>
      <c r="T3513" s="146"/>
      <c r="V3513" s="147"/>
      <c r="W3513" s="146"/>
      <c r="Y3513" s="147"/>
    </row>
    <row r="3514" spans="3:25">
      <c r="C3514" s="146"/>
      <c r="E3514" s="147"/>
      <c r="F3514" s="146"/>
      <c r="I3514" s="147"/>
      <c r="Q3514" s="146"/>
      <c r="T3514" s="146"/>
      <c r="V3514" s="147"/>
      <c r="W3514" s="146"/>
      <c r="Y3514" s="147"/>
    </row>
    <row r="3515" spans="3:25">
      <c r="C3515" s="146"/>
      <c r="E3515" s="147"/>
      <c r="F3515" s="146"/>
      <c r="I3515" s="147"/>
      <c r="Q3515" s="146"/>
      <c r="T3515" s="146"/>
      <c r="V3515" s="147"/>
      <c r="W3515" s="146"/>
      <c r="Y3515" s="147"/>
    </row>
    <row r="3516" spans="3:25">
      <c r="C3516" s="146"/>
      <c r="E3516" s="147"/>
      <c r="F3516" s="146"/>
      <c r="I3516" s="147"/>
      <c r="Q3516" s="146"/>
      <c r="T3516" s="146"/>
      <c r="V3516" s="147"/>
      <c r="W3516" s="146"/>
      <c r="Y3516" s="147"/>
    </row>
    <row r="3517" spans="3:25">
      <c r="C3517" s="146"/>
      <c r="E3517" s="147"/>
      <c r="F3517" s="146"/>
      <c r="I3517" s="147"/>
      <c r="Q3517" s="146"/>
      <c r="T3517" s="146"/>
      <c r="V3517" s="147"/>
      <c r="W3517" s="146"/>
      <c r="Y3517" s="147"/>
    </row>
    <row r="3518" spans="3:25">
      <c r="C3518" s="146"/>
      <c r="E3518" s="147"/>
      <c r="F3518" s="146"/>
      <c r="I3518" s="147"/>
      <c r="Q3518" s="146"/>
      <c r="T3518" s="146"/>
      <c r="V3518" s="147"/>
      <c r="W3518" s="146"/>
      <c r="Y3518" s="147"/>
    </row>
    <row r="3519" spans="3:25">
      <c r="C3519" s="146"/>
      <c r="E3519" s="147"/>
      <c r="F3519" s="146"/>
      <c r="I3519" s="147"/>
      <c r="Q3519" s="146"/>
      <c r="T3519" s="146"/>
      <c r="V3519" s="147"/>
      <c r="W3519" s="146"/>
      <c r="Y3519" s="147"/>
    </row>
    <row r="3520" spans="3:25">
      <c r="C3520" s="146"/>
      <c r="E3520" s="147"/>
      <c r="F3520" s="146"/>
      <c r="I3520" s="147"/>
      <c r="Q3520" s="146"/>
      <c r="T3520" s="146"/>
      <c r="V3520" s="147"/>
      <c r="W3520" s="146"/>
      <c r="Y3520" s="147"/>
    </row>
    <row r="3521" spans="3:25">
      <c r="C3521" s="146"/>
      <c r="E3521" s="147"/>
      <c r="F3521" s="146"/>
      <c r="I3521" s="147"/>
      <c r="Q3521" s="146"/>
      <c r="T3521" s="146"/>
      <c r="V3521" s="147"/>
      <c r="W3521" s="146"/>
      <c r="Y3521" s="147"/>
    </row>
    <row r="3522" spans="3:25">
      <c r="C3522" s="146"/>
      <c r="E3522" s="147"/>
      <c r="F3522" s="146"/>
      <c r="I3522" s="147"/>
      <c r="Q3522" s="146"/>
      <c r="T3522" s="146"/>
      <c r="V3522" s="147"/>
      <c r="W3522" s="146"/>
      <c r="Y3522" s="147"/>
    </row>
    <row r="3523" spans="3:25">
      <c r="C3523" s="146"/>
      <c r="E3523" s="147"/>
      <c r="F3523" s="146"/>
      <c r="I3523" s="147"/>
      <c r="Q3523" s="146"/>
      <c r="T3523" s="146"/>
      <c r="V3523" s="147"/>
      <c r="W3523" s="146"/>
      <c r="Y3523" s="147"/>
    </row>
    <row r="3524" spans="3:25">
      <c r="C3524" s="146"/>
      <c r="E3524" s="147"/>
      <c r="F3524" s="146"/>
      <c r="I3524" s="147"/>
      <c r="Q3524" s="146"/>
      <c r="T3524" s="146"/>
      <c r="V3524" s="147"/>
      <c r="W3524" s="146"/>
      <c r="Y3524" s="147"/>
    </row>
    <row r="3525" spans="3:25">
      <c r="C3525" s="146"/>
      <c r="E3525" s="147"/>
      <c r="F3525" s="146"/>
      <c r="I3525" s="147"/>
      <c r="Q3525" s="146"/>
      <c r="T3525" s="146"/>
      <c r="V3525" s="147"/>
      <c r="W3525" s="146"/>
      <c r="Y3525" s="147"/>
    </row>
    <row r="3526" spans="3:25">
      <c r="C3526" s="146"/>
      <c r="E3526" s="147"/>
      <c r="F3526" s="146"/>
      <c r="I3526" s="147"/>
      <c r="Q3526" s="146"/>
      <c r="T3526" s="146"/>
      <c r="V3526" s="147"/>
      <c r="W3526" s="146"/>
      <c r="Y3526" s="147"/>
    </row>
    <row r="3527" spans="3:25">
      <c r="C3527" s="146"/>
      <c r="E3527" s="147"/>
      <c r="F3527" s="146"/>
      <c r="I3527" s="147"/>
      <c r="Q3527" s="146"/>
      <c r="T3527" s="146"/>
      <c r="V3527" s="147"/>
      <c r="W3527" s="146"/>
      <c r="Y3527" s="147"/>
    </row>
    <row r="3528" spans="3:25">
      <c r="C3528" s="146"/>
      <c r="E3528" s="147"/>
      <c r="F3528" s="146"/>
      <c r="I3528" s="147"/>
      <c r="Q3528" s="146"/>
      <c r="T3528" s="146"/>
      <c r="V3528" s="147"/>
      <c r="W3528" s="146"/>
      <c r="Y3528" s="147"/>
    </row>
    <row r="3529" spans="3:25">
      <c r="C3529" s="146"/>
      <c r="E3529" s="147"/>
      <c r="F3529" s="146"/>
      <c r="I3529" s="147"/>
      <c r="Q3529" s="146"/>
      <c r="T3529" s="146"/>
      <c r="V3529" s="147"/>
      <c r="W3529" s="146"/>
      <c r="Y3529" s="147"/>
    </row>
    <row r="3530" spans="3:25">
      <c r="C3530" s="146"/>
      <c r="E3530" s="147"/>
      <c r="F3530" s="146"/>
      <c r="I3530" s="147"/>
      <c r="Q3530" s="146"/>
      <c r="T3530" s="146"/>
      <c r="V3530" s="147"/>
      <c r="W3530" s="146"/>
      <c r="Y3530" s="147"/>
    </row>
    <row r="3531" spans="3:25">
      <c r="C3531" s="146"/>
      <c r="E3531" s="147"/>
      <c r="F3531" s="146"/>
      <c r="I3531" s="147"/>
      <c r="Q3531" s="146"/>
      <c r="T3531" s="146"/>
      <c r="V3531" s="147"/>
      <c r="W3531" s="146"/>
      <c r="Y3531" s="147"/>
    </row>
    <row r="3532" spans="3:25">
      <c r="C3532" s="146"/>
      <c r="E3532" s="147"/>
      <c r="F3532" s="146"/>
      <c r="I3532" s="147"/>
      <c r="Q3532" s="146"/>
      <c r="T3532" s="146"/>
      <c r="V3532" s="147"/>
      <c r="W3532" s="146"/>
      <c r="Y3532" s="147"/>
    </row>
    <row r="3533" spans="3:25">
      <c r="C3533" s="146"/>
      <c r="E3533" s="147"/>
      <c r="F3533" s="146"/>
      <c r="I3533" s="147"/>
      <c r="Q3533" s="146"/>
      <c r="T3533" s="146"/>
      <c r="V3533" s="147"/>
      <c r="W3533" s="146"/>
      <c r="Y3533" s="147"/>
    </row>
    <row r="3534" spans="3:25">
      <c r="C3534" s="146"/>
      <c r="E3534" s="147"/>
      <c r="F3534" s="146"/>
      <c r="I3534" s="147"/>
      <c r="Q3534" s="146"/>
      <c r="T3534" s="146"/>
      <c r="V3534" s="147"/>
      <c r="W3534" s="146"/>
      <c r="Y3534" s="147"/>
    </row>
    <row r="3535" spans="3:25">
      <c r="C3535" s="146"/>
      <c r="E3535" s="147"/>
      <c r="F3535" s="146"/>
      <c r="I3535" s="147"/>
      <c r="Q3535" s="146"/>
      <c r="T3535" s="146"/>
      <c r="V3535" s="147"/>
      <c r="W3535" s="146"/>
      <c r="Y3535" s="147"/>
    </row>
    <row r="3536" spans="3:25">
      <c r="C3536" s="146"/>
      <c r="E3536" s="147"/>
      <c r="F3536" s="146"/>
      <c r="I3536" s="147"/>
      <c r="Q3536" s="146"/>
      <c r="T3536" s="146"/>
      <c r="V3536" s="147"/>
      <c r="W3536" s="146"/>
      <c r="Y3536" s="147"/>
    </row>
    <row r="3537" spans="3:25">
      <c r="C3537" s="146"/>
      <c r="E3537" s="147"/>
      <c r="F3537" s="146"/>
      <c r="I3537" s="147"/>
      <c r="Q3537" s="146"/>
      <c r="T3537" s="146"/>
      <c r="V3537" s="147"/>
      <c r="W3537" s="146"/>
      <c r="Y3537" s="147"/>
    </row>
    <row r="3538" spans="3:25">
      <c r="C3538" s="146"/>
      <c r="E3538" s="147"/>
      <c r="F3538" s="146"/>
      <c r="I3538" s="147"/>
      <c r="Q3538" s="146"/>
      <c r="T3538" s="146"/>
      <c r="V3538" s="147"/>
      <c r="W3538" s="146"/>
      <c r="Y3538" s="147"/>
    </row>
    <row r="3539" spans="3:25">
      <c r="C3539" s="146"/>
      <c r="E3539" s="147"/>
      <c r="F3539" s="146"/>
      <c r="I3539" s="147"/>
      <c r="Q3539" s="146"/>
      <c r="T3539" s="146"/>
      <c r="V3539" s="147"/>
      <c r="W3539" s="146"/>
      <c r="Y3539" s="147"/>
    </row>
    <row r="3540" spans="3:25">
      <c r="C3540" s="146"/>
      <c r="E3540" s="147"/>
      <c r="F3540" s="146"/>
      <c r="I3540" s="147"/>
      <c r="Q3540" s="146"/>
      <c r="T3540" s="146"/>
      <c r="V3540" s="147"/>
      <c r="W3540" s="146"/>
      <c r="Y3540" s="147"/>
    </row>
    <row r="3541" spans="3:25">
      <c r="C3541" s="146"/>
      <c r="E3541" s="147"/>
      <c r="F3541" s="146"/>
      <c r="I3541" s="147"/>
      <c r="Q3541" s="146"/>
      <c r="T3541" s="146"/>
      <c r="V3541" s="147"/>
      <c r="W3541" s="146"/>
      <c r="Y3541" s="147"/>
    </row>
    <row r="3542" spans="3:25">
      <c r="C3542" s="146"/>
      <c r="E3542" s="147"/>
      <c r="F3542" s="146"/>
      <c r="I3542" s="147"/>
      <c r="Q3542" s="146"/>
      <c r="T3542" s="146"/>
      <c r="V3542" s="147"/>
      <c r="W3542" s="146"/>
      <c r="Y3542" s="147"/>
    </row>
    <row r="3543" spans="3:25">
      <c r="C3543" s="146"/>
      <c r="E3543" s="147"/>
      <c r="F3543" s="146"/>
      <c r="I3543" s="147"/>
      <c r="Q3543" s="146"/>
      <c r="T3543" s="146"/>
      <c r="V3543" s="147"/>
      <c r="W3543" s="146"/>
      <c r="Y3543" s="147"/>
    </row>
    <row r="3544" spans="3:25">
      <c r="C3544" s="146"/>
      <c r="E3544" s="147"/>
      <c r="F3544" s="146"/>
      <c r="I3544" s="147"/>
      <c r="Q3544" s="146"/>
      <c r="T3544" s="146"/>
      <c r="V3544" s="147"/>
      <c r="W3544" s="146"/>
      <c r="Y3544" s="147"/>
    </row>
    <row r="3545" spans="3:25">
      <c r="C3545" s="146"/>
      <c r="E3545" s="147"/>
      <c r="F3545" s="146"/>
      <c r="I3545" s="147"/>
      <c r="Q3545" s="146"/>
      <c r="T3545" s="146"/>
      <c r="V3545" s="147"/>
      <c r="W3545" s="146"/>
      <c r="Y3545" s="147"/>
    </row>
    <row r="3546" spans="3:25">
      <c r="C3546" s="146"/>
      <c r="E3546" s="147"/>
      <c r="F3546" s="146"/>
      <c r="I3546" s="147"/>
      <c r="Q3546" s="146"/>
      <c r="T3546" s="146"/>
      <c r="V3546" s="147"/>
      <c r="W3546" s="146"/>
      <c r="Y3546" s="147"/>
    </row>
    <row r="3547" spans="3:25">
      <c r="C3547" s="146"/>
      <c r="E3547" s="147"/>
      <c r="F3547" s="146"/>
      <c r="I3547" s="147"/>
      <c r="Q3547" s="146"/>
      <c r="T3547" s="146"/>
      <c r="V3547" s="147"/>
      <c r="W3547" s="146"/>
      <c r="Y3547" s="147"/>
    </row>
    <row r="3548" spans="3:25">
      <c r="C3548" s="146"/>
      <c r="E3548" s="147"/>
      <c r="F3548" s="146"/>
      <c r="I3548" s="147"/>
      <c r="Q3548" s="146"/>
      <c r="T3548" s="146"/>
      <c r="V3548" s="147"/>
      <c r="W3548" s="146"/>
      <c r="Y3548" s="147"/>
    </row>
    <row r="3549" spans="3:25">
      <c r="C3549" s="146"/>
      <c r="E3549" s="147"/>
      <c r="F3549" s="146"/>
      <c r="I3549" s="147"/>
      <c r="Q3549" s="146"/>
      <c r="T3549" s="146"/>
      <c r="V3549" s="147"/>
      <c r="W3549" s="146"/>
      <c r="Y3549" s="147"/>
    </row>
    <row r="3550" spans="3:25">
      <c r="C3550" s="146"/>
      <c r="E3550" s="147"/>
      <c r="F3550" s="146"/>
      <c r="I3550" s="147"/>
      <c r="Q3550" s="146"/>
      <c r="T3550" s="146"/>
      <c r="V3550" s="147"/>
      <c r="W3550" s="146"/>
      <c r="Y3550" s="147"/>
    </row>
    <row r="3551" spans="3:25">
      <c r="C3551" s="146"/>
      <c r="E3551" s="147"/>
      <c r="F3551" s="146"/>
      <c r="I3551" s="147"/>
      <c r="Q3551" s="146"/>
      <c r="T3551" s="146"/>
      <c r="V3551" s="147"/>
      <c r="W3551" s="146"/>
      <c r="Y3551" s="147"/>
    </row>
    <row r="3552" spans="3:25">
      <c r="C3552" s="146"/>
      <c r="E3552" s="147"/>
      <c r="F3552" s="146"/>
      <c r="I3552" s="147"/>
      <c r="Q3552" s="146"/>
      <c r="T3552" s="146"/>
      <c r="V3552" s="147"/>
      <c r="W3552" s="146"/>
      <c r="Y3552" s="147"/>
    </row>
    <row r="3553" spans="3:25">
      <c r="C3553" s="146"/>
      <c r="E3553" s="147"/>
      <c r="F3553" s="146"/>
      <c r="I3553" s="147"/>
      <c r="Q3553" s="146"/>
      <c r="T3553" s="146"/>
      <c r="V3553" s="147"/>
      <c r="W3553" s="146"/>
      <c r="Y3553" s="147"/>
    </row>
    <row r="3554" spans="3:25">
      <c r="C3554" s="146"/>
      <c r="E3554" s="147"/>
      <c r="F3554" s="146"/>
      <c r="I3554" s="147"/>
      <c r="Q3554" s="146"/>
      <c r="T3554" s="146"/>
      <c r="V3554" s="147"/>
      <c r="W3554" s="146"/>
      <c r="Y3554" s="147"/>
    </row>
    <row r="3555" spans="3:25">
      <c r="C3555" s="146"/>
      <c r="E3555" s="147"/>
      <c r="F3555" s="146"/>
      <c r="I3555" s="147"/>
      <c r="Q3555" s="146"/>
      <c r="T3555" s="146"/>
      <c r="V3555" s="147"/>
      <c r="W3555" s="146"/>
      <c r="Y3555" s="147"/>
    </row>
    <row r="3556" spans="3:25">
      <c r="C3556" s="146"/>
      <c r="E3556" s="147"/>
      <c r="F3556" s="146"/>
      <c r="I3556" s="147"/>
      <c r="Q3556" s="146"/>
      <c r="T3556" s="146"/>
      <c r="V3556" s="147"/>
      <c r="W3556" s="146"/>
      <c r="Y3556" s="147"/>
    </row>
    <row r="3557" spans="3:25">
      <c r="C3557" s="146"/>
      <c r="E3557" s="147"/>
      <c r="F3557" s="146"/>
      <c r="I3557" s="147"/>
      <c r="Q3557" s="146"/>
      <c r="T3557" s="146"/>
      <c r="V3557" s="147"/>
      <c r="W3557" s="146"/>
      <c r="Y3557" s="147"/>
    </row>
    <row r="3558" spans="3:25">
      <c r="C3558" s="146"/>
      <c r="E3558" s="147"/>
      <c r="F3558" s="146"/>
      <c r="I3558" s="147"/>
      <c r="Q3558" s="146"/>
      <c r="T3558" s="146"/>
      <c r="V3558" s="147"/>
      <c r="W3558" s="146"/>
      <c r="Y3558" s="147"/>
    </row>
    <row r="3559" spans="3:25">
      <c r="C3559" s="146"/>
      <c r="E3559" s="147"/>
      <c r="F3559" s="146"/>
      <c r="I3559" s="147"/>
      <c r="Q3559" s="146"/>
      <c r="T3559" s="146"/>
      <c r="V3559" s="147"/>
      <c r="W3559" s="146"/>
      <c r="Y3559" s="147"/>
    </row>
    <row r="3560" spans="3:25">
      <c r="C3560" s="146"/>
      <c r="E3560" s="147"/>
      <c r="F3560" s="146"/>
      <c r="I3560" s="147"/>
      <c r="Q3560" s="146"/>
      <c r="T3560" s="146"/>
      <c r="V3560" s="147"/>
      <c r="W3560" s="146"/>
      <c r="Y3560" s="147"/>
    </row>
    <row r="3561" spans="3:25">
      <c r="C3561" s="146"/>
      <c r="E3561" s="147"/>
      <c r="F3561" s="146"/>
      <c r="I3561" s="147"/>
      <c r="Q3561" s="146"/>
      <c r="T3561" s="146"/>
      <c r="V3561" s="147"/>
      <c r="W3561" s="146"/>
      <c r="Y3561" s="147"/>
    </row>
    <row r="3562" spans="3:25">
      <c r="C3562" s="146"/>
      <c r="E3562" s="147"/>
      <c r="F3562" s="146"/>
      <c r="I3562" s="147"/>
      <c r="Q3562" s="146"/>
      <c r="T3562" s="146"/>
      <c r="V3562" s="147"/>
      <c r="W3562" s="146"/>
      <c r="Y3562" s="147"/>
    </row>
    <row r="3563" spans="3:25">
      <c r="C3563" s="146"/>
      <c r="E3563" s="147"/>
      <c r="F3563" s="146"/>
      <c r="I3563" s="147"/>
      <c r="Q3563" s="146"/>
      <c r="T3563" s="146"/>
      <c r="V3563" s="147"/>
      <c r="W3563" s="146"/>
      <c r="Y3563" s="147"/>
    </row>
    <row r="3564" spans="3:25">
      <c r="C3564" s="146"/>
      <c r="E3564" s="147"/>
      <c r="F3564" s="146"/>
      <c r="I3564" s="147"/>
      <c r="Q3564" s="146"/>
      <c r="T3564" s="146"/>
      <c r="V3564" s="147"/>
      <c r="W3564" s="146"/>
      <c r="Y3564" s="147"/>
    </row>
    <row r="3565" spans="3:25">
      <c r="C3565" s="146"/>
      <c r="E3565" s="147"/>
      <c r="F3565" s="146"/>
      <c r="I3565" s="147"/>
      <c r="Q3565" s="146"/>
      <c r="T3565" s="146"/>
      <c r="V3565" s="147"/>
      <c r="W3565" s="146"/>
      <c r="Y3565" s="147"/>
    </row>
    <row r="3566" spans="3:25">
      <c r="C3566" s="146"/>
      <c r="E3566" s="147"/>
      <c r="F3566" s="146"/>
      <c r="I3566" s="147"/>
      <c r="Q3566" s="146"/>
      <c r="T3566" s="146"/>
      <c r="V3566" s="147"/>
      <c r="W3566" s="146"/>
      <c r="Y3566" s="147"/>
    </row>
    <row r="3567" spans="3:25">
      <c r="C3567" s="146"/>
      <c r="E3567" s="147"/>
      <c r="F3567" s="146"/>
      <c r="I3567" s="147"/>
      <c r="Q3567" s="146"/>
      <c r="T3567" s="146"/>
      <c r="V3567" s="147"/>
      <c r="W3567" s="146"/>
      <c r="Y3567" s="147"/>
    </row>
    <row r="3568" spans="3:25">
      <c r="C3568" s="146"/>
      <c r="E3568" s="147"/>
      <c r="F3568" s="146"/>
      <c r="I3568" s="147"/>
      <c r="Q3568" s="146"/>
      <c r="T3568" s="146"/>
      <c r="V3568" s="147"/>
      <c r="W3568" s="146"/>
      <c r="Y3568" s="147"/>
    </row>
    <row r="3569" spans="3:25">
      <c r="C3569" s="146"/>
      <c r="E3569" s="147"/>
      <c r="F3569" s="146"/>
      <c r="I3569" s="147"/>
      <c r="Q3569" s="146"/>
      <c r="T3569" s="146"/>
      <c r="V3569" s="147"/>
      <c r="W3569" s="146"/>
      <c r="Y3569" s="147"/>
    </row>
    <row r="3570" spans="3:25">
      <c r="C3570" s="146"/>
      <c r="E3570" s="147"/>
      <c r="F3570" s="146"/>
      <c r="I3570" s="147"/>
      <c r="Q3570" s="146"/>
      <c r="T3570" s="146"/>
      <c r="V3570" s="147"/>
      <c r="W3570" s="146"/>
      <c r="Y3570" s="147"/>
    </row>
    <row r="3571" spans="3:25">
      <c r="C3571" s="146"/>
      <c r="E3571" s="147"/>
      <c r="F3571" s="146"/>
      <c r="I3571" s="147"/>
      <c r="Q3571" s="146"/>
      <c r="T3571" s="146"/>
      <c r="V3571" s="147"/>
      <c r="W3571" s="146"/>
      <c r="Y3571" s="147"/>
    </row>
    <row r="3572" spans="3:25">
      <c r="C3572" s="146"/>
      <c r="E3572" s="147"/>
      <c r="F3572" s="146"/>
      <c r="I3572" s="147"/>
      <c r="Q3572" s="146"/>
      <c r="T3572" s="146"/>
      <c r="V3572" s="147"/>
      <c r="W3572" s="146"/>
      <c r="Y3572" s="147"/>
    </row>
    <row r="3573" spans="3:25">
      <c r="C3573" s="146"/>
      <c r="E3573" s="147"/>
      <c r="F3573" s="146"/>
      <c r="I3573" s="147"/>
      <c r="Q3573" s="146"/>
      <c r="T3573" s="146"/>
      <c r="V3573" s="147"/>
      <c r="W3573" s="146"/>
      <c r="Y3573" s="147"/>
    </row>
    <row r="3574" spans="3:25">
      <c r="C3574" s="146"/>
      <c r="E3574" s="147"/>
      <c r="F3574" s="146"/>
      <c r="I3574" s="147"/>
      <c r="Q3574" s="146"/>
      <c r="T3574" s="146"/>
      <c r="V3574" s="147"/>
      <c r="W3574" s="146"/>
      <c r="Y3574" s="147"/>
    </row>
    <row r="3575" spans="3:25">
      <c r="C3575" s="146"/>
      <c r="E3575" s="147"/>
      <c r="F3575" s="146"/>
      <c r="I3575" s="147"/>
      <c r="Q3575" s="146"/>
      <c r="T3575" s="146"/>
      <c r="V3575" s="147"/>
      <c r="W3575" s="146"/>
      <c r="Y3575" s="147"/>
    </row>
    <row r="3576" spans="3:25">
      <c r="C3576" s="146"/>
      <c r="E3576" s="147"/>
      <c r="F3576" s="146"/>
      <c r="I3576" s="147"/>
      <c r="Q3576" s="146"/>
      <c r="T3576" s="146"/>
      <c r="V3576" s="147"/>
      <c r="W3576" s="146"/>
      <c r="Y3576" s="147"/>
    </row>
    <row r="3577" spans="3:25">
      <c r="C3577" s="146"/>
      <c r="E3577" s="147"/>
      <c r="F3577" s="146"/>
      <c r="I3577" s="147"/>
      <c r="Q3577" s="146"/>
      <c r="T3577" s="146"/>
      <c r="V3577" s="147"/>
      <c r="W3577" s="146"/>
      <c r="Y3577" s="147"/>
    </row>
    <row r="3578" spans="3:25">
      <c r="C3578" s="146"/>
      <c r="E3578" s="147"/>
      <c r="F3578" s="146"/>
      <c r="I3578" s="147"/>
      <c r="Q3578" s="146"/>
      <c r="T3578" s="146"/>
      <c r="V3578" s="147"/>
      <c r="W3578" s="146"/>
      <c r="Y3578" s="147"/>
    </row>
    <row r="3579" spans="3:25">
      <c r="C3579" s="146"/>
      <c r="E3579" s="147"/>
      <c r="F3579" s="146"/>
      <c r="I3579" s="147"/>
      <c r="Q3579" s="146"/>
      <c r="T3579" s="146"/>
      <c r="V3579" s="147"/>
      <c r="W3579" s="146"/>
      <c r="Y3579" s="147"/>
    </row>
    <row r="3580" spans="3:25">
      <c r="C3580" s="146"/>
      <c r="E3580" s="147"/>
      <c r="F3580" s="146"/>
      <c r="I3580" s="147"/>
      <c r="Q3580" s="146"/>
      <c r="T3580" s="146"/>
      <c r="V3580" s="147"/>
      <c r="W3580" s="146"/>
      <c r="Y3580" s="147"/>
    </row>
    <row r="3581" spans="3:25">
      <c r="C3581" s="146"/>
      <c r="E3581" s="147"/>
      <c r="F3581" s="146"/>
      <c r="I3581" s="147"/>
      <c r="Q3581" s="146"/>
      <c r="T3581" s="146"/>
      <c r="V3581" s="147"/>
      <c r="W3581" s="146"/>
      <c r="Y3581" s="147"/>
    </row>
    <row r="3582" spans="3:25">
      <c r="C3582" s="146"/>
      <c r="E3582" s="147"/>
      <c r="F3582" s="146"/>
      <c r="I3582" s="147"/>
      <c r="Q3582" s="146"/>
      <c r="T3582" s="146"/>
      <c r="V3582" s="147"/>
      <c r="W3582" s="146"/>
      <c r="Y3582" s="147"/>
    </row>
    <row r="3583" spans="3:25">
      <c r="C3583" s="146"/>
      <c r="E3583" s="147"/>
      <c r="F3583" s="146"/>
      <c r="I3583" s="147"/>
      <c r="Q3583" s="146"/>
      <c r="T3583" s="146"/>
      <c r="V3583" s="147"/>
      <c r="W3583" s="146"/>
      <c r="Y3583" s="147"/>
    </row>
    <row r="3584" spans="3:25">
      <c r="C3584" s="146"/>
      <c r="E3584" s="147"/>
      <c r="F3584" s="146"/>
      <c r="I3584" s="147"/>
      <c r="Q3584" s="146"/>
      <c r="T3584" s="146"/>
      <c r="V3584" s="147"/>
      <c r="W3584" s="146"/>
      <c r="Y3584" s="147"/>
    </row>
    <row r="3585" spans="3:25">
      <c r="C3585" s="146"/>
      <c r="E3585" s="147"/>
      <c r="F3585" s="146"/>
      <c r="I3585" s="147"/>
      <c r="Q3585" s="146"/>
      <c r="T3585" s="146"/>
      <c r="V3585" s="147"/>
      <c r="W3585" s="146"/>
      <c r="Y3585" s="147"/>
    </row>
    <row r="3586" spans="3:25">
      <c r="C3586" s="146"/>
      <c r="E3586" s="147"/>
      <c r="F3586" s="146"/>
      <c r="I3586" s="147"/>
      <c r="Q3586" s="146"/>
      <c r="T3586" s="146"/>
      <c r="V3586" s="147"/>
      <c r="W3586" s="146"/>
      <c r="Y3586" s="147"/>
    </row>
    <row r="3587" spans="3:25">
      <c r="C3587" s="146"/>
      <c r="E3587" s="147"/>
      <c r="F3587" s="146"/>
      <c r="I3587" s="147"/>
      <c r="Q3587" s="146"/>
      <c r="T3587" s="146"/>
      <c r="V3587" s="147"/>
      <c r="W3587" s="146"/>
      <c r="Y3587" s="147"/>
    </row>
    <row r="3588" spans="3:25">
      <c r="C3588" s="146"/>
      <c r="E3588" s="147"/>
      <c r="F3588" s="146"/>
      <c r="I3588" s="147"/>
      <c r="Q3588" s="146"/>
      <c r="T3588" s="146"/>
      <c r="V3588" s="147"/>
      <c r="W3588" s="146"/>
      <c r="Y3588" s="147"/>
    </row>
    <row r="3589" spans="3:25">
      <c r="C3589" s="146"/>
      <c r="E3589" s="147"/>
      <c r="F3589" s="146"/>
      <c r="I3589" s="147"/>
      <c r="Q3589" s="146"/>
      <c r="T3589" s="146"/>
      <c r="V3589" s="147"/>
      <c r="W3589" s="146"/>
      <c r="Y3589" s="147"/>
    </row>
    <row r="3590" spans="3:25">
      <c r="C3590" s="146"/>
      <c r="E3590" s="147"/>
      <c r="F3590" s="146"/>
      <c r="I3590" s="147"/>
      <c r="Q3590" s="146"/>
      <c r="T3590" s="146"/>
      <c r="V3590" s="147"/>
      <c r="W3590" s="146"/>
      <c r="Y3590" s="147"/>
    </row>
    <row r="3591" spans="3:25">
      <c r="C3591" s="146"/>
      <c r="E3591" s="147"/>
      <c r="F3591" s="146"/>
      <c r="I3591" s="147"/>
      <c r="Q3591" s="146"/>
      <c r="T3591" s="146"/>
      <c r="V3591" s="147"/>
      <c r="W3591" s="146"/>
      <c r="Y3591" s="147"/>
    </row>
    <row r="3592" spans="3:25">
      <c r="C3592" s="146"/>
      <c r="E3592" s="147"/>
      <c r="F3592" s="146"/>
      <c r="I3592" s="147"/>
      <c r="Q3592" s="146"/>
      <c r="T3592" s="146"/>
      <c r="V3592" s="147"/>
      <c r="W3592" s="146"/>
      <c r="Y3592" s="147"/>
    </row>
    <row r="3593" spans="3:25">
      <c r="C3593" s="146"/>
      <c r="E3593" s="147"/>
      <c r="F3593" s="146"/>
      <c r="I3593" s="147"/>
      <c r="Q3593" s="146"/>
      <c r="T3593" s="146"/>
      <c r="V3593" s="147"/>
      <c r="W3593" s="146"/>
      <c r="Y3593" s="147"/>
    </row>
    <row r="3594" spans="3:25">
      <c r="C3594" s="146"/>
      <c r="E3594" s="147"/>
      <c r="F3594" s="146"/>
      <c r="I3594" s="147"/>
      <c r="Q3594" s="146"/>
      <c r="T3594" s="146"/>
      <c r="V3594" s="147"/>
      <c r="W3594" s="146"/>
      <c r="Y3594" s="147"/>
    </row>
    <row r="3595" spans="3:25">
      <c r="C3595" s="146"/>
      <c r="E3595" s="147"/>
      <c r="F3595" s="146"/>
      <c r="I3595" s="147"/>
      <c r="Q3595" s="146"/>
      <c r="T3595" s="146"/>
      <c r="V3595" s="147"/>
      <c r="W3595" s="146"/>
      <c r="Y3595" s="147"/>
    </row>
    <row r="3596" spans="3:25">
      <c r="C3596" s="146"/>
      <c r="E3596" s="147"/>
      <c r="F3596" s="146"/>
      <c r="I3596" s="147"/>
      <c r="Q3596" s="146"/>
      <c r="T3596" s="146"/>
      <c r="V3596" s="147"/>
      <c r="W3596" s="146"/>
      <c r="Y3596" s="147"/>
    </row>
    <row r="3597" spans="3:25">
      <c r="C3597" s="146"/>
      <c r="E3597" s="147"/>
      <c r="F3597" s="146"/>
      <c r="I3597" s="147"/>
      <c r="Q3597" s="146"/>
      <c r="T3597" s="146"/>
      <c r="V3597" s="147"/>
      <c r="W3597" s="146"/>
      <c r="Y3597" s="147"/>
    </row>
    <row r="3598" spans="3:25">
      <c r="C3598" s="146"/>
      <c r="E3598" s="147"/>
      <c r="F3598" s="146"/>
      <c r="I3598" s="147"/>
      <c r="Q3598" s="146"/>
      <c r="T3598" s="146"/>
      <c r="V3598" s="147"/>
      <c r="W3598" s="146"/>
      <c r="Y3598" s="147"/>
    </row>
    <row r="3599" spans="3:25">
      <c r="C3599" s="146"/>
      <c r="E3599" s="147"/>
      <c r="F3599" s="146"/>
      <c r="I3599" s="147"/>
      <c r="Q3599" s="146"/>
      <c r="T3599" s="146"/>
      <c r="V3599" s="147"/>
      <c r="W3599" s="146"/>
      <c r="Y3599" s="147"/>
    </row>
    <row r="3600" spans="3:25">
      <c r="C3600" s="146"/>
      <c r="E3600" s="147"/>
      <c r="F3600" s="146"/>
      <c r="I3600" s="147"/>
      <c r="Q3600" s="146"/>
      <c r="T3600" s="146"/>
      <c r="V3600" s="147"/>
      <c r="W3600" s="146"/>
      <c r="Y3600" s="147"/>
    </row>
    <row r="3601" spans="3:25">
      <c r="C3601" s="146"/>
      <c r="E3601" s="147"/>
      <c r="F3601" s="146"/>
      <c r="I3601" s="147"/>
      <c r="Q3601" s="146"/>
      <c r="T3601" s="146"/>
      <c r="V3601" s="147"/>
      <c r="W3601" s="146"/>
      <c r="Y3601" s="147"/>
    </row>
    <row r="3602" spans="3:25">
      <c r="C3602" s="146"/>
      <c r="E3602" s="147"/>
      <c r="F3602" s="146"/>
      <c r="I3602" s="147"/>
      <c r="Q3602" s="146"/>
      <c r="T3602" s="146"/>
      <c r="V3602" s="147"/>
      <c r="W3602" s="146"/>
      <c r="Y3602" s="147"/>
    </row>
    <row r="3603" spans="3:25">
      <c r="C3603" s="146"/>
      <c r="E3603" s="147"/>
      <c r="F3603" s="146"/>
      <c r="I3603" s="147"/>
      <c r="Q3603" s="146"/>
      <c r="T3603" s="146"/>
      <c r="V3603" s="147"/>
      <c r="W3603" s="146"/>
      <c r="Y3603" s="147"/>
    </row>
    <row r="3604" spans="3:25">
      <c r="C3604" s="146"/>
      <c r="E3604" s="147"/>
      <c r="F3604" s="146"/>
      <c r="I3604" s="147"/>
      <c r="Q3604" s="146"/>
      <c r="T3604" s="146"/>
      <c r="V3604" s="147"/>
      <c r="W3604" s="146"/>
      <c r="Y3604" s="147"/>
    </row>
    <row r="3605" spans="3:25">
      <c r="C3605" s="146"/>
      <c r="E3605" s="147"/>
      <c r="F3605" s="146"/>
      <c r="I3605" s="147"/>
      <c r="Q3605" s="146"/>
      <c r="T3605" s="146"/>
      <c r="V3605" s="147"/>
      <c r="W3605" s="146"/>
      <c r="Y3605" s="147"/>
    </row>
    <row r="3606" spans="3:25">
      <c r="C3606" s="146"/>
      <c r="E3606" s="147"/>
      <c r="F3606" s="146"/>
      <c r="I3606" s="147"/>
      <c r="Q3606" s="146"/>
      <c r="T3606" s="146"/>
      <c r="V3606" s="147"/>
      <c r="W3606" s="146"/>
      <c r="Y3606" s="147"/>
    </row>
    <row r="3607" spans="3:25">
      <c r="C3607" s="146"/>
      <c r="E3607" s="147"/>
      <c r="F3607" s="146"/>
      <c r="I3607" s="147"/>
      <c r="Q3607" s="146"/>
      <c r="T3607" s="146"/>
      <c r="V3607" s="147"/>
      <c r="W3607" s="146"/>
      <c r="Y3607" s="147"/>
    </row>
    <row r="3608" spans="3:25">
      <c r="C3608" s="146"/>
      <c r="E3608" s="147"/>
      <c r="F3608" s="146"/>
      <c r="I3608" s="147"/>
      <c r="Q3608" s="146"/>
      <c r="T3608" s="146"/>
      <c r="V3608" s="147"/>
      <c r="W3608" s="146"/>
      <c r="Y3608" s="147"/>
    </row>
    <row r="3609" spans="3:25">
      <c r="C3609" s="146"/>
      <c r="E3609" s="147"/>
      <c r="F3609" s="146"/>
      <c r="I3609" s="147"/>
      <c r="Q3609" s="146"/>
      <c r="T3609" s="146"/>
      <c r="V3609" s="147"/>
      <c r="W3609" s="146"/>
      <c r="Y3609" s="147"/>
    </row>
    <row r="3610" spans="3:25">
      <c r="C3610" s="146"/>
      <c r="E3610" s="147"/>
      <c r="F3610" s="146"/>
      <c r="I3610" s="147"/>
      <c r="Q3610" s="146"/>
      <c r="T3610" s="146"/>
      <c r="V3610" s="147"/>
      <c r="W3610" s="146"/>
      <c r="Y3610" s="147"/>
    </row>
    <row r="3611" spans="3:25">
      <c r="C3611" s="146"/>
      <c r="E3611" s="147"/>
      <c r="F3611" s="146"/>
      <c r="I3611" s="147"/>
      <c r="Q3611" s="146"/>
      <c r="T3611" s="146"/>
      <c r="V3611" s="147"/>
      <c r="W3611" s="146"/>
      <c r="Y3611" s="147"/>
    </row>
    <row r="3612" spans="3:25">
      <c r="C3612" s="146"/>
      <c r="E3612" s="147"/>
      <c r="F3612" s="146"/>
      <c r="I3612" s="147"/>
      <c r="Q3612" s="146"/>
      <c r="T3612" s="146"/>
      <c r="V3612" s="147"/>
      <c r="W3612" s="146"/>
      <c r="Y3612" s="147"/>
    </row>
    <row r="3613" spans="3:25">
      <c r="C3613" s="146"/>
      <c r="E3613" s="147"/>
      <c r="F3613" s="146"/>
      <c r="I3613" s="147"/>
      <c r="Q3613" s="146"/>
      <c r="T3613" s="146"/>
      <c r="V3613" s="147"/>
      <c r="W3613" s="146"/>
      <c r="Y3613" s="147"/>
    </row>
    <row r="3614" spans="3:25">
      <c r="C3614" s="146"/>
      <c r="E3614" s="147"/>
      <c r="F3614" s="146"/>
      <c r="I3614" s="147"/>
      <c r="Q3614" s="146"/>
      <c r="T3614" s="146"/>
      <c r="V3614" s="147"/>
      <c r="W3614" s="146"/>
      <c r="Y3614" s="147"/>
    </row>
    <row r="3615" spans="3:25">
      <c r="C3615" s="146"/>
      <c r="E3615" s="147"/>
      <c r="F3615" s="146"/>
      <c r="I3615" s="147"/>
      <c r="Q3615" s="146"/>
      <c r="T3615" s="146"/>
      <c r="V3615" s="147"/>
      <c r="W3615" s="146"/>
      <c r="Y3615" s="147"/>
    </row>
    <row r="3616" spans="3:25">
      <c r="C3616" s="146"/>
      <c r="E3616" s="147"/>
      <c r="F3616" s="146"/>
      <c r="I3616" s="147"/>
      <c r="Q3616" s="146"/>
      <c r="T3616" s="146"/>
      <c r="V3616" s="147"/>
      <c r="W3616" s="146"/>
      <c r="Y3616" s="147"/>
    </row>
    <row r="3617" spans="3:25">
      <c r="C3617" s="146"/>
      <c r="E3617" s="147"/>
      <c r="F3617" s="146"/>
      <c r="I3617" s="147"/>
      <c r="Q3617" s="146"/>
      <c r="T3617" s="146"/>
      <c r="V3617" s="147"/>
      <c r="W3617" s="146"/>
      <c r="Y3617" s="147"/>
    </row>
    <row r="3618" spans="3:25">
      <c r="C3618" s="146"/>
      <c r="E3618" s="147"/>
      <c r="F3618" s="146"/>
      <c r="I3618" s="147"/>
      <c r="Q3618" s="146"/>
      <c r="T3618" s="146"/>
      <c r="V3618" s="147"/>
      <c r="W3618" s="146"/>
      <c r="Y3618" s="147"/>
    </row>
    <row r="3619" spans="3:25">
      <c r="C3619" s="146"/>
      <c r="E3619" s="147"/>
      <c r="F3619" s="146"/>
      <c r="I3619" s="147"/>
      <c r="Q3619" s="146"/>
      <c r="T3619" s="146"/>
      <c r="V3619" s="147"/>
      <c r="W3619" s="146"/>
      <c r="Y3619" s="147"/>
    </row>
    <row r="3620" spans="3:25">
      <c r="C3620" s="146"/>
      <c r="E3620" s="147"/>
      <c r="F3620" s="146"/>
      <c r="I3620" s="147"/>
      <c r="Q3620" s="146"/>
      <c r="T3620" s="146"/>
      <c r="V3620" s="147"/>
      <c r="W3620" s="146"/>
      <c r="Y3620" s="147"/>
    </row>
    <row r="3621" spans="3:25">
      <c r="C3621" s="146"/>
      <c r="E3621" s="147"/>
      <c r="F3621" s="146"/>
      <c r="I3621" s="147"/>
      <c r="Q3621" s="146"/>
      <c r="T3621" s="146"/>
      <c r="V3621" s="147"/>
      <c r="W3621" s="146"/>
      <c r="Y3621" s="147"/>
    </row>
    <row r="3622" spans="3:25">
      <c r="C3622" s="146"/>
      <c r="E3622" s="147"/>
      <c r="F3622" s="146"/>
      <c r="I3622" s="147"/>
      <c r="Q3622" s="146"/>
      <c r="T3622" s="146"/>
      <c r="V3622" s="147"/>
      <c r="W3622" s="146"/>
      <c r="Y3622" s="147"/>
    </row>
    <row r="3623" spans="3:25">
      <c r="C3623" s="146"/>
      <c r="E3623" s="147"/>
      <c r="F3623" s="146"/>
      <c r="I3623" s="147"/>
      <c r="Q3623" s="146"/>
      <c r="T3623" s="146"/>
      <c r="V3623" s="147"/>
      <c r="W3623" s="146"/>
      <c r="Y3623" s="147"/>
    </row>
    <row r="3624" spans="3:25">
      <c r="C3624" s="146"/>
      <c r="E3624" s="147"/>
      <c r="F3624" s="146"/>
      <c r="I3624" s="147"/>
      <c r="Q3624" s="146"/>
      <c r="T3624" s="146"/>
      <c r="V3624" s="147"/>
      <c r="W3624" s="146"/>
      <c r="Y3624" s="147"/>
    </row>
    <row r="3625" spans="3:25">
      <c r="C3625" s="146"/>
      <c r="E3625" s="147"/>
      <c r="F3625" s="146"/>
      <c r="I3625" s="147"/>
      <c r="Q3625" s="146"/>
      <c r="T3625" s="146"/>
      <c r="V3625" s="147"/>
      <c r="W3625" s="146"/>
      <c r="Y3625" s="147"/>
    </row>
    <row r="3626" spans="3:25">
      <c r="C3626" s="146"/>
      <c r="E3626" s="147"/>
      <c r="F3626" s="146"/>
      <c r="I3626" s="147"/>
      <c r="Q3626" s="146"/>
      <c r="T3626" s="146"/>
      <c r="V3626" s="147"/>
      <c r="W3626" s="146"/>
      <c r="Y3626" s="147"/>
    </row>
    <row r="3627" spans="3:25">
      <c r="C3627" s="146"/>
      <c r="E3627" s="147"/>
      <c r="F3627" s="146"/>
      <c r="I3627" s="147"/>
      <c r="Q3627" s="146"/>
      <c r="T3627" s="146"/>
      <c r="V3627" s="147"/>
      <c r="W3627" s="146"/>
      <c r="Y3627" s="147"/>
    </row>
    <row r="3628" spans="3:25">
      <c r="C3628" s="146"/>
      <c r="E3628" s="147"/>
      <c r="F3628" s="146"/>
      <c r="I3628" s="147"/>
      <c r="Q3628" s="146"/>
      <c r="T3628" s="146"/>
      <c r="V3628" s="147"/>
      <c r="W3628" s="146"/>
      <c r="Y3628" s="147"/>
    </row>
    <row r="3629" spans="3:25">
      <c r="C3629" s="146"/>
      <c r="E3629" s="147"/>
      <c r="F3629" s="146"/>
      <c r="I3629" s="147"/>
      <c r="Q3629" s="146"/>
      <c r="T3629" s="146"/>
      <c r="V3629" s="147"/>
      <c r="W3629" s="146"/>
      <c r="Y3629" s="147"/>
    </row>
    <row r="3630" spans="3:25">
      <c r="C3630" s="146"/>
      <c r="E3630" s="147"/>
      <c r="F3630" s="146"/>
      <c r="I3630" s="147"/>
      <c r="Q3630" s="146"/>
      <c r="T3630" s="146"/>
      <c r="V3630" s="147"/>
      <c r="W3630" s="146"/>
      <c r="Y3630" s="147"/>
    </row>
    <row r="3631" spans="3:25">
      <c r="C3631" s="146"/>
      <c r="E3631" s="147"/>
      <c r="F3631" s="146"/>
      <c r="I3631" s="147"/>
      <c r="Q3631" s="146"/>
      <c r="T3631" s="146"/>
      <c r="V3631" s="147"/>
      <c r="W3631" s="146"/>
      <c r="Y3631" s="147"/>
    </row>
    <row r="3632" spans="3:25">
      <c r="C3632" s="146"/>
      <c r="E3632" s="147"/>
      <c r="F3632" s="146"/>
      <c r="I3632" s="147"/>
      <c r="Q3632" s="146"/>
      <c r="T3632" s="146"/>
      <c r="V3632" s="147"/>
      <c r="W3632" s="146"/>
      <c r="Y3632" s="147"/>
    </row>
    <row r="3633" spans="3:25">
      <c r="C3633" s="146"/>
      <c r="E3633" s="147"/>
      <c r="F3633" s="146"/>
      <c r="I3633" s="147"/>
      <c r="Q3633" s="146"/>
      <c r="T3633" s="146"/>
      <c r="V3633" s="147"/>
      <c r="W3633" s="146"/>
      <c r="Y3633" s="147"/>
    </row>
    <row r="3634" spans="3:25">
      <c r="C3634" s="146"/>
      <c r="E3634" s="147"/>
      <c r="F3634" s="146"/>
      <c r="I3634" s="147"/>
      <c r="Q3634" s="146"/>
      <c r="T3634" s="146"/>
      <c r="V3634" s="147"/>
      <c r="W3634" s="146"/>
      <c r="Y3634" s="147"/>
    </row>
    <row r="3635" spans="3:25">
      <c r="C3635" s="146"/>
      <c r="E3635" s="147"/>
      <c r="F3635" s="146"/>
      <c r="I3635" s="147"/>
      <c r="Q3635" s="146"/>
      <c r="T3635" s="146"/>
      <c r="V3635" s="147"/>
      <c r="W3635" s="146"/>
      <c r="Y3635" s="147"/>
    </row>
    <row r="3636" spans="3:25">
      <c r="C3636" s="146"/>
      <c r="E3636" s="147"/>
      <c r="F3636" s="146"/>
      <c r="I3636" s="147"/>
      <c r="Q3636" s="146"/>
      <c r="T3636" s="146"/>
      <c r="V3636" s="147"/>
      <c r="W3636" s="146"/>
      <c r="Y3636" s="147"/>
    </row>
    <row r="3637" spans="3:25">
      <c r="C3637" s="146"/>
      <c r="E3637" s="147"/>
      <c r="F3637" s="146"/>
      <c r="I3637" s="147"/>
      <c r="Q3637" s="146"/>
      <c r="T3637" s="146"/>
      <c r="V3637" s="147"/>
      <c r="W3637" s="146"/>
      <c r="Y3637" s="147"/>
    </row>
    <row r="3638" spans="3:25">
      <c r="C3638" s="146"/>
      <c r="E3638" s="147"/>
      <c r="F3638" s="146"/>
      <c r="I3638" s="147"/>
      <c r="Q3638" s="146"/>
      <c r="T3638" s="146"/>
      <c r="V3638" s="147"/>
      <c r="W3638" s="146"/>
      <c r="Y3638" s="147"/>
    </row>
    <row r="3639" spans="3:25">
      <c r="C3639" s="146"/>
      <c r="E3639" s="147"/>
      <c r="F3639" s="146"/>
      <c r="I3639" s="147"/>
      <c r="Q3639" s="146"/>
      <c r="T3639" s="146"/>
      <c r="V3639" s="147"/>
      <c r="W3639" s="146"/>
      <c r="Y3639" s="147"/>
    </row>
    <row r="3640" spans="3:25">
      <c r="C3640" s="146"/>
      <c r="E3640" s="147"/>
      <c r="F3640" s="146"/>
      <c r="I3640" s="147"/>
      <c r="Q3640" s="146"/>
      <c r="T3640" s="146"/>
      <c r="V3640" s="147"/>
      <c r="W3640" s="146"/>
      <c r="Y3640" s="147"/>
    </row>
    <row r="3641" spans="3:25">
      <c r="C3641" s="146"/>
      <c r="E3641" s="147"/>
      <c r="F3641" s="146"/>
      <c r="I3641" s="147"/>
      <c r="Q3641" s="146"/>
      <c r="T3641" s="146"/>
      <c r="V3641" s="147"/>
      <c r="W3641" s="146"/>
      <c r="Y3641" s="147"/>
    </row>
    <row r="3642" spans="3:25">
      <c r="C3642" s="146"/>
      <c r="E3642" s="147"/>
      <c r="F3642" s="146"/>
      <c r="I3642" s="147"/>
      <c r="Q3642" s="146"/>
      <c r="T3642" s="146"/>
      <c r="V3642" s="147"/>
      <c r="W3642" s="146"/>
      <c r="Y3642" s="147"/>
    </row>
    <row r="3643" spans="3:25">
      <c r="C3643" s="146"/>
      <c r="E3643" s="147"/>
      <c r="F3643" s="146"/>
      <c r="I3643" s="147"/>
      <c r="Q3643" s="146"/>
      <c r="T3643" s="146"/>
      <c r="V3643" s="147"/>
      <c r="W3643" s="146"/>
      <c r="Y3643" s="147"/>
    </row>
    <row r="3644" spans="3:25">
      <c r="C3644" s="146"/>
      <c r="E3644" s="147"/>
      <c r="F3644" s="146"/>
      <c r="I3644" s="147"/>
      <c r="Q3644" s="146"/>
      <c r="T3644" s="146"/>
      <c r="V3644" s="147"/>
      <c r="W3644" s="146"/>
      <c r="Y3644" s="147"/>
    </row>
    <row r="3645" spans="3:25">
      <c r="C3645" s="146"/>
      <c r="E3645" s="147"/>
      <c r="F3645" s="146"/>
      <c r="I3645" s="147"/>
      <c r="Q3645" s="146"/>
      <c r="T3645" s="146"/>
      <c r="V3645" s="147"/>
      <c r="W3645" s="146"/>
      <c r="Y3645" s="147"/>
    </row>
    <row r="3646" spans="3:25">
      <c r="C3646" s="146"/>
      <c r="E3646" s="147"/>
      <c r="F3646" s="146"/>
      <c r="I3646" s="147"/>
      <c r="Q3646" s="146"/>
      <c r="T3646" s="146"/>
      <c r="V3646" s="147"/>
      <c r="W3646" s="146"/>
      <c r="Y3646" s="147"/>
    </row>
    <row r="3647" spans="3:25">
      <c r="C3647" s="146"/>
      <c r="E3647" s="147"/>
      <c r="F3647" s="146"/>
      <c r="I3647" s="147"/>
      <c r="Q3647" s="146"/>
      <c r="T3647" s="146"/>
      <c r="V3647" s="147"/>
      <c r="W3647" s="146"/>
      <c r="Y3647" s="147"/>
    </row>
    <row r="3648" spans="3:25">
      <c r="C3648" s="146"/>
      <c r="E3648" s="147"/>
      <c r="F3648" s="146"/>
      <c r="I3648" s="147"/>
      <c r="Q3648" s="146"/>
      <c r="T3648" s="146"/>
      <c r="V3648" s="147"/>
      <c r="W3648" s="146"/>
      <c r="Y3648" s="147"/>
    </row>
    <row r="3649" spans="3:25">
      <c r="C3649" s="146"/>
      <c r="E3649" s="147"/>
      <c r="F3649" s="146"/>
      <c r="I3649" s="147"/>
      <c r="Q3649" s="146"/>
      <c r="T3649" s="146"/>
      <c r="V3649" s="147"/>
      <c r="W3649" s="146"/>
      <c r="Y3649" s="147"/>
    </row>
    <row r="3650" spans="3:25">
      <c r="C3650" s="146"/>
      <c r="E3650" s="147"/>
      <c r="F3650" s="146"/>
      <c r="I3650" s="147"/>
      <c r="Q3650" s="146"/>
      <c r="T3650" s="146"/>
      <c r="V3650" s="147"/>
      <c r="W3650" s="146"/>
      <c r="Y3650" s="147"/>
    </row>
    <row r="3651" spans="3:25">
      <c r="C3651" s="146"/>
      <c r="E3651" s="147"/>
      <c r="F3651" s="146"/>
      <c r="I3651" s="147"/>
      <c r="Q3651" s="146"/>
      <c r="T3651" s="146"/>
      <c r="V3651" s="147"/>
      <c r="W3651" s="146"/>
      <c r="Y3651" s="147"/>
    </row>
    <row r="3652" spans="3:25">
      <c r="C3652" s="146"/>
      <c r="E3652" s="147"/>
      <c r="F3652" s="146"/>
      <c r="I3652" s="147"/>
      <c r="Q3652" s="146"/>
      <c r="T3652" s="146"/>
      <c r="V3652" s="147"/>
      <c r="W3652" s="146"/>
      <c r="Y3652" s="147"/>
    </row>
    <row r="3653" spans="3:25">
      <c r="C3653" s="146"/>
      <c r="E3653" s="147"/>
      <c r="F3653" s="146"/>
      <c r="I3653" s="147"/>
      <c r="Q3653" s="146"/>
      <c r="T3653" s="146"/>
      <c r="V3653" s="147"/>
      <c r="W3653" s="146"/>
      <c r="Y3653" s="147"/>
    </row>
    <row r="3654" spans="3:25">
      <c r="C3654" s="146"/>
      <c r="E3654" s="147"/>
      <c r="F3654" s="146"/>
      <c r="I3654" s="147"/>
      <c r="Q3654" s="146"/>
      <c r="T3654" s="146"/>
      <c r="V3654" s="147"/>
      <c r="W3654" s="146"/>
      <c r="Y3654" s="147"/>
    </row>
    <row r="3655" spans="3:25">
      <c r="C3655" s="146"/>
      <c r="E3655" s="147"/>
      <c r="F3655" s="146"/>
      <c r="I3655" s="147"/>
      <c r="Q3655" s="146"/>
      <c r="T3655" s="146"/>
      <c r="V3655" s="147"/>
      <c r="W3655" s="146"/>
      <c r="Y3655" s="147"/>
    </row>
    <row r="3656" spans="3:25">
      <c r="C3656" s="146"/>
      <c r="E3656" s="147"/>
      <c r="F3656" s="146"/>
      <c r="I3656" s="147"/>
      <c r="Q3656" s="146"/>
      <c r="T3656" s="146"/>
      <c r="V3656" s="147"/>
      <c r="W3656" s="146"/>
      <c r="Y3656" s="147"/>
    </row>
    <row r="3657" spans="3:25">
      <c r="C3657" s="146"/>
      <c r="E3657" s="147"/>
      <c r="F3657" s="146"/>
      <c r="I3657" s="147"/>
      <c r="Q3657" s="146"/>
      <c r="T3657" s="146"/>
      <c r="V3657" s="147"/>
      <c r="W3657" s="146"/>
      <c r="Y3657" s="147"/>
    </row>
    <row r="3658" spans="3:25">
      <c r="C3658" s="146"/>
      <c r="E3658" s="147"/>
      <c r="F3658" s="146"/>
      <c r="I3658" s="147"/>
      <c r="Q3658" s="146"/>
      <c r="T3658" s="146"/>
      <c r="V3658" s="147"/>
      <c r="W3658" s="146"/>
      <c r="Y3658" s="147"/>
    </row>
    <row r="3659" spans="3:25">
      <c r="C3659" s="146"/>
      <c r="E3659" s="147"/>
      <c r="F3659" s="146"/>
      <c r="I3659" s="147"/>
      <c r="Q3659" s="146"/>
      <c r="T3659" s="146"/>
      <c r="V3659" s="147"/>
      <c r="W3659" s="146"/>
      <c r="Y3659" s="147"/>
    </row>
    <row r="3660" spans="3:25">
      <c r="C3660" s="146"/>
      <c r="E3660" s="147"/>
      <c r="F3660" s="146"/>
      <c r="I3660" s="147"/>
      <c r="Q3660" s="146"/>
      <c r="T3660" s="146"/>
      <c r="V3660" s="147"/>
      <c r="W3660" s="146"/>
      <c r="Y3660" s="147"/>
    </row>
    <row r="3661" spans="3:25">
      <c r="C3661" s="146"/>
      <c r="E3661" s="147"/>
      <c r="F3661" s="146"/>
      <c r="I3661" s="147"/>
      <c r="Q3661" s="146"/>
      <c r="T3661" s="146"/>
      <c r="V3661" s="147"/>
      <c r="W3661" s="146"/>
      <c r="Y3661" s="147"/>
    </row>
    <row r="3662" spans="3:25">
      <c r="C3662" s="146"/>
      <c r="E3662" s="147"/>
      <c r="F3662" s="146"/>
      <c r="I3662" s="147"/>
      <c r="Q3662" s="146"/>
      <c r="T3662" s="146"/>
      <c r="V3662" s="147"/>
      <c r="W3662" s="146"/>
      <c r="Y3662" s="147"/>
    </row>
    <row r="3663" spans="3:25">
      <c r="C3663" s="146"/>
      <c r="E3663" s="147"/>
      <c r="F3663" s="146"/>
      <c r="I3663" s="147"/>
      <c r="Q3663" s="146"/>
      <c r="T3663" s="146"/>
      <c r="V3663" s="147"/>
      <c r="W3663" s="146"/>
      <c r="Y3663" s="147"/>
    </row>
    <row r="3664" spans="3:25">
      <c r="C3664" s="146"/>
      <c r="E3664" s="147"/>
      <c r="F3664" s="146"/>
      <c r="I3664" s="147"/>
      <c r="Q3664" s="146"/>
      <c r="T3664" s="146"/>
      <c r="V3664" s="147"/>
      <c r="W3664" s="146"/>
      <c r="Y3664" s="147"/>
    </row>
    <row r="3665" spans="3:25">
      <c r="C3665" s="146"/>
      <c r="E3665" s="147"/>
      <c r="F3665" s="146"/>
      <c r="I3665" s="147"/>
      <c r="Q3665" s="146"/>
      <c r="T3665" s="146"/>
      <c r="V3665" s="147"/>
      <c r="W3665" s="146"/>
      <c r="Y3665" s="147"/>
    </row>
    <row r="3666" spans="3:25">
      <c r="C3666" s="146"/>
      <c r="E3666" s="147"/>
      <c r="F3666" s="146"/>
      <c r="I3666" s="147"/>
      <c r="Q3666" s="146"/>
      <c r="T3666" s="146"/>
      <c r="V3666" s="147"/>
      <c r="W3666" s="146"/>
      <c r="Y3666" s="147"/>
    </row>
    <row r="3667" spans="3:25">
      <c r="C3667" s="146"/>
      <c r="E3667" s="147"/>
      <c r="F3667" s="146"/>
      <c r="I3667" s="147"/>
      <c r="Q3667" s="146"/>
      <c r="T3667" s="146"/>
      <c r="V3667" s="147"/>
      <c r="W3667" s="146"/>
      <c r="Y3667" s="147"/>
    </row>
    <row r="3668" spans="3:25">
      <c r="C3668" s="146"/>
      <c r="E3668" s="147"/>
      <c r="F3668" s="146"/>
      <c r="I3668" s="147"/>
      <c r="Q3668" s="146"/>
      <c r="T3668" s="146"/>
      <c r="V3668" s="147"/>
      <c r="W3668" s="146"/>
      <c r="Y3668" s="147"/>
    </row>
    <row r="3669" spans="3:25">
      <c r="C3669" s="146"/>
      <c r="E3669" s="147"/>
      <c r="F3669" s="146"/>
      <c r="I3669" s="147"/>
      <c r="Q3669" s="146"/>
      <c r="T3669" s="146"/>
      <c r="V3669" s="147"/>
      <c r="W3669" s="146"/>
      <c r="Y3669" s="147"/>
    </row>
    <row r="3670" spans="3:25">
      <c r="C3670" s="146"/>
      <c r="E3670" s="147"/>
      <c r="F3670" s="146"/>
      <c r="I3670" s="147"/>
      <c r="Q3670" s="146"/>
      <c r="T3670" s="146"/>
      <c r="V3670" s="147"/>
      <c r="W3670" s="146"/>
      <c r="Y3670" s="147"/>
    </row>
    <row r="3671" spans="3:25">
      <c r="C3671" s="146"/>
      <c r="E3671" s="147"/>
      <c r="F3671" s="146"/>
      <c r="I3671" s="147"/>
      <c r="Q3671" s="146"/>
      <c r="T3671" s="146"/>
      <c r="V3671" s="147"/>
      <c r="W3671" s="146"/>
      <c r="Y3671" s="147"/>
    </row>
    <row r="3672" spans="3:25">
      <c r="C3672" s="146"/>
      <c r="E3672" s="147"/>
      <c r="F3672" s="146"/>
      <c r="I3672" s="147"/>
      <c r="Q3672" s="146"/>
      <c r="T3672" s="146"/>
      <c r="V3672" s="147"/>
      <c r="W3672" s="146"/>
      <c r="Y3672" s="147"/>
    </row>
    <row r="3673" spans="3:25">
      <c r="C3673" s="146"/>
      <c r="E3673" s="147"/>
      <c r="F3673" s="146"/>
      <c r="I3673" s="147"/>
      <c r="Q3673" s="146"/>
      <c r="T3673" s="146"/>
      <c r="V3673" s="147"/>
      <c r="W3673" s="146"/>
      <c r="Y3673" s="147"/>
    </row>
    <row r="3674" spans="3:25">
      <c r="C3674" s="146"/>
      <c r="E3674" s="147"/>
      <c r="F3674" s="146"/>
      <c r="I3674" s="147"/>
      <c r="Q3674" s="146"/>
      <c r="T3674" s="146"/>
      <c r="V3674" s="147"/>
      <c r="W3674" s="146"/>
      <c r="Y3674" s="147"/>
    </row>
    <row r="3675" spans="3:25">
      <c r="C3675" s="146"/>
      <c r="E3675" s="147"/>
      <c r="F3675" s="146"/>
      <c r="I3675" s="147"/>
      <c r="Q3675" s="146"/>
      <c r="T3675" s="146"/>
      <c r="V3675" s="147"/>
      <c r="W3675" s="146"/>
      <c r="Y3675" s="147"/>
    </row>
    <row r="3676" spans="3:25">
      <c r="C3676" s="146"/>
      <c r="E3676" s="147"/>
      <c r="F3676" s="146"/>
      <c r="I3676" s="147"/>
      <c r="Q3676" s="146"/>
      <c r="T3676" s="146"/>
      <c r="V3676" s="147"/>
      <c r="W3676" s="146"/>
      <c r="Y3676" s="147"/>
    </row>
    <row r="3677" spans="3:25">
      <c r="C3677" s="146"/>
      <c r="E3677" s="147"/>
      <c r="F3677" s="146"/>
      <c r="I3677" s="147"/>
      <c r="Q3677" s="146"/>
      <c r="T3677" s="146"/>
      <c r="V3677" s="147"/>
      <c r="W3677" s="146"/>
      <c r="Y3677" s="147"/>
    </row>
    <row r="3678" spans="3:25">
      <c r="C3678" s="146"/>
      <c r="E3678" s="147"/>
      <c r="F3678" s="146"/>
      <c r="I3678" s="147"/>
      <c r="Q3678" s="146"/>
      <c r="T3678" s="146"/>
      <c r="V3678" s="147"/>
      <c r="W3678" s="146"/>
      <c r="Y3678" s="147"/>
    </row>
    <row r="3679" spans="3:25">
      <c r="C3679" s="146"/>
      <c r="E3679" s="147"/>
      <c r="F3679" s="146"/>
      <c r="I3679" s="147"/>
      <c r="Q3679" s="146"/>
      <c r="T3679" s="146"/>
      <c r="V3679" s="147"/>
      <c r="W3679" s="146"/>
      <c r="Y3679" s="147"/>
    </row>
    <row r="3680" spans="3:25">
      <c r="C3680" s="146"/>
      <c r="E3680" s="147"/>
      <c r="F3680" s="146"/>
      <c r="I3680" s="147"/>
      <c r="Q3680" s="146"/>
      <c r="T3680" s="146"/>
      <c r="V3680" s="147"/>
      <c r="W3680" s="146"/>
      <c r="Y3680" s="147"/>
    </row>
    <row r="3681" spans="3:25">
      <c r="C3681" s="146"/>
      <c r="E3681" s="147"/>
      <c r="F3681" s="146"/>
      <c r="I3681" s="147"/>
      <c r="Q3681" s="146"/>
      <c r="T3681" s="146"/>
      <c r="V3681" s="147"/>
      <c r="W3681" s="146"/>
      <c r="Y3681" s="147"/>
    </row>
    <row r="3682" spans="3:25">
      <c r="C3682" s="146"/>
      <c r="E3682" s="147"/>
      <c r="F3682" s="146"/>
      <c r="I3682" s="147"/>
      <c r="Q3682" s="146"/>
      <c r="T3682" s="146"/>
      <c r="V3682" s="147"/>
      <c r="W3682" s="146"/>
      <c r="Y3682" s="147"/>
    </row>
    <row r="3683" spans="3:25">
      <c r="C3683" s="146"/>
      <c r="E3683" s="147"/>
      <c r="F3683" s="146"/>
      <c r="I3683" s="147"/>
      <c r="Q3683" s="146"/>
      <c r="T3683" s="146"/>
      <c r="V3683" s="147"/>
      <c r="W3683" s="146"/>
      <c r="Y3683" s="147"/>
    </row>
    <row r="3684" spans="3:25">
      <c r="C3684" s="146"/>
      <c r="E3684" s="147"/>
      <c r="F3684" s="146"/>
      <c r="I3684" s="147"/>
      <c r="Q3684" s="146"/>
      <c r="T3684" s="146"/>
      <c r="V3684" s="147"/>
      <c r="W3684" s="146"/>
      <c r="Y3684" s="147"/>
    </row>
    <row r="3685" spans="3:25">
      <c r="C3685" s="146"/>
      <c r="E3685" s="147"/>
      <c r="F3685" s="146"/>
      <c r="I3685" s="147"/>
      <c r="Q3685" s="146"/>
      <c r="T3685" s="146"/>
      <c r="V3685" s="147"/>
      <c r="W3685" s="146"/>
      <c r="Y3685" s="147"/>
    </row>
    <row r="3686" spans="3:25">
      <c r="C3686" s="146"/>
      <c r="E3686" s="147"/>
      <c r="F3686" s="146"/>
      <c r="I3686" s="147"/>
      <c r="Q3686" s="146"/>
      <c r="T3686" s="146"/>
      <c r="V3686" s="147"/>
      <c r="W3686" s="146"/>
      <c r="Y3686" s="147"/>
    </row>
    <row r="3687" spans="3:25">
      <c r="C3687" s="146"/>
      <c r="E3687" s="147"/>
      <c r="F3687" s="146"/>
      <c r="I3687" s="147"/>
      <c r="Q3687" s="146"/>
      <c r="T3687" s="146"/>
      <c r="V3687" s="147"/>
      <c r="W3687" s="146"/>
      <c r="Y3687" s="147"/>
    </row>
    <row r="3688" spans="3:25">
      <c r="C3688" s="146"/>
      <c r="E3688" s="147"/>
      <c r="F3688" s="146"/>
      <c r="I3688" s="147"/>
      <c r="Q3688" s="146"/>
      <c r="T3688" s="146"/>
      <c r="V3688" s="147"/>
      <c r="W3688" s="146"/>
      <c r="Y3688" s="147"/>
    </row>
    <row r="3689" spans="3:25">
      <c r="C3689" s="146"/>
      <c r="E3689" s="147"/>
      <c r="F3689" s="146"/>
      <c r="I3689" s="147"/>
      <c r="Q3689" s="146"/>
      <c r="T3689" s="146"/>
      <c r="V3689" s="147"/>
      <c r="W3689" s="146"/>
      <c r="Y3689" s="147"/>
    </row>
    <row r="3690" spans="3:25">
      <c r="C3690" s="146"/>
      <c r="E3690" s="147"/>
      <c r="F3690" s="146"/>
      <c r="I3690" s="147"/>
      <c r="Q3690" s="146"/>
      <c r="T3690" s="146"/>
      <c r="V3690" s="147"/>
      <c r="W3690" s="146"/>
      <c r="Y3690" s="147"/>
    </row>
    <row r="3691" spans="3:25">
      <c r="C3691" s="146"/>
      <c r="E3691" s="147"/>
      <c r="F3691" s="146"/>
      <c r="I3691" s="147"/>
      <c r="Q3691" s="146"/>
      <c r="T3691" s="146"/>
      <c r="V3691" s="147"/>
      <c r="W3691" s="146"/>
      <c r="Y3691" s="147"/>
    </row>
    <row r="3692" spans="3:25">
      <c r="C3692" s="146"/>
      <c r="E3692" s="147"/>
      <c r="F3692" s="146"/>
      <c r="I3692" s="147"/>
      <c r="Q3692" s="146"/>
      <c r="T3692" s="146"/>
      <c r="V3692" s="147"/>
      <c r="W3692" s="146"/>
      <c r="Y3692" s="147"/>
    </row>
    <row r="3693" spans="3:25">
      <c r="C3693" s="146"/>
      <c r="E3693" s="147"/>
      <c r="F3693" s="146"/>
      <c r="I3693" s="147"/>
      <c r="Q3693" s="146"/>
      <c r="T3693" s="146"/>
      <c r="V3693" s="147"/>
      <c r="W3693" s="146"/>
      <c r="Y3693" s="147"/>
    </row>
    <row r="3694" spans="3:25">
      <c r="C3694" s="146"/>
      <c r="E3694" s="147"/>
      <c r="F3694" s="146"/>
      <c r="I3694" s="147"/>
      <c r="Q3694" s="146"/>
      <c r="T3694" s="146"/>
      <c r="V3694" s="147"/>
      <c r="W3694" s="146"/>
      <c r="Y3694" s="147"/>
    </row>
    <row r="3695" spans="3:25">
      <c r="C3695" s="146"/>
      <c r="E3695" s="147"/>
      <c r="F3695" s="146"/>
      <c r="I3695" s="147"/>
      <c r="Q3695" s="146"/>
      <c r="T3695" s="146"/>
      <c r="V3695" s="147"/>
      <c r="W3695" s="146"/>
      <c r="Y3695" s="147"/>
    </row>
    <row r="3696" spans="3:25">
      <c r="C3696" s="146"/>
      <c r="E3696" s="147"/>
      <c r="F3696" s="146"/>
      <c r="I3696" s="147"/>
      <c r="Q3696" s="146"/>
      <c r="T3696" s="146"/>
      <c r="V3696" s="147"/>
      <c r="W3696" s="146"/>
      <c r="Y3696" s="147"/>
    </row>
    <row r="3697" spans="3:25">
      <c r="C3697" s="146"/>
      <c r="E3697" s="147"/>
      <c r="F3697" s="146"/>
      <c r="I3697" s="147"/>
      <c r="Q3697" s="146"/>
      <c r="T3697" s="146"/>
      <c r="V3697" s="147"/>
      <c r="W3697" s="146"/>
      <c r="Y3697" s="147"/>
    </row>
    <row r="3698" spans="3:25">
      <c r="C3698" s="146"/>
      <c r="E3698" s="147"/>
      <c r="F3698" s="146"/>
      <c r="I3698" s="147"/>
      <c r="Q3698" s="146"/>
      <c r="T3698" s="146"/>
      <c r="V3698" s="147"/>
      <c r="W3698" s="146"/>
      <c r="Y3698" s="147"/>
    </row>
    <row r="3699" spans="3:25">
      <c r="C3699" s="146"/>
      <c r="E3699" s="147"/>
      <c r="F3699" s="146"/>
      <c r="I3699" s="147"/>
      <c r="Q3699" s="146"/>
      <c r="T3699" s="146"/>
      <c r="V3699" s="147"/>
      <c r="W3699" s="146"/>
      <c r="Y3699" s="147"/>
    </row>
    <row r="3700" spans="3:25">
      <c r="C3700" s="146"/>
      <c r="E3700" s="147"/>
      <c r="F3700" s="146"/>
      <c r="I3700" s="147"/>
      <c r="Q3700" s="146"/>
      <c r="T3700" s="146"/>
      <c r="V3700" s="147"/>
      <c r="W3700" s="146"/>
      <c r="Y3700" s="147"/>
    </row>
    <row r="3701" spans="3:25">
      <c r="C3701" s="146"/>
      <c r="E3701" s="147"/>
      <c r="F3701" s="146"/>
      <c r="I3701" s="147"/>
      <c r="Q3701" s="146"/>
      <c r="T3701" s="146"/>
      <c r="V3701" s="147"/>
      <c r="W3701" s="146"/>
      <c r="Y3701" s="147"/>
    </row>
    <row r="3702" spans="3:25">
      <c r="C3702" s="146"/>
      <c r="E3702" s="147"/>
      <c r="F3702" s="146"/>
      <c r="I3702" s="147"/>
      <c r="Q3702" s="146"/>
      <c r="T3702" s="146"/>
      <c r="V3702" s="147"/>
      <c r="W3702" s="146"/>
      <c r="Y3702" s="147"/>
    </row>
    <row r="3703" spans="3:25">
      <c r="C3703" s="146"/>
      <c r="E3703" s="147"/>
      <c r="F3703" s="146"/>
      <c r="I3703" s="147"/>
      <c r="Q3703" s="146"/>
      <c r="T3703" s="146"/>
      <c r="V3703" s="147"/>
      <c r="W3703" s="146"/>
      <c r="Y3703" s="147"/>
    </row>
    <row r="3704" spans="3:25">
      <c r="C3704" s="146"/>
      <c r="E3704" s="147"/>
      <c r="F3704" s="146"/>
      <c r="I3704" s="147"/>
      <c r="Q3704" s="146"/>
      <c r="T3704" s="146"/>
      <c r="V3704" s="147"/>
      <c r="W3704" s="146"/>
      <c r="Y3704" s="147"/>
    </row>
    <row r="3705" spans="3:25">
      <c r="C3705" s="146"/>
      <c r="E3705" s="147"/>
      <c r="F3705" s="146"/>
      <c r="I3705" s="147"/>
      <c r="Q3705" s="146"/>
      <c r="T3705" s="146"/>
      <c r="V3705" s="147"/>
      <c r="W3705" s="146"/>
      <c r="Y3705" s="147"/>
    </row>
    <row r="3706" spans="3:25">
      <c r="C3706" s="146"/>
      <c r="E3706" s="147"/>
      <c r="F3706" s="146"/>
      <c r="I3706" s="147"/>
      <c r="Q3706" s="146"/>
      <c r="T3706" s="146"/>
      <c r="V3706" s="147"/>
      <c r="W3706" s="146"/>
      <c r="Y3706" s="147"/>
    </row>
    <row r="3707" spans="3:25">
      <c r="C3707" s="146"/>
      <c r="E3707" s="147"/>
      <c r="F3707" s="146"/>
      <c r="I3707" s="147"/>
      <c r="Q3707" s="146"/>
      <c r="T3707" s="146"/>
      <c r="V3707" s="147"/>
      <c r="W3707" s="146"/>
      <c r="Y3707" s="147"/>
    </row>
    <row r="3708" spans="3:25">
      <c r="C3708" s="146"/>
      <c r="E3708" s="147"/>
      <c r="F3708" s="146"/>
      <c r="I3708" s="147"/>
      <c r="Q3708" s="146"/>
      <c r="T3708" s="146"/>
      <c r="V3708" s="147"/>
      <c r="W3708" s="146"/>
      <c r="Y3708" s="147"/>
    </row>
    <row r="3709" spans="3:25">
      <c r="C3709" s="146"/>
      <c r="E3709" s="147"/>
      <c r="F3709" s="146"/>
      <c r="I3709" s="147"/>
      <c r="Q3709" s="146"/>
      <c r="T3709" s="146"/>
      <c r="V3709" s="147"/>
      <c r="W3709" s="146"/>
      <c r="Y3709" s="147"/>
    </row>
    <row r="3710" spans="3:25">
      <c r="C3710" s="146"/>
      <c r="E3710" s="147"/>
      <c r="F3710" s="146"/>
      <c r="I3710" s="147"/>
      <c r="Q3710" s="146"/>
      <c r="T3710" s="146"/>
      <c r="V3710" s="147"/>
      <c r="W3710" s="146"/>
      <c r="Y3710" s="147"/>
    </row>
    <row r="3711" spans="3:25">
      <c r="C3711" s="146"/>
      <c r="E3711" s="147"/>
      <c r="F3711" s="146"/>
      <c r="I3711" s="147"/>
      <c r="Q3711" s="146"/>
      <c r="T3711" s="146"/>
      <c r="V3711" s="147"/>
      <c r="W3711" s="146"/>
      <c r="Y3711" s="147"/>
    </row>
    <row r="3712" spans="3:25">
      <c r="C3712" s="146"/>
      <c r="E3712" s="147"/>
      <c r="F3712" s="146"/>
      <c r="I3712" s="147"/>
      <c r="Q3712" s="146"/>
      <c r="T3712" s="146"/>
      <c r="V3712" s="147"/>
      <c r="W3712" s="146"/>
      <c r="Y3712" s="147"/>
    </row>
    <row r="3713" spans="3:25">
      <c r="C3713" s="146"/>
      <c r="E3713" s="147"/>
      <c r="F3713" s="146"/>
      <c r="I3713" s="147"/>
      <c r="Q3713" s="146"/>
      <c r="T3713" s="146"/>
      <c r="V3713" s="147"/>
      <c r="W3713" s="146"/>
      <c r="Y3713" s="147"/>
    </row>
    <row r="3714" spans="3:25">
      <c r="C3714" s="146"/>
      <c r="E3714" s="147"/>
      <c r="F3714" s="146"/>
      <c r="I3714" s="147"/>
      <c r="Q3714" s="146"/>
      <c r="T3714" s="146"/>
      <c r="V3714" s="147"/>
      <c r="W3714" s="146"/>
      <c r="Y3714" s="147"/>
    </row>
    <row r="3715" spans="3:25">
      <c r="C3715" s="146"/>
      <c r="E3715" s="147"/>
      <c r="F3715" s="146"/>
      <c r="I3715" s="147"/>
      <c r="Q3715" s="146"/>
      <c r="T3715" s="146"/>
      <c r="V3715" s="147"/>
      <c r="W3715" s="146"/>
      <c r="Y3715" s="147"/>
    </row>
    <row r="3716" spans="3:25">
      <c r="C3716" s="146"/>
      <c r="E3716" s="147"/>
      <c r="F3716" s="146"/>
      <c r="I3716" s="147"/>
      <c r="Q3716" s="146"/>
      <c r="T3716" s="146"/>
      <c r="V3716" s="147"/>
      <c r="W3716" s="146"/>
      <c r="Y3716" s="147"/>
    </row>
    <row r="3717" spans="3:25">
      <c r="C3717" s="146"/>
      <c r="E3717" s="147"/>
      <c r="F3717" s="146"/>
      <c r="I3717" s="147"/>
      <c r="Q3717" s="146"/>
      <c r="T3717" s="146"/>
      <c r="V3717" s="147"/>
      <c r="W3717" s="146"/>
      <c r="Y3717" s="147"/>
    </row>
    <row r="3718" spans="3:25">
      <c r="C3718" s="146"/>
      <c r="E3718" s="147"/>
      <c r="F3718" s="146"/>
      <c r="I3718" s="147"/>
      <c r="Q3718" s="146"/>
      <c r="T3718" s="146"/>
      <c r="V3718" s="147"/>
      <c r="W3718" s="146"/>
      <c r="Y3718" s="147"/>
    </row>
    <row r="3719" spans="3:25">
      <c r="C3719" s="146"/>
      <c r="E3719" s="147"/>
      <c r="F3719" s="146"/>
      <c r="I3719" s="147"/>
      <c r="Q3719" s="146"/>
      <c r="T3719" s="146"/>
      <c r="V3719" s="147"/>
      <c r="W3719" s="146"/>
      <c r="Y3719" s="147"/>
    </row>
    <row r="3720" spans="3:25">
      <c r="C3720" s="146"/>
      <c r="E3720" s="147"/>
      <c r="F3720" s="146"/>
      <c r="I3720" s="147"/>
      <c r="Q3720" s="146"/>
      <c r="T3720" s="146"/>
      <c r="V3720" s="147"/>
      <c r="W3720" s="146"/>
      <c r="Y3720" s="147"/>
    </row>
    <row r="3721" spans="3:25">
      <c r="C3721" s="146"/>
      <c r="E3721" s="147"/>
      <c r="F3721" s="146"/>
      <c r="I3721" s="147"/>
      <c r="Q3721" s="146"/>
      <c r="T3721" s="146"/>
      <c r="V3721" s="147"/>
      <c r="W3721" s="146"/>
      <c r="Y3721" s="147"/>
    </row>
    <row r="3722" spans="3:25">
      <c r="C3722" s="146"/>
      <c r="E3722" s="147"/>
      <c r="F3722" s="146"/>
      <c r="I3722" s="147"/>
      <c r="Q3722" s="146"/>
      <c r="T3722" s="146"/>
      <c r="V3722" s="147"/>
      <c r="W3722" s="146"/>
      <c r="Y3722" s="147"/>
    </row>
    <row r="3723" spans="3:25">
      <c r="C3723" s="146"/>
      <c r="E3723" s="147"/>
      <c r="F3723" s="146"/>
      <c r="I3723" s="147"/>
      <c r="Q3723" s="146"/>
      <c r="T3723" s="146"/>
      <c r="V3723" s="147"/>
      <c r="W3723" s="146"/>
      <c r="Y3723" s="147"/>
    </row>
    <row r="3724" spans="3:25">
      <c r="C3724" s="146"/>
      <c r="E3724" s="147"/>
      <c r="F3724" s="146"/>
      <c r="I3724" s="147"/>
      <c r="Q3724" s="146"/>
      <c r="T3724" s="146"/>
      <c r="V3724" s="147"/>
      <c r="W3724" s="146"/>
      <c r="Y3724" s="147"/>
    </row>
    <row r="3725" spans="3:25">
      <c r="C3725" s="146"/>
      <c r="E3725" s="147"/>
      <c r="F3725" s="146"/>
      <c r="I3725" s="147"/>
      <c r="Q3725" s="146"/>
      <c r="T3725" s="146"/>
      <c r="V3725" s="147"/>
      <c r="W3725" s="146"/>
      <c r="Y3725" s="147"/>
    </row>
    <row r="3726" spans="3:25">
      <c r="C3726" s="146"/>
      <c r="E3726" s="147"/>
      <c r="F3726" s="146"/>
      <c r="I3726" s="147"/>
      <c r="Q3726" s="146"/>
      <c r="T3726" s="146"/>
      <c r="V3726" s="147"/>
      <c r="W3726" s="146"/>
      <c r="Y3726" s="147"/>
    </row>
    <row r="3727" spans="3:25">
      <c r="C3727" s="146"/>
      <c r="E3727" s="147"/>
      <c r="F3727" s="146"/>
      <c r="I3727" s="147"/>
      <c r="Q3727" s="146"/>
      <c r="T3727" s="146"/>
      <c r="V3727" s="147"/>
      <c r="W3727" s="146"/>
      <c r="Y3727" s="147"/>
    </row>
    <row r="3728" spans="3:25">
      <c r="C3728" s="146"/>
      <c r="E3728" s="147"/>
      <c r="F3728" s="146"/>
      <c r="I3728" s="147"/>
      <c r="Q3728" s="146"/>
      <c r="T3728" s="146"/>
      <c r="V3728" s="147"/>
      <c r="W3728" s="146"/>
      <c r="Y3728" s="147"/>
    </row>
    <row r="3729" spans="3:25">
      <c r="C3729" s="146"/>
      <c r="E3729" s="147"/>
      <c r="F3729" s="146"/>
      <c r="I3729" s="147"/>
      <c r="Q3729" s="146"/>
      <c r="T3729" s="146"/>
      <c r="V3729" s="147"/>
      <c r="W3729" s="146"/>
      <c r="Y3729" s="147"/>
    </row>
    <row r="3730" spans="3:25">
      <c r="C3730" s="146"/>
      <c r="E3730" s="147"/>
      <c r="F3730" s="146"/>
      <c r="I3730" s="147"/>
      <c r="Q3730" s="146"/>
      <c r="T3730" s="146"/>
      <c r="V3730" s="147"/>
      <c r="W3730" s="146"/>
      <c r="Y3730" s="147"/>
    </row>
    <row r="3731" spans="3:25">
      <c r="C3731" s="146"/>
      <c r="E3731" s="147"/>
      <c r="F3731" s="146"/>
      <c r="I3731" s="147"/>
      <c r="Q3731" s="146"/>
      <c r="T3731" s="146"/>
      <c r="V3731" s="147"/>
      <c r="W3731" s="146"/>
      <c r="Y3731" s="147"/>
    </row>
    <row r="3732" spans="3:25">
      <c r="C3732" s="146"/>
      <c r="E3732" s="147"/>
      <c r="F3732" s="146"/>
      <c r="I3732" s="147"/>
      <c r="Q3732" s="146"/>
      <c r="T3732" s="146"/>
      <c r="V3732" s="147"/>
      <c r="W3732" s="146"/>
      <c r="Y3732" s="147"/>
    </row>
    <row r="3733" spans="3:25">
      <c r="C3733" s="146"/>
      <c r="E3733" s="147"/>
      <c r="F3733" s="146"/>
      <c r="I3733" s="147"/>
      <c r="Q3733" s="146"/>
      <c r="T3733" s="146"/>
      <c r="V3733" s="147"/>
      <c r="W3733" s="146"/>
      <c r="Y3733" s="147"/>
    </row>
    <row r="3734" spans="3:25">
      <c r="C3734" s="146"/>
      <c r="E3734" s="147"/>
      <c r="F3734" s="146"/>
      <c r="I3734" s="147"/>
      <c r="Q3734" s="146"/>
      <c r="T3734" s="146"/>
      <c r="V3734" s="147"/>
      <c r="W3734" s="146"/>
      <c r="Y3734" s="147"/>
    </row>
    <row r="3735" spans="3:25">
      <c r="C3735" s="146"/>
      <c r="E3735" s="147"/>
      <c r="F3735" s="146"/>
      <c r="I3735" s="147"/>
      <c r="Q3735" s="146"/>
      <c r="T3735" s="146"/>
      <c r="V3735" s="147"/>
      <c r="W3735" s="146"/>
      <c r="Y3735" s="147"/>
    </row>
    <row r="3736" spans="3:25">
      <c r="C3736" s="146"/>
      <c r="E3736" s="147"/>
      <c r="F3736" s="146"/>
      <c r="I3736" s="147"/>
      <c r="Q3736" s="146"/>
      <c r="T3736" s="146"/>
      <c r="V3736" s="147"/>
      <c r="W3736" s="146"/>
      <c r="Y3736" s="147"/>
    </row>
    <row r="3737" spans="3:25">
      <c r="C3737" s="146"/>
      <c r="E3737" s="147"/>
      <c r="F3737" s="146"/>
      <c r="I3737" s="147"/>
      <c r="Q3737" s="146"/>
      <c r="T3737" s="146"/>
      <c r="V3737" s="147"/>
      <c r="W3737" s="146"/>
      <c r="Y3737" s="147"/>
    </row>
    <row r="3738" spans="3:25">
      <c r="C3738" s="146"/>
      <c r="E3738" s="147"/>
      <c r="F3738" s="146"/>
      <c r="I3738" s="147"/>
      <c r="Q3738" s="146"/>
      <c r="T3738" s="146"/>
      <c r="V3738" s="147"/>
      <c r="W3738" s="146"/>
      <c r="Y3738" s="147"/>
    </row>
    <row r="3739" spans="3:25">
      <c r="C3739" s="146"/>
      <c r="E3739" s="147"/>
      <c r="F3739" s="146"/>
      <c r="I3739" s="147"/>
      <c r="Q3739" s="146"/>
      <c r="T3739" s="146"/>
      <c r="V3739" s="147"/>
      <c r="W3739" s="146"/>
      <c r="Y3739" s="147"/>
    </row>
    <row r="3740" spans="3:25">
      <c r="C3740" s="146"/>
      <c r="E3740" s="147"/>
      <c r="F3740" s="146"/>
      <c r="I3740" s="147"/>
      <c r="Q3740" s="146"/>
      <c r="T3740" s="146"/>
      <c r="V3740" s="147"/>
      <c r="W3740" s="146"/>
      <c r="Y3740" s="147"/>
    </row>
    <row r="3741" spans="3:25">
      <c r="C3741" s="146"/>
      <c r="E3741" s="147"/>
      <c r="F3741" s="146"/>
      <c r="I3741" s="147"/>
      <c r="Q3741" s="146"/>
      <c r="T3741" s="146"/>
      <c r="V3741" s="147"/>
      <c r="W3741" s="146"/>
      <c r="Y3741" s="147"/>
    </row>
    <row r="3742" spans="3:25">
      <c r="C3742" s="146"/>
      <c r="E3742" s="147"/>
      <c r="F3742" s="146"/>
      <c r="I3742" s="147"/>
      <c r="Q3742" s="146"/>
      <c r="T3742" s="146"/>
      <c r="V3742" s="147"/>
      <c r="W3742" s="146"/>
      <c r="Y3742" s="147"/>
    </row>
    <row r="3743" spans="3:25">
      <c r="C3743" s="146"/>
      <c r="E3743" s="147"/>
      <c r="F3743" s="146"/>
      <c r="I3743" s="147"/>
      <c r="Q3743" s="146"/>
      <c r="T3743" s="146"/>
      <c r="V3743" s="147"/>
      <c r="W3743" s="146"/>
      <c r="Y3743" s="147"/>
    </row>
    <row r="3744" spans="3:25">
      <c r="C3744" s="146"/>
      <c r="E3744" s="147"/>
      <c r="F3744" s="146"/>
      <c r="I3744" s="147"/>
      <c r="Q3744" s="146"/>
      <c r="T3744" s="146"/>
      <c r="V3744" s="147"/>
      <c r="W3744" s="146"/>
      <c r="Y3744" s="147"/>
    </row>
    <row r="3745" spans="3:25">
      <c r="C3745" s="146"/>
      <c r="E3745" s="147"/>
      <c r="F3745" s="146"/>
      <c r="I3745" s="147"/>
      <c r="Q3745" s="146"/>
      <c r="T3745" s="146"/>
      <c r="V3745" s="147"/>
      <c r="W3745" s="146"/>
      <c r="Y3745" s="147"/>
    </row>
    <row r="3746" spans="3:25">
      <c r="C3746" s="146"/>
      <c r="E3746" s="147"/>
      <c r="F3746" s="146"/>
      <c r="I3746" s="147"/>
      <c r="Q3746" s="146"/>
      <c r="T3746" s="146"/>
      <c r="V3746" s="147"/>
      <c r="W3746" s="146"/>
      <c r="Y3746" s="147"/>
    </row>
    <row r="3747" spans="3:25">
      <c r="C3747" s="146"/>
      <c r="E3747" s="147"/>
      <c r="F3747" s="146"/>
      <c r="I3747" s="147"/>
      <c r="Q3747" s="146"/>
      <c r="T3747" s="146"/>
      <c r="V3747" s="147"/>
      <c r="W3747" s="146"/>
      <c r="Y3747" s="147"/>
    </row>
    <row r="3748" spans="3:25">
      <c r="C3748" s="146"/>
      <c r="E3748" s="147"/>
      <c r="F3748" s="146"/>
      <c r="I3748" s="147"/>
      <c r="Q3748" s="146"/>
      <c r="T3748" s="146"/>
      <c r="V3748" s="147"/>
      <c r="W3748" s="146"/>
      <c r="Y3748" s="147"/>
    </row>
    <row r="3749" spans="3:25">
      <c r="C3749" s="146"/>
      <c r="E3749" s="147"/>
      <c r="F3749" s="146"/>
      <c r="I3749" s="147"/>
      <c r="Q3749" s="146"/>
      <c r="T3749" s="146"/>
      <c r="V3749" s="147"/>
      <c r="W3749" s="146"/>
      <c r="Y3749" s="147"/>
    </row>
    <row r="3750" spans="3:25">
      <c r="C3750" s="146"/>
      <c r="E3750" s="147"/>
      <c r="F3750" s="146"/>
      <c r="I3750" s="147"/>
      <c r="Q3750" s="146"/>
      <c r="T3750" s="146"/>
      <c r="V3750" s="147"/>
      <c r="W3750" s="146"/>
      <c r="Y3750" s="147"/>
    </row>
    <row r="3751" spans="3:25">
      <c r="C3751" s="146"/>
      <c r="E3751" s="147"/>
      <c r="F3751" s="146"/>
      <c r="I3751" s="147"/>
      <c r="Q3751" s="146"/>
      <c r="T3751" s="146"/>
      <c r="V3751" s="147"/>
      <c r="W3751" s="146"/>
      <c r="Y3751" s="147"/>
    </row>
    <row r="3752" spans="3:25">
      <c r="C3752" s="146"/>
      <c r="E3752" s="147"/>
      <c r="F3752" s="146"/>
      <c r="I3752" s="147"/>
      <c r="Q3752" s="146"/>
      <c r="T3752" s="146"/>
      <c r="V3752" s="147"/>
      <c r="W3752" s="146"/>
      <c r="Y3752" s="147"/>
    </row>
    <row r="3753" spans="3:25">
      <c r="C3753" s="146"/>
      <c r="E3753" s="147"/>
      <c r="F3753" s="146"/>
      <c r="I3753" s="147"/>
      <c r="Q3753" s="146"/>
      <c r="T3753" s="146"/>
      <c r="V3753" s="147"/>
      <c r="W3753" s="146"/>
      <c r="Y3753" s="147"/>
    </row>
    <row r="3754" spans="3:25">
      <c r="C3754" s="146"/>
      <c r="E3754" s="147"/>
      <c r="F3754" s="146"/>
      <c r="I3754" s="147"/>
      <c r="Q3754" s="146"/>
      <c r="T3754" s="146"/>
      <c r="V3754" s="147"/>
      <c r="W3754" s="146"/>
      <c r="Y3754" s="147"/>
    </row>
    <row r="3755" spans="3:25">
      <c r="C3755" s="146"/>
      <c r="E3755" s="147"/>
      <c r="F3755" s="146"/>
      <c r="I3755" s="147"/>
      <c r="Q3755" s="146"/>
      <c r="T3755" s="146"/>
      <c r="V3755" s="147"/>
      <c r="W3755" s="146"/>
      <c r="Y3755" s="147"/>
    </row>
    <row r="3756" spans="3:25">
      <c r="C3756" s="146"/>
      <c r="E3756" s="147"/>
      <c r="F3756" s="146"/>
      <c r="I3756" s="147"/>
      <c r="Q3756" s="146"/>
      <c r="T3756" s="146"/>
      <c r="V3756" s="147"/>
      <c r="W3756" s="146"/>
      <c r="Y3756" s="147"/>
    </row>
    <row r="3757" spans="3:25">
      <c r="C3757" s="146"/>
      <c r="E3757" s="147"/>
      <c r="F3757" s="146"/>
      <c r="I3757" s="147"/>
      <c r="Q3757" s="146"/>
      <c r="T3757" s="146"/>
      <c r="V3757" s="147"/>
      <c r="W3757" s="146"/>
      <c r="Y3757" s="147"/>
    </row>
    <row r="3758" spans="3:25">
      <c r="C3758" s="146"/>
      <c r="E3758" s="147"/>
      <c r="F3758" s="146"/>
      <c r="I3758" s="147"/>
      <c r="Q3758" s="146"/>
      <c r="T3758" s="146"/>
      <c r="V3758" s="147"/>
      <c r="W3758" s="146"/>
      <c r="Y3758" s="147"/>
    </row>
    <row r="3759" spans="3:25">
      <c r="C3759" s="146"/>
      <c r="E3759" s="147"/>
      <c r="F3759" s="146"/>
      <c r="I3759" s="147"/>
      <c r="Q3759" s="146"/>
      <c r="T3759" s="146"/>
      <c r="V3759" s="147"/>
      <c r="W3759" s="146"/>
      <c r="Y3759" s="147"/>
    </row>
    <row r="3760" spans="3:25">
      <c r="C3760" s="146"/>
      <c r="E3760" s="147"/>
      <c r="F3760" s="146"/>
      <c r="I3760" s="147"/>
      <c r="Q3760" s="146"/>
      <c r="T3760" s="146"/>
      <c r="V3760" s="147"/>
      <c r="W3760" s="146"/>
      <c r="Y3760" s="147"/>
    </row>
    <row r="3761" spans="3:25">
      <c r="C3761" s="146"/>
      <c r="E3761" s="147"/>
      <c r="F3761" s="146"/>
      <c r="I3761" s="147"/>
      <c r="Q3761" s="146"/>
      <c r="T3761" s="146"/>
      <c r="V3761" s="147"/>
      <c r="W3761" s="146"/>
      <c r="Y3761" s="147"/>
    </row>
    <row r="3762" spans="3:25">
      <c r="C3762" s="146"/>
      <c r="E3762" s="147"/>
      <c r="F3762" s="146"/>
      <c r="I3762" s="147"/>
      <c r="Q3762" s="146"/>
      <c r="T3762" s="146"/>
      <c r="V3762" s="147"/>
      <c r="W3762" s="146"/>
      <c r="Y3762" s="147"/>
    </row>
    <row r="3763" spans="3:25">
      <c r="C3763" s="146"/>
      <c r="E3763" s="147"/>
      <c r="F3763" s="146"/>
      <c r="I3763" s="147"/>
      <c r="Q3763" s="146"/>
      <c r="T3763" s="146"/>
      <c r="V3763" s="147"/>
      <c r="W3763" s="146"/>
      <c r="Y3763" s="147"/>
    </row>
    <row r="3764" spans="3:25">
      <c r="C3764" s="146"/>
      <c r="E3764" s="147"/>
      <c r="F3764" s="146"/>
      <c r="I3764" s="147"/>
      <c r="Q3764" s="146"/>
      <c r="T3764" s="146"/>
      <c r="V3764" s="147"/>
      <c r="W3764" s="146"/>
      <c r="Y3764" s="147"/>
    </row>
    <row r="3765" spans="3:25">
      <c r="C3765" s="146"/>
      <c r="E3765" s="147"/>
      <c r="F3765" s="146"/>
      <c r="I3765" s="147"/>
      <c r="Q3765" s="146"/>
      <c r="T3765" s="146"/>
      <c r="V3765" s="147"/>
      <c r="W3765" s="146"/>
      <c r="Y3765" s="147"/>
    </row>
    <row r="3766" spans="3:25">
      <c r="C3766" s="146"/>
      <c r="E3766" s="147"/>
      <c r="F3766" s="146"/>
      <c r="I3766" s="147"/>
      <c r="Q3766" s="146"/>
      <c r="T3766" s="146"/>
      <c r="V3766" s="147"/>
      <c r="W3766" s="146"/>
      <c r="Y3766" s="147"/>
    </row>
    <row r="3767" spans="3:25">
      <c r="C3767" s="146"/>
      <c r="E3767" s="147"/>
      <c r="F3767" s="146"/>
      <c r="I3767" s="147"/>
      <c r="Q3767" s="146"/>
      <c r="T3767" s="146"/>
      <c r="V3767" s="147"/>
      <c r="W3767" s="146"/>
      <c r="Y3767" s="147"/>
    </row>
    <row r="3768" spans="3:25">
      <c r="C3768" s="146"/>
      <c r="E3768" s="147"/>
      <c r="F3768" s="146"/>
      <c r="I3768" s="147"/>
      <c r="Q3768" s="146"/>
      <c r="T3768" s="146"/>
      <c r="V3768" s="147"/>
      <c r="W3768" s="146"/>
      <c r="Y3768" s="147"/>
    </row>
    <row r="3769" spans="3:25">
      <c r="C3769" s="146"/>
      <c r="E3769" s="147"/>
      <c r="F3769" s="146"/>
      <c r="I3769" s="147"/>
      <c r="Q3769" s="146"/>
      <c r="T3769" s="146"/>
      <c r="V3769" s="147"/>
      <c r="W3769" s="146"/>
      <c r="Y3769" s="147"/>
    </row>
    <row r="3770" spans="3:25">
      <c r="C3770" s="146"/>
      <c r="E3770" s="147"/>
      <c r="F3770" s="146"/>
      <c r="I3770" s="147"/>
      <c r="Q3770" s="146"/>
      <c r="T3770" s="146"/>
      <c r="V3770" s="147"/>
      <c r="W3770" s="146"/>
      <c r="Y3770" s="147"/>
    </row>
    <row r="3771" spans="3:25">
      <c r="C3771" s="146"/>
      <c r="E3771" s="147"/>
      <c r="F3771" s="146"/>
      <c r="I3771" s="147"/>
      <c r="Q3771" s="146"/>
      <c r="T3771" s="146"/>
      <c r="V3771" s="147"/>
      <c r="W3771" s="146"/>
      <c r="Y3771" s="147"/>
    </row>
    <row r="3772" spans="3:25">
      <c r="C3772" s="146"/>
      <c r="E3772" s="147"/>
      <c r="F3772" s="146"/>
      <c r="I3772" s="147"/>
      <c r="Q3772" s="146"/>
      <c r="T3772" s="146"/>
      <c r="V3772" s="147"/>
      <c r="W3772" s="146"/>
      <c r="Y3772" s="147"/>
    </row>
    <row r="3773" spans="3:25">
      <c r="C3773" s="146"/>
      <c r="E3773" s="147"/>
      <c r="F3773" s="146"/>
      <c r="I3773" s="147"/>
      <c r="Q3773" s="146"/>
      <c r="T3773" s="146"/>
      <c r="V3773" s="147"/>
      <c r="W3773" s="146"/>
      <c r="Y3773" s="147"/>
    </row>
    <row r="3774" spans="3:25">
      <c r="C3774" s="146"/>
      <c r="E3774" s="147"/>
      <c r="F3774" s="146"/>
      <c r="I3774" s="147"/>
      <c r="Q3774" s="146"/>
      <c r="T3774" s="146"/>
      <c r="V3774" s="147"/>
      <c r="W3774" s="146"/>
      <c r="Y3774" s="147"/>
    </row>
    <row r="3775" spans="3:25">
      <c r="C3775" s="146"/>
      <c r="E3775" s="147"/>
      <c r="F3775" s="146"/>
      <c r="I3775" s="147"/>
      <c r="Q3775" s="146"/>
      <c r="T3775" s="146"/>
      <c r="V3775" s="147"/>
      <c r="W3775" s="146"/>
      <c r="Y3775" s="147"/>
    </row>
    <row r="3776" spans="3:25">
      <c r="C3776" s="146"/>
      <c r="E3776" s="147"/>
      <c r="F3776" s="146"/>
      <c r="I3776" s="147"/>
      <c r="Q3776" s="146"/>
      <c r="T3776" s="146"/>
      <c r="V3776" s="147"/>
      <c r="W3776" s="146"/>
      <c r="Y3776" s="147"/>
    </row>
    <row r="3777" spans="3:25">
      <c r="C3777" s="146"/>
      <c r="E3777" s="147"/>
      <c r="F3777" s="146"/>
      <c r="I3777" s="147"/>
      <c r="Q3777" s="146"/>
      <c r="T3777" s="146"/>
      <c r="V3777" s="147"/>
      <c r="W3777" s="146"/>
      <c r="Y3777" s="147"/>
    </row>
    <row r="3778" spans="3:25">
      <c r="C3778" s="146"/>
      <c r="E3778" s="147"/>
      <c r="F3778" s="146"/>
      <c r="I3778" s="147"/>
      <c r="Q3778" s="146"/>
      <c r="T3778" s="146"/>
      <c r="V3778" s="147"/>
      <c r="W3778" s="146"/>
      <c r="Y3778" s="147"/>
    </row>
    <row r="3779" spans="3:25">
      <c r="C3779" s="146"/>
      <c r="E3779" s="147"/>
      <c r="F3779" s="146"/>
      <c r="I3779" s="147"/>
      <c r="Q3779" s="146"/>
      <c r="T3779" s="146"/>
      <c r="V3779" s="147"/>
      <c r="W3779" s="146"/>
      <c r="Y3779" s="147"/>
    </row>
    <row r="3780" spans="3:25">
      <c r="C3780" s="146"/>
      <c r="E3780" s="147"/>
      <c r="F3780" s="146"/>
      <c r="I3780" s="147"/>
      <c r="Q3780" s="146"/>
      <c r="T3780" s="146"/>
      <c r="V3780" s="147"/>
      <c r="W3780" s="146"/>
      <c r="Y3780" s="147"/>
    </row>
    <row r="3781" spans="3:25">
      <c r="C3781" s="146"/>
      <c r="E3781" s="147"/>
      <c r="F3781" s="146"/>
      <c r="I3781" s="147"/>
      <c r="Q3781" s="146"/>
      <c r="T3781" s="146"/>
      <c r="V3781" s="147"/>
      <c r="W3781" s="146"/>
      <c r="Y3781" s="147"/>
    </row>
    <row r="3782" spans="3:25">
      <c r="C3782" s="146"/>
      <c r="E3782" s="147"/>
      <c r="F3782" s="146"/>
      <c r="I3782" s="147"/>
      <c r="Q3782" s="146"/>
      <c r="T3782" s="146"/>
      <c r="V3782" s="147"/>
      <c r="W3782" s="146"/>
      <c r="Y3782" s="147"/>
    </row>
    <row r="3783" spans="3:25">
      <c r="C3783" s="146"/>
      <c r="E3783" s="147"/>
      <c r="F3783" s="146"/>
      <c r="I3783" s="147"/>
      <c r="Q3783" s="146"/>
      <c r="T3783" s="146"/>
      <c r="V3783" s="147"/>
      <c r="W3783" s="146"/>
      <c r="Y3783" s="147"/>
    </row>
    <row r="3784" spans="3:25">
      <c r="C3784" s="146"/>
      <c r="E3784" s="147"/>
      <c r="F3784" s="146"/>
      <c r="I3784" s="147"/>
      <c r="Q3784" s="146"/>
      <c r="T3784" s="146"/>
      <c r="V3784" s="147"/>
      <c r="W3784" s="146"/>
      <c r="Y3784" s="147"/>
    </row>
    <row r="3785" spans="3:25">
      <c r="C3785" s="146"/>
      <c r="E3785" s="147"/>
      <c r="F3785" s="146"/>
      <c r="I3785" s="147"/>
      <c r="Q3785" s="146"/>
      <c r="T3785" s="146"/>
      <c r="V3785" s="147"/>
      <c r="W3785" s="146"/>
      <c r="Y3785" s="147"/>
    </row>
    <row r="3786" spans="3:25">
      <c r="C3786" s="146"/>
      <c r="E3786" s="147"/>
      <c r="F3786" s="146"/>
      <c r="I3786" s="147"/>
      <c r="Q3786" s="146"/>
      <c r="T3786" s="146"/>
      <c r="V3786" s="147"/>
      <c r="W3786" s="146"/>
      <c r="Y3786" s="147"/>
    </row>
    <row r="3787" spans="3:25">
      <c r="C3787" s="146"/>
      <c r="E3787" s="147"/>
      <c r="F3787" s="146"/>
      <c r="I3787" s="147"/>
      <c r="Q3787" s="146"/>
      <c r="T3787" s="146"/>
      <c r="V3787" s="147"/>
      <c r="W3787" s="146"/>
      <c r="Y3787" s="147"/>
    </row>
    <row r="3788" spans="3:25">
      <c r="C3788" s="146"/>
      <c r="E3788" s="147"/>
      <c r="F3788" s="146"/>
      <c r="I3788" s="147"/>
      <c r="Q3788" s="146"/>
      <c r="T3788" s="146"/>
      <c r="V3788" s="147"/>
      <c r="W3788" s="146"/>
      <c r="Y3788" s="147"/>
    </row>
    <row r="3789" spans="3:25">
      <c r="C3789" s="146"/>
      <c r="E3789" s="147"/>
      <c r="F3789" s="146"/>
      <c r="I3789" s="147"/>
      <c r="Q3789" s="146"/>
      <c r="T3789" s="146"/>
      <c r="V3789" s="147"/>
      <c r="W3789" s="146"/>
      <c r="Y3789" s="147"/>
    </row>
    <row r="3790" spans="3:25">
      <c r="C3790" s="146"/>
      <c r="E3790" s="147"/>
      <c r="F3790" s="146"/>
      <c r="I3790" s="147"/>
      <c r="Q3790" s="146"/>
      <c r="T3790" s="146"/>
      <c r="V3790" s="147"/>
      <c r="W3790" s="146"/>
      <c r="Y3790" s="147"/>
    </row>
    <row r="3791" spans="3:25">
      <c r="C3791" s="146"/>
      <c r="E3791" s="147"/>
      <c r="F3791" s="146"/>
      <c r="I3791" s="147"/>
      <c r="Q3791" s="146"/>
      <c r="T3791" s="146"/>
      <c r="V3791" s="147"/>
      <c r="W3791" s="146"/>
      <c r="Y3791" s="147"/>
    </row>
    <row r="3792" spans="3:25">
      <c r="C3792" s="146"/>
      <c r="E3792" s="147"/>
      <c r="F3792" s="146"/>
      <c r="I3792" s="147"/>
      <c r="Q3792" s="146"/>
      <c r="T3792" s="146"/>
      <c r="V3792" s="147"/>
      <c r="W3792" s="146"/>
      <c r="Y3792" s="147"/>
    </row>
    <row r="3793" spans="3:25">
      <c r="C3793" s="146"/>
      <c r="E3793" s="147"/>
      <c r="F3793" s="146"/>
      <c r="I3793" s="147"/>
      <c r="Q3793" s="146"/>
      <c r="T3793" s="146"/>
      <c r="V3793" s="147"/>
      <c r="W3793" s="146"/>
      <c r="Y3793" s="147"/>
    </row>
    <row r="3794" spans="3:25">
      <c r="C3794" s="146"/>
      <c r="E3794" s="147"/>
      <c r="F3794" s="146"/>
      <c r="I3794" s="147"/>
      <c r="Q3794" s="146"/>
      <c r="T3794" s="146"/>
      <c r="V3794" s="147"/>
      <c r="W3794" s="146"/>
      <c r="Y3794" s="147"/>
    </row>
    <row r="3795" spans="3:25">
      <c r="C3795" s="146"/>
      <c r="E3795" s="147"/>
      <c r="F3795" s="146"/>
      <c r="I3795" s="147"/>
      <c r="Q3795" s="146"/>
      <c r="T3795" s="146"/>
      <c r="V3795" s="147"/>
      <c r="W3795" s="146"/>
      <c r="Y3795" s="147"/>
    </row>
    <row r="3796" spans="3:25">
      <c r="C3796" s="146"/>
      <c r="E3796" s="147"/>
      <c r="F3796" s="146"/>
      <c r="I3796" s="147"/>
      <c r="Q3796" s="146"/>
      <c r="T3796" s="146"/>
      <c r="V3796" s="147"/>
      <c r="W3796" s="146"/>
      <c r="Y3796" s="147"/>
    </row>
    <row r="3797" spans="3:25">
      <c r="C3797" s="146"/>
      <c r="E3797" s="147"/>
      <c r="F3797" s="146"/>
      <c r="I3797" s="147"/>
      <c r="Q3797" s="146"/>
      <c r="T3797" s="146"/>
      <c r="V3797" s="147"/>
      <c r="W3797" s="146"/>
      <c r="Y3797" s="147"/>
    </row>
    <row r="3798" spans="3:25">
      <c r="C3798" s="146"/>
      <c r="E3798" s="147"/>
      <c r="F3798" s="146"/>
      <c r="I3798" s="147"/>
      <c r="Q3798" s="146"/>
      <c r="T3798" s="146"/>
      <c r="V3798" s="147"/>
      <c r="W3798" s="146"/>
      <c r="Y3798" s="147"/>
    </row>
    <row r="3799" spans="3:25">
      <c r="C3799" s="146"/>
      <c r="E3799" s="147"/>
      <c r="F3799" s="146"/>
      <c r="I3799" s="147"/>
      <c r="Q3799" s="146"/>
      <c r="T3799" s="146"/>
      <c r="V3799" s="147"/>
      <c r="W3799" s="146"/>
      <c r="Y3799" s="147"/>
    </row>
    <row r="3800" spans="3:25">
      <c r="C3800" s="146"/>
      <c r="E3800" s="147"/>
      <c r="F3800" s="146"/>
      <c r="I3800" s="147"/>
      <c r="Q3800" s="146"/>
      <c r="T3800" s="146"/>
      <c r="V3800" s="147"/>
      <c r="W3800" s="146"/>
      <c r="Y3800" s="147"/>
    </row>
    <row r="3801" spans="3:25">
      <c r="C3801" s="146"/>
      <c r="E3801" s="147"/>
      <c r="F3801" s="146"/>
      <c r="I3801" s="147"/>
      <c r="Q3801" s="146"/>
      <c r="T3801" s="146"/>
      <c r="V3801" s="147"/>
      <c r="W3801" s="146"/>
      <c r="Y3801" s="147"/>
    </row>
    <row r="3802" spans="3:25">
      <c r="C3802" s="146"/>
      <c r="E3802" s="147"/>
      <c r="F3802" s="146"/>
      <c r="I3802" s="147"/>
      <c r="Q3802" s="146"/>
      <c r="T3802" s="146"/>
      <c r="V3802" s="147"/>
      <c r="W3802" s="146"/>
      <c r="Y3802" s="147"/>
    </row>
    <row r="3803" spans="3:25">
      <c r="C3803" s="146"/>
      <c r="E3803" s="147"/>
      <c r="F3803" s="146"/>
      <c r="I3803" s="147"/>
      <c r="Q3803" s="146"/>
      <c r="T3803" s="146"/>
      <c r="V3803" s="147"/>
      <c r="W3803" s="146"/>
      <c r="Y3803" s="147"/>
    </row>
    <row r="3804" spans="3:25">
      <c r="C3804" s="146"/>
      <c r="E3804" s="147"/>
      <c r="F3804" s="146"/>
      <c r="I3804" s="147"/>
      <c r="Q3804" s="146"/>
      <c r="T3804" s="146"/>
      <c r="V3804" s="147"/>
      <c r="W3804" s="146"/>
      <c r="Y3804" s="147"/>
    </row>
    <row r="3805" spans="3:25">
      <c r="C3805" s="146"/>
      <c r="E3805" s="147"/>
      <c r="F3805" s="146"/>
      <c r="I3805" s="147"/>
      <c r="Q3805" s="146"/>
      <c r="T3805" s="146"/>
      <c r="V3805" s="147"/>
      <c r="W3805" s="146"/>
      <c r="Y3805" s="147"/>
    </row>
    <row r="3806" spans="3:25">
      <c r="C3806" s="146"/>
      <c r="E3806" s="147"/>
      <c r="F3806" s="146"/>
      <c r="I3806" s="147"/>
      <c r="Q3806" s="146"/>
      <c r="T3806" s="146"/>
      <c r="V3806" s="147"/>
      <c r="W3806" s="146"/>
      <c r="Y3806" s="147"/>
    </row>
    <row r="3807" spans="3:25">
      <c r="C3807" s="146"/>
      <c r="E3807" s="147"/>
      <c r="F3807" s="146"/>
      <c r="I3807" s="147"/>
      <c r="Q3807" s="146"/>
      <c r="T3807" s="146"/>
      <c r="V3807" s="147"/>
      <c r="W3807" s="146"/>
      <c r="Y3807" s="147"/>
    </row>
    <row r="3808" spans="3:25">
      <c r="C3808" s="146"/>
      <c r="E3808" s="147"/>
      <c r="F3808" s="146"/>
      <c r="I3808" s="147"/>
      <c r="Q3808" s="146"/>
      <c r="T3808" s="146"/>
      <c r="V3808" s="147"/>
      <c r="W3808" s="146"/>
      <c r="Y3808" s="147"/>
    </row>
    <row r="3809" spans="3:25">
      <c r="C3809" s="146"/>
      <c r="E3809" s="147"/>
      <c r="F3809" s="146"/>
      <c r="I3809" s="147"/>
      <c r="Q3809" s="146"/>
      <c r="T3809" s="146"/>
      <c r="V3809" s="147"/>
      <c r="W3809" s="146"/>
      <c r="Y3809" s="147"/>
    </row>
    <row r="3810" spans="3:25">
      <c r="C3810" s="146"/>
      <c r="E3810" s="147"/>
      <c r="F3810" s="146"/>
      <c r="I3810" s="147"/>
      <c r="Q3810" s="146"/>
      <c r="T3810" s="146"/>
      <c r="V3810" s="147"/>
      <c r="W3810" s="146"/>
      <c r="Y3810" s="147"/>
    </row>
    <row r="3811" spans="3:25">
      <c r="C3811" s="146"/>
      <c r="E3811" s="147"/>
      <c r="F3811" s="146"/>
      <c r="I3811" s="147"/>
      <c r="Q3811" s="146"/>
      <c r="T3811" s="146"/>
      <c r="V3811" s="147"/>
      <c r="W3811" s="146"/>
      <c r="Y3811" s="147"/>
    </row>
    <row r="3812" spans="3:25">
      <c r="C3812" s="146"/>
      <c r="E3812" s="147"/>
      <c r="F3812" s="146"/>
      <c r="I3812" s="147"/>
      <c r="Q3812" s="146"/>
      <c r="T3812" s="146"/>
      <c r="V3812" s="147"/>
      <c r="W3812" s="146"/>
      <c r="Y3812" s="147"/>
    </row>
    <row r="3813" spans="3:25">
      <c r="C3813" s="146"/>
      <c r="E3813" s="147"/>
      <c r="F3813" s="146"/>
      <c r="I3813" s="147"/>
      <c r="Q3813" s="146"/>
      <c r="T3813" s="146"/>
      <c r="V3813" s="147"/>
      <c r="W3813" s="146"/>
      <c r="Y3813" s="147"/>
    </row>
    <row r="3814" spans="3:25">
      <c r="C3814" s="146"/>
      <c r="E3814" s="147"/>
      <c r="F3814" s="146"/>
      <c r="I3814" s="147"/>
      <c r="Q3814" s="146"/>
      <c r="T3814" s="146"/>
      <c r="V3814" s="147"/>
      <c r="W3814" s="146"/>
      <c r="Y3814" s="147"/>
    </row>
    <row r="3815" spans="3:25">
      <c r="C3815" s="146"/>
      <c r="E3815" s="147"/>
      <c r="F3815" s="146"/>
      <c r="I3815" s="147"/>
      <c r="Q3815" s="146"/>
      <c r="T3815" s="146"/>
      <c r="V3815" s="147"/>
      <c r="W3815" s="146"/>
      <c r="Y3815" s="147"/>
    </row>
    <row r="3816" spans="3:25">
      <c r="C3816" s="146"/>
      <c r="E3816" s="147"/>
      <c r="F3816" s="146"/>
      <c r="I3816" s="147"/>
      <c r="Q3816" s="146"/>
      <c r="T3816" s="146"/>
      <c r="V3816" s="147"/>
      <c r="W3816" s="146"/>
      <c r="Y3816" s="147"/>
    </row>
    <row r="3817" spans="3:25">
      <c r="C3817" s="146"/>
      <c r="E3817" s="147"/>
      <c r="F3817" s="146"/>
      <c r="I3817" s="147"/>
      <c r="Q3817" s="146"/>
      <c r="T3817" s="146"/>
      <c r="V3817" s="147"/>
      <c r="W3817" s="146"/>
      <c r="Y3817" s="147"/>
    </row>
    <row r="3818" spans="3:25">
      <c r="C3818" s="146"/>
      <c r="E3818" s="147"/>
      <c r="F3818" s="146"/>
      <c r="I3818" s="147"/>
      <c r="Q3818" s="146"/>
      <c r="T3818" s="146"/>
      <c r="V3818" s="147"/>
      <c r="W3818" s="146"/>
      <c r="Y3818" s="147"/>
    </row>
    <row r="3819" spans="3:25">
      <c r="C3819" s="146"/>
      <c r="E3819" s="147"/>
      <c r="F3819" s="146"/>
      <c r="I3819" s="147"/>
      <c r="Q3819" s="146"/>
      <c r="T3819" s="146"/>
      <c r="V3819" s="147"/>
      <c r="W3819" s="146"/>
      <c r="Y3819" s="147"/>
    </row>
    <row r="3820" spans="3:25">
      <c r="C3820" s="146"/>
      <c r="E3820" s="147"/>
      <c r="F3820" s="146"/>
      <c r="I3820" s="147"/>
      <c r="Q3820" s="146"/>
      <c r="T3820" s="146"/>
      <c r="V3820" s="147"/>
      <c r="W3820" s="146"/>
      <c r="Y3820" s="147"/>
    </row>
    <row r="3821" spans="3:25">
      <c r="C3821" s="146"/>
      <c r="E3821" s="147"/>
      <c r="F3821" s="146"/>
      <c r="I3821" s="147"/>
      <c r="Q3821" s="146"/>
      <c r="T3821" s="146"/>
      <c r="V3821" s="147"/>
      <c r="W3821" s="146"/>
      <c r="Y3821" s="147"/>
    </row>
    <row r="3822" spans="3:25">
      <c r="C3822" s="146"/>
      <c r="E3822" s="147"/>
      <c r="F3822" s="146"/>
      <c r="I3822" s="147"/>
      <c r="Q3822" s="146"/>
      <c r="T3822" s="146"/>
      <c r="V3822" s="147"/>
      <c r="W3822" s="146"/>
      <c r="Y3822" s="147"/>
    </row>
    <row r="3823" spans="3:25">
      <c r="C3823" s="146"/>
      <c r="E3823" s="147"/>
      <c r="F3823" s="146"/>
      <c r="I3823" s="147"/>
      <c r="Q3823" s="146"/>
      <c r="T3823" s="146"/>
      <c r="V3823" s="147"/>
      <c r="W3823" s="146"/>
      <c r="Y3823" s="147"/>
    </row>
    <row r="3824" spans="3:25">
      <c r="C3824" s="146"/>
      <c r="E3824" s="147"/>
      <c r="F3824" s="146"/>
      <c r="I3824" s="147"/>
      <c r="Q3824" s="146"/>
      <c r="T3824" s="146"/>
      <c r="V3824" s="147"/>
      <c r="W3824" s="146"/>
      <c r="Y3824" s="147"/>
    </row>
    <row r="3825" spans="3:25">
      <c r="C3825" s="146"/>
      <c r="E3825" s="147"/>
      <c r="F3825" s="146"/>
      <c r="I3825" s="147"/>
      <c r="Q3825" s="146"/>
      <c r="T3825" s="146"/>
      <c r="V3825" s="147"/>
      <c r="W3825" s="146"/>
      <c r="Y3825" s="147"/>
    </row>
    <row r="3826" spans="3:25">
      <c r="C3826" s="146"/>
      <c r="E3826" s="147"/>
      <c r="F3826" s="146"/>
      <c r="I3826" s="147"/>
      <c r="Q3826" s="146"/>
      <c r="T3826" s="146"/>
      <c r="V3826" s="147"/>
      <c r="W3826" s="146"/>
      <c r="Y3826" s="147"/>
    </row>
    <row r="3827" spans="3:25">
      <c r="C3827" s="146"/>
      <c r="E3827" s="147"/>
      <c r="F3827" s="146"/>
      <c r="I3827" s="147"/>
      <c r="Q3827" s="146"/>
      <c r="T3827" s="146"/>
      <c r="V3827" s="147"/>
      <c r="W3827" s="146"/>
      <c r="Y3827" s="147"/>
    </row>
    <row r="3828" spans="3:25">
      <c r="C3828" s="146"/>
      <c r="E3828" s="147"/>
      <c r="F3828" s="146"/>
      <c r="I3828" s="147"/>
      <c r="Q3828" s="146"/>
      <c r="T3828" s="146"/>
      <c r="V3828" s="147"/>
      <c r="W3828" s="146"/>
      <c r="Y3828" s="147"/>
    </row>
    <row r="3829" spans="3:25">
      <c r="C3829" s="146"/>
      <c r="E3829" s="147"/>
      <c r="F3829" s="146"/>
      <c r="I3829" s="147"/>
      <c r="Q3829" s="146"/>
      <c r="T3829" s="146"/>
      <c r="V3829" s="147"/>
      <c r="W3829" s="146"/>
      <c r="Y3829" s="147"/>
    </row>
    <row r="3830" spans="3:25">
      <c r="C3830" s="146"/>
      <c r="E3830" s="147"/>
      <c r="F3830" s="146"/>
      <c r="I3830" s="147"/>
      <c r="Q3830" s="146"/>
      <c r="T3830" s="146"/>
      <c r="V3830" s="147"/>
      <c r="W3830" s="146"/>
      <c r="Y3830" s="147"/>
    </row>
    <row r="3831" spans="3:25">
      <c r="C3831" s="146"/>
      <c r="E3831" s="147"/>
      <c r="F3831" s="146"/>
      <c r="I3831" s="147"/>
      <c r="Q3831" s="146"/>
      <c r="T3831" s="146"/>
      <c r="V3831" s="147"/>
      <c r="W3831" s="146"/>
      <c r="Y3831" s="147"/>
    </row>
    <row r="3832" spans="3:25">
      <c r="C3832" s="146"/>
      <c r="E3832" s="147"/>
      <c r="F3832" s="146"/>
      <c r="I3832" s="147"/>
      <c r="Q3832" s="146"/>
      <c r="T3832" s="146"/>
      <c r="V3832" s="147"/>
      <c r="W3832" s="146"/>
      <c r="Y3832" s="147"/>
    </row>
    <row r="3833" spans="3:25">
      <c r="C3833" s="146"/>
      <c r="E3833" s="147"/>
      <c r="F3833" s="146"/>
      <c r="I3833" s="147"/>
      <c r="Q3833" s="146"/>
      <c r="T3833" s="146"/>
      <c r="V3833" s="147"/>
      <c r="W3833" s="146"/>
      <c r="Y3833" s="147"/>
    </row>
    <row r="3834" spans="3:25">
      <c r="C3834" s="146"/>
      <c r="E3834" s="147"/>
      <c r="F3834" s="146"/>
      <c r="I3834" s="147"/>
      <c r="Q3834" s="146"/>
      <c r="T3834" s="146"/>
      <c r="V3834" s="147"/>
      <c r="W3834" s="146"/>
      <c r="Y3834" s="147"/>
    </row>
    <row r="3835" spans="3:25">
      <c r="C3835" s="146"/>
      <c r="E3835" s="147"/>
      <c r="F3835" s="146"/>
      <c r="I3835" s="147"/>
      <c r="Q3835" s="146"/>
      <c r="T3835" s="146"/>
      <c r="V3835" s="147"/>
      <c r="W3835" s="146"/>
      <c r="Y3835" s="147"/>
    </row>
    <row r="3836" spans="3:25">
      <c r="C3836" s="146"/>
      <c r="E3836" s="147"/>
      <c r="F3836" s="146"/>
      <c r="I3836" s="147"/>
      <c r="Q3836" s="146"/>
      <c r="T3836" s="146"/>
      <c r="V3836" s="147"/>
      <c r="W3836" s="146"/>
      <c r="Y3836" s="147"/>
    </row>
    <row r="3837" spans="3:25">
      <c r="C3837" s="146"/>
      <c r="E3837" s="147"/>
      <c r="F3837" s="146"/>
      <c r="I3837" s="147"/>
      <c r="Q3837" s="146"/>
      <c r="T3837" s="146"/>
      <c r="V3837" s="147"/>
      <c r="W3837" s="146"/>
      <c r="Y3837" s="147"/>
    </row>
    <row r="3838" spans="3:25">
      <c r="C3838" s="146"/>
      <c r="E3838" s="147"/>
      <c r="F3838" s="146"/>
      <c r="I3838" s="147"/>
      <c r="Q3838" s="146"/>
      <c r="T3838" s="146"/>
      <c r="V3838" s="147"/>
      <c r="W3838" s="146"/>
      <c r="Y3838" s="147"/>
    </row>
    <row r="3839" spans="3:25">
      <c r="C3839" s="146"/>
      <c r="E3839" s="147"/>
      <c r="F3839" s="146"/>
      <c r="I3839" s="147"/>
      <c r="Q3839" s="146"/>
      <c r="T3839" s="146"/>
      <c r="V3839" s="147"/>
      <c r="W3839" s="146"/>
      <c r="Y3839" s="147"/>
    </row>
    <row r="3840" spans="3:25">
      <c r="C3840" s="146"/>
      <c r="E3840" s="147"/>
      <c r="F3840" s="146"/>
      <c r="I3840" s="147"/>
      <c r="Q3840" s="146"/>
      <c r="T3840" s="146"/>
      <c r="V3840" s="147"/>
      <c r="W3840" s="146"/>
      <c r="Y3840" s="147"/>
    </row>
    <row r="3841" spans="3:25">
      <c r="C3841" s="146"/>
      <c r="E3841" s="147"/>
      <c r="F3841" s="146"/>
      <c r="I3841" s="147"/>
      <c r="Q3841" s="146"/>
      <c r="T3841" s="146"/>
      <c r="V3841" s="147"/>
      <c r="W3841" s="146"/>
      <c r="Y3841" s="147"/>
    </row>
    <row r="3842" spans="3:25">
      <c r="C3842" s="146"/>
      <c r="E3842" s="147"/>
      <c r="F3842" s="146"/>
      <c r="I3842" s="147"/>
      <c r="Q3842" s="146"/>
      <c r="T3842" s="146"/>
      <c r="V3842" s="147"/>
      <c r="W3842" s="146"/>
      <c r="Y3842" s="147"/>
    </row>
    <row r="3843" spans="3:25">
      <c r="C3843" s="146"/>
      <c r="E3843" s="147"/>
      <c r="F3843" s="146"/>
      <c r="I3843" s="147"/>
      <c r="Q3843" s="146"/>
      <c r="T3843" s="146"/>
      <c r="V3843" s="147"/>
      <c r="W3843" s="146"/>
      <c r="Y3843" s="147"/>
    </row>
    <row r="3844" spans="3:25">
      <c r="C3844" s="146"/>
      <c r="E3844" s="147"/>
      <c r="F3844" s="146"/>
      <c r="I3844" s="147"/>
      <c r="Q3844" s="146"/>
      <c r="T3844" s="146"/>
      <c r="V3844" s="147"/>
      <c r="W3844" s="146"/>
      <c r="Y3844" s="147"/>
    </row>
    <row r="3845" spans="3:25">
      <c r="C3845" s="146"/>
      <c r="E3845" s="147"/>
      <c r="F3845" s="146"/>
      <c r="I3845" s="147"/>
      <c r="Q3845" s="146"/>
      <c r="T3845" s="146"/>
      <c r="V3845" s="147"/>
      <c r="W3845" s="146"/>
      <c r="Y3845" s="147"/>
    </row>
    <row r="3846" spans="3:25">
      <c r="C3846" s="146"/>
      <c r="E3846" s="147"/>
      <c r="F3846" s="146"/>
      <c r="I3846" s="147"/>
      <c r="Q3846" s="146"/>
      <c r="T3846" s="146"/>
      <c r="V3846" s="147"/>
      <c r="W3846" s="146"/>
      <c r="Y3846" s="147"/>
    </row>
    <row r="3847" spans="3:25">
      <c r="C3847" s="146"/>
      <c r="E3847" s="147"/>
      <c r="F3847" s="146"/>
      <c r="I3847" s="147"/>
      <c r="Q3847" s="146"/>
      <c r="T3847" s="146"/>
      <c r="V3847" s="147"/>
      <c r="W3847" s="146"/>
      <c r="Y3847" s="147"/>
    </row>
    <row r="3848" spans="3:25">
      <c r="C3848" s="146"/>
      <c r="E3848" s="147"/>
      <c r="F3848" s="146"/>
      <c r="I3848" s="147"/>
      <c r="Q3848" s="146"/>
      <c r="T3848" s="146"/>
      <c r="V3848" s="147"/>
      <c r="W3848" s="146"/>
      <c r="Y3848" s="147"/>
    </row>
    <row r="3849" spans="3:25">
      <c r="C3849" s="146"/>
      <c r="E3849" s="147"/>
      <c r="F3849" s="146"/>
      <c r="I3849" s="147"/>
      <c r="Q3849" s="146"/>
      <c r="T3849" s="146"/>
      <c r="V3849" s="147"/>
      <c r="W3849" s="146"/>
      <c r="Y3849" s="147"/>
    </row>
    <row r="3850" spans="3:25">
      <c r="C3850" s="146"/>
      <c r="E3850" s="147"/>
      <c r="F3850" s="146"/>
      <c r="I3850" s="147"/>
      <c r="Q3850" s="146"/>
      <c r="T3850" s="146"/>
      <c r="V3850" s="147"/>
      <c r="W3850" s="146"/>
      <c r="Y3850" s="147"/>
    </row>
    <row r="3851" spans="3:25">
      <c r="C3851" s="146"/>
      <c r="E3851" s="147"/>
      <c r="F3851" s="146"/>
      <c r="I3851" s="147"/>
      <c r="Q3851" s="146"/>
      <c r="T3851" s="146"/>
      <c r="V3851" s="147"/>
      <c r="W3851" s="146"/>
      <c r="Y3851" s="147"/>
    </row>
    <row r="3852" spans="3:25">
      <c r="C3852" s="146"/>
      <c r="E3852" s="147"/>
      <c r="F3852" s="146"/>
      <c r="I3852" s="147"/>
      <c r="Q3852" s="146"/>
      <c r="T3852" s="146"/>
      <c r="V3852" s="147"/>
      <c r="W3852" s="146"/>
      <c r="Y3852" s="147"/>
    </row>
    <row r="3853" spans="3:25">
      <c r="C3853" s="146"/>
      <c r="E3853" s="147"/>
      <c r="F3853" s="146"/>
      <c r="I3853" s="147"/>
      <c r="Q3853" s="146"/>
      <c r="T3853" s="146"/>
      <c r="V3853" s="147"/>
      <c r="W3853" s="146"/>
      <c r="Y3853" s="147"/>
    </row>
    <row r="3854" spans="3:25">
      <c r="C3854" s="146"/>
      <c r="E3854" s="147"/>
      <c r="F3854" s="146"/>
      <c r="I3854" s="147"/>
      <c r="Q3854" s="146"/>
      <c r="T3854" s="146"/>
      <c r="V3854" s="147"/>
      <c r="W3854" s="146"/>
      <c r="Y3854" s="147"/>
    </row>
    <row r="3855" spans="3:25">
      <c r="C3855" s="146"/>
      <c r="E3855" s="147"/>
      <c r="F3855" s="146"/>
      <c r="I3855" s="147"/>
      <c r="Q3855" s="146"/>
      <c r="T3855" s="146"/>
      <c r="V3855" s="147"/>
      <c r="W3855" s="146"/>
      <c r="Y3855" s="147"/>
    </row>
    <row r="3856" spans="3:25">
      <c r="C3856" s="146"/>
      <c r="E3856" s="147"/>
      <c r="F3856" s="146"/>
      <c r="I3856" s="147"/>
      <c r="Q3856" s="146"/>
      <c r="T3856" s="146"/>
      <c r="V3856" s="147"/>
      <c r="W3856" s="146"/>
      <c r="Y3856" s="147"/>
    </row>
    <row r="3857" spans="3:25">
      <c r="C3857" s="146"/>
      <c r="E3857" s="147"/>
      <c r="F3857" s="146"/>
      <c r="I3857" s="147"/>
      <c r="Q3857" s="146"/>
      <c r="T3857" s="146"/>
      <c r="V3857" s="147"/>
      <c r="W3857" s="146"/>
      <c r="Y3857" s="147"/>
    </row>
    <row r="3858" spans="3:25">
      <c r="C3858" s="146"/>
      <c r="E3858" s="147"/>
      <c r="F3858" s="146"/>
      <c r="I3858" s="147"/>
      <c r="Q3858" s="146"/>
      <c r="T3858" s="146"/>
      <c r="V3858" s="147"/>
      <c r="W3858" s="146"/>
      <c r="Y3858" s="147"/>
    </row>
    <row r="3859" spans="3:25">
      <c r="C3859" s="146"/>
      <c r="E3859" s="147"/>
      <c r="F3859" s="146"/>
      <c r="I3859" s="147"/>
      <c r="Q3859" s="146"/>
      <c r="T3859" s="146"/>
      <c r="V3859" s="147"/>
      <c r="W3859" s="146"/>
      <c r="Y3859" s="147"/>
    </row>
    <row r="3860" spans="3:25">
      <c r="C3860" s="146"/>
      <c r="E3860" s="147"/>
      <c r="F3860" s="146"/>
      <c r="I3860" s="147"/>
      <c r="Q3860" s="146"/>
      <c r="T3860" s="146"/>
      <c r="V3860" s="147"/>
      <c r="W3860" s="146"/>
      <c r="Y3860" s="147"/>
    </row>
    <row r="3861" spans="3:25">
      <c r="C3861" s="146"/>
      <c r="E3861" s="147"/>
      <c r="F3861" s="146"/>
      <c r="I3861" s="147"/>
      <c r="Q3861" s="146"/>
      <c r="T3861" s="146"/>
      <c r="V3861" s="147"/>
      <c r="W3861" s="146"/>
      <c r="Y3861" s="147"/>
    </row>
    <row r="3862" spans="3:25">
      <c r="C3862" s="146"/>
      <c r="E3862" s="147"/>
      <c r="F3862" s="146"/>
      <c r="I3862" s="147"/>
      <c r="Q3862" s="146"/>
      <c r="T3862" s="146"/>
      <c r="V3862" s="147"/>
      <c r="W3862" s="146"/>
      <c r="Y3862" s="147"/>
    </row>
    <row r="3863" spans="3:25">
      <c r="C3863" s="146"/>
      <c r="E3863" s="147"/>
      <c r="F3863" s="146"/>
      <c r="I3863" s="147"/>
      <c r="Q3863" s="146"/>
      <c r="T3863" s="146"/>
      <c r="V3863" s="147"/>
      <c r="W3863" s="146"/>
      <c r="Y3863" s="147"/>
    </row>
    <row r="3864" spans="3:25">
      <c r="C3864" s="146"/>
      <c r="E3864" s="147"/>
      <c r="F3864" s="146"/>
      <c r="I3864" s="147"/>
      <c r="Q3864" s="146"/>
      <c r="T3864" s="146"/>
      <c r="V3864" s="147"/>
      <c r="W3864" s="146"/>
      <c r="Y3864" s="147"/>
    </row>
    <row r="3865" spans="3:25">
      <c r="C3865" s="146"/>
      <c r="E3865" s="147"/>
      <c r="F3865" s="146"/>
      <c r="I3865" s="147"/>
      <c r="Q3865" s="146"/>
      <c r="T3865" s="146"/>
      <c r="V3865" s="147"/>
      <c r="W3865" s="146"/>
      <c r="Y3865" s="147"/>
    </row>
    <row r="3866" spans="3:25">
      <c r="C3866" s="146"/>
      <c r="E3866" s="147"/>
      <c r="F3866" s="146"/>
      <c r="I3866" s="147"/>
      <c r="Q3866" s="146"/>
      <c r="T3866" s="146"/>
      <c r="V3866" s="147"/>
      <c r="W3866" s="146"/>
      <c r="Y3866" s="147"/>
    </row>
    <row r="3867" spans="3:25">
      <c r="C3867" s="146"/>
      <c r="E3867" s="147"/>
      <c r="F3867" s="146"/>
      <c r="I3867" s="147"/>
      <c r="Q3867" s="146"/>
      <c r="T3867" s="146"/>
      <c r="V3867" s="147"/>
      <c r="W3867" s="146"/>
      <c r="Y3867" s="147"/>
    </row>
    <row r="3868" spans="3:25">
      <c r="C3868" s="146"/>
      <c r="E3868" s="147"/>
      <c r="F3868" s="146"/>
      <c r="I3868" s="147"/>
      <c r="Q3868" s="146"/>
      <c r="T3868" s="146"/>
      <c r="V3868" s="147"/>
      <c r="W3868" s="146"/>
      <c r="Y3868" s="147"/>
    </row>
    <row r="3869" spans="3:25">
      <c r="C3869" s="146"/>
      <c r="E3869" s="147"/>
      <c r="F3869" s="146"/>
      <c r="I3869" s="147"/>
      <c r="Q3869" s="146"/>
      <c r="T3869" s="146"/>
      <c r="V3869" s="147"/>
      <c r="W3869" s="146"/>
      <c r="Y3869" s="147"/>
    </row>
    <row r="3870" spans="3:25">
      <c r="C3870" s="146"/>
      <c r="E3870" s="147"/>
      <c r="F3870" s="146"/>
      <c r="I3870" s="147"/>
      <c r="Q3870" s="146"/>
      <c r="T3870" s="146"/>
      <c r="V3870" s="147"/>
      <c r="W3870" s="146"/>
      <c r="Y3870" s="147"/>
    </row>
    <row r="3871" spans="3:25">
      <c r="C3871" s="146"/>
      <c r="E3871" s="147"/>
      <c r="F3871" s="146"/>
      <c r="I3871" s="147"/>
      <c r="Q3871" s="146"/>
      <c r="T3871" s="146"/>
      <c r="V3871" s="147"/>
      <c r="W3871" s="146"/>
      <c r="Y3871" s="147"/>
    </row>
    <row r="3872" spans="3:25">
      <c r="C3872" s="146"/>
      <c r="E3872" s="147"/>
      <c r="F3872" s="146"/>
      <c r="I3872" s="147"/>
      <c r="Q3872" s="146"/>
      <c r="T3872" s="146"/>
      <c r="V3872" s="147"/>
      <c r="W3872" s="146"/>
      <c r="Y3872" s="147"/>
    </row>
    <row r="3873" spans="3:25">
      <c r="C3873" s="146"/>
      <c r="E3873" s="147"/>
      <c r="F3873" s="146"/>
      <c r="I3873" s="147"/>
      <c r="Q3873" s="146"/>
      <c r="T3873" s="146"/>
      <c r="V3873" s="147"/>
      <c r="W3873" s="146"/>
      <c r="Y3873" s="147"/>
    </row>
    <row r="3874" spans="3:25">
      <c r="C3874" s="146"/>
      <c r="E3874" s="147"/>
      <c r="F3874" s="146"/>
      <c r="I3874" s="147"/>
      <c r="Q3874" s="146"/>
      <c r="T3874" s="146"/>
      <c r="V3874" s="147"/>
      <c r="W3874" s="146"/>
      <c r="Y3874" s="147"/>
    </row>
    <row r="3875" spans="3:25">
      <c r="C3875" s="146"/>
      <c r="E3875" s="147"/>
      <c r="F3875" s="146"/>
      <c r="I3875" s="147"/>
      <c r="Q3875" s="146"/>
      <c r="T3875" s="146"/>
      <c r="V3875" s="147"/>
      <c r="W3875" s="146"/>
      <c r="Y3875" s="147"/>
    </row>
    <row r="3876" spans="3:25">
      <c r="C3876" s="146"/>
      <c r="E3876" s="147"/>
      <c r="F3876" s="146"/>
      <c r="I3876" s="147"/>
      <c r="Q3876" s="146"/>
      <c r="T3876" s="146"/>
      <c r="V3876" s="147"/>
      <c r="W3876" s="146"/>
      <c r="Y3876" s="147"/>
    </row>
    <row r="3877" spans="3:25">
      <c r="C3877" s="146"/>
      <c r="E3877" s="147"/>
      <c r="F3877" s="146"/>
      <c r="I3877" s="147"/>
      <c r="Q3877" s="146"/>
      <c r="T3877" s="146"/>
      <c r="V3877" s="147"/>
      <c r="W3877" s="146"/>
      <c r="Y3877" s="147"/>
    </row>
    <row r="3878" spans="3:25">
      <c r="C3878" s="146"/>
      <c r="E3878" s="147"/>
      <c r="F3878" s="146"/>
      <c r="I3878" s="147"/>
      <c r="Q3878" s="146"/>
      <c r="T3878" s="146"/>
      <c r="V3878" s="147"/>
      <c r="W3878" s="146"/>
      <c r="Y3878" s="147"/>
    </row>
    <row r="3879" spans="3:25">
      <c r="C3879" s="146"/>
      <c r="E3879" s="147"/>
      <c r="F3879" s="146"/>
      <c r="I3879" s="147"/>
      <c r="Q3879" s="146"/>
      <c r="T3879" s="146"/>
      <c r="V3879" s="147"/>
      <c r="W3879" s="146"/>
      <c r="Y3879" s="147"/>
    </row>
    <row r="3880" spans="3:25">
      <c r="C3880" s="146"/>
      <c r="E3880" s="147"/>
      <c r="F3880" s="146"/>
      <c r="I3880" s="147"/>
      <c r="Q3880" s="146"/>
      <c r="T3880" s="146"/>
      <c r="V3880" s="147"/>
      <c r="W3880" s="146"/>
      <c r="Y3880" s="147"/>
    </row>
    <row r="3881" spans="3:25">
      <c r="C3881" s="146"/>
      <c r="E3881" s="147"/>
      <c r="F3881" s="146"/>
      <c r="I3881" s="147"/>
      <c r="Q3881" s="146"/>
      <c r="T3881" s="146"/>
      <c r="V3881" s="147"/>
      <c r="W3881" s="146"/>
      <c r="Y3881" s="147"/>
    </row>
    <row r="3882" spans="3:25">
      <c r="C3882" s="146"/>
      <c r="E3882" s="147"/>
      <c r="F3882" s="146"/>
      <c r="I3882" s="147"/>
      <c r="Q3882" s="146"/>
      <c r="T3882" s="146"/>
      <c r="V3882" s="147"/>
      <c r="W3882" s="146"/>
      <c r="Y3882" s="147"/>
    </row>
    <row r="3883" spans="3:25">
      <c r="C3883" s="146"/>
      <c r="E3883" s="147"/>
      <c r="F3883" s="146"/>
      <c r="I3883" s="147"/>
      <c r="Q3883" s="146"/>
      <c r="T3883" s="146"/>
      <c r="V3883" s="147"/>
      <c r="W3883" s="146"/>
      <c r="Y3883" s="147"/>
    </row>
    <row r="3884" spans="3:25">
      <c r="C3884" s="146"/>
      <c r="E3884" s="147"/>
      <c r="F3884" s="146"/>
      <c r="I3884" s="147"/>
      <c r="Q3884" s="146"/>
      <c r="T3884" s="146"/>
      <c r="V3884" s="147"/>
      <c r="W3884" s="146"/>
      <c r="Y3884" s="147"/>
    </row>
    <row r="3885" spans="3:25">
      <c r="C3885" s="146"/>
      <c r="E3885" s="147"/>
      <c r="F3885" s="146"/>
      <c r="I3885" s="147"/>
      <c r="Q3885" s="146"/>
      <c r="T3885" s="146"/>
      <c r="V3885" s="147"/>
      <c r="W3885" s="146"/>
      <c r="Y3885" s="147"/>
    </row>
    <row r="3886" spans="3:25">
      <c r="C3886" s="146"/>
      <c r="E3886" s="147"/>
      <c r="F3886" s="146"/>
      <c r="I3886" s="147"/>
      <c r="Q3886" s="146"/>
      <c r="T3886" s="146"/>
      <c r="V3886" s="147"/>
      <c r="W3886" s="146"/>
      <c r="Y3886" s="147"/>
    </row>
    <row r="3887" spans="3:25">
      <c r="C3887" s="146"/>
      <c r="E3887" s="147"/>
      <c r="F3887" s="146"/>
      <c r="I3887" s="147"/>
      <c r="Q3887" s="146"/>
      <c r="T3887" s="146"/>
      <c r="V3887" s="147"/>
      <c r="W3887" s="146"/>
      <c r="Y3887" s="147"/>
    </row>
    <row r="3888" spans="3:25">
      <c r="C3888" s="146"/>
      <c r="E3888" s="147"/>
      <c r="F3888" s="146"/>
      <c r="I3888" s="147"/>
      <c r="Q3888" s="146"/>
      <c r="T3888" s="146"/>
      <c r="V3888" s="147"/>
      <c r="W3888" s="146"/>
      <c r="Y3888" s="147"/>
    </row>
    <row r="3889" spans="3:25">
      <c r="C3889" s="146"/>
      <c r="E3889" s="147"/>
      <c r="F3889" s="146"/>
      <c r="I3889" s="147"/>
      <c r="Q3889" s="146"/>
      <c r="T3889" s="146"/>
      <c r="V3889" s="147"/>
      <c r="W3889" s="146"/>
      <c r="Y3889" s="147"/>
    </row>
    <row r="3890" spans="3:25">
      <c r="C3890" s="146"/>
      <c r="E3890" s="147"/>
      <c r="F3890" s="146"/>
      <c r="I3890" s="147"/>
      <c r="Q3890" s="146"/>
      <c r="T3890" s="146"/>
      <c r="V3890" s="147"/>
      <c r="W3890" s="146"/>
      <c r="Y3890" s="147"/>
    </row>
    <row r="3891" spans="3:25">
      <c r="C3891" s="146"/>
      <c r="E3891" s="147"/>
      <c r="F3891" s="146"/>
      <c r="I3891" s="147"/>
      <c r="Q3891" s="146"/>
      <c r="T3891" s="146"/>
      <c r="V3891" s="147"/>
      <c r="W3891" s="146"/>
      <c r="Y3891" s="147"/>
    </row>
    <row r="3892" spans="3:25">
      <c r="C3892" s="146"/>
      <c r="E3892" s="147"/>
      <c r="F3892" s="146"/>
      <c r="I3892" s="147"/>
      <c r="Q3892" s="146"/>
      <c r="T3892" s="146"/>
      <c r="V3892" s="147"/>
      <c r="W3892" s="146"/>
      <c r="Y3892" s="147"/>
    </row>
    <row r="3893" spans="3:25">
      <c r="C3893" s="146"/>
      <c r="E3893" s="147"/>
      <c r="F3893" s="146"/>
      <c r="I3893" s="147"/>
      <c r="Q3893" s="146"/>
      <c r="T3893" s="146"/>
      <c r="V3893" s="147"/>
      <c r="W3893" s="146"/>
      <c r="Y3893" s="147"/>
    </row>
    <row r="3894" spans="3:25">
      <c r="C3894" s="146"/>
      <c r="E3894" s="147"/>
      <c r="F3894" s="146"/>
      <c r="I3894" s="147"/>
      <c r="Q3894" s="146"/>
      <c r="T3894" s="146"/>
      <c r="V3894" s="147"/>
      <c r="W3894" s="146"/>
      <c r="Y3894" s="147"/>
    </row>
    <row r="3895" spans="3:25">
      <c r="C3895" s="146"/>
      <c r="E3895" s="147"/>
      <c r="F3895" s="146"/>
      <c r="I3895" s="147"/>
      <c r="Q3895" s="146"/>
      <c r="T3895" s="146"/>
      <c r="V3895" s="147"/>
      <c r="W3895" s="146"/>
      <c r="Y3895" s="147"/>
    </row>
    <row r="3896" spans="3:25">
      <c r="C3896" s="146"/>
      <c r="E3896" s="147"/>
      <c r="F3896" s="146"/>
      <c r="I3896" s="147"/>
      <c r="Q3896" s="146"/>
      <c r="T3896" s="146"/>
      <c r="V3896" s="147"/>
      <c r="W3896" s="146"/>
      <c r="Y3896" s="147"/>
    </row>
    <row r="3897" spans="3:25">
      <c r="C3897" s="146"/>
      <c r="E3897" s="147"/>
      <c r="F3897" s="146"/>
      <c r="I3897" s="147"/>
      <c r="Q3897" s="146"/>
      <c r="T3897" s="146"/>
      <c r="V3897" s="147"/>
      <c r="W3897" s="146"/>
      <c r="Y3897" s="147"/>
    </row>
    <row r="3898" spans="3:25">
      <c r="C3898" s="146"/>
      <c r="E3898" s="147"/>
      <c r="F3898" s="146"/>
      <c r="I3898" s="147"/>
      <c r="Q3898" s="146"/>
      <c r="T3898" s="146"/>
      <c r="V3898" s="147"/>
      <c r="W3898" s="146"/>
      <c r="Y3898" s="147"/>
    </row>
    <row r="3899" spans="3:25">
      <c r="C3899" s="146"/>
      <c r="E3899" s="147"/>
      <c r="F3899" s="146"/>
      <c r="I3899" s="147"/>
      <c r="Q3899" s="146"/>
      <c r="T3899" s="146"/>
      <c r="V3899" s="147"/>
      <c r="W3899" s="146"/>
      <c r="Y3899" s="147"/>
    </row>
    <row r="3900" spans="3:25">
      <c r="C3900" s="146"/>
      <c r="E3900" s="147"/>
      <c r="F3900" s="146"/>
      <c r="I3900" s="147"/>
      <c r="Q3900" s="146"/>
      <c r="T3900" s="146"/>
      <c r="V3900" s="147"/>
      <c r="W3900" s="146"/>
      <c r="Y3900" s="147"/>
    </row>
    <row r="3901" spans="3:25">
      <c r="C3901" s="146"/>
      <c r="E3901" s="147"/>
      <c r="F3901" s="146"/>
      <c r="I3901" s="147"/>
      <c r="Q3901" s="146"/>
      <c r="T3901" s="146"/>
      <c r="V3901" s="147"/>
      <c r="W3901" s="146"/>
      <c r="Y3901" s="147"/>
    </row>
    <row r="3902" spans="3:25">
      <c r="C3902" s="146"/>
      <c r="E3902" s="147"/>
      <c r="F3902" s="146"/>
      <c r="I3902" s="147"/>
      <c r="Q3902" s="146"/>
      <c r="T3902" s="146"/>
      <c r="V3902" s="147"/>
      <c r="W3902" s="146"/>
      <c r="Y3902" s="147"/>
    </row>
    <row r="3903" spans="3:25">
      <c r="C3903" s="146"/>
      <c r="E3903" s="147"/>
      <c r="F3903" s="146"/>
      <c r="I3903" s="147"/>
      <c r="Q3903" s="146"/>
      <c r="T3903" s="146"/>
      <c r="V3903" s="147"/>
      <c r="W3903" s="146"/>
      <c r="Y3903" s="147"/>
    </row>
    <row r="3904" spans="3:25">
      <c r="C3904" s="146"/>
      <c r="E3904" s="147"/>
      <c r="F3904" s="146"/>
      <c r="I3904" s="147"/>
      <c r="Q3904" s="146"/>
      <c r="T3904" s="146"/>
      <c r="V3904" s="147"/>
      <c r="W3904" s="146"/>
      <c r="Y3904" s="147"/>
    </row>
    <row r="3905" spans="3:25">
      <c r="C3905" s="146"/>
      <c r="E3905" s="147"/>
      <c r="F3905" s="146"/>
      <c r="I3905" s="147"/>
      <c r="Q3905" s="146"/>
      <c r="T3905" s="146"/>
      <c r="V3905" s="147"/>
      <c r="W3905" s="146"/>
      <c r="Y3905" s="147"/>
    </row>
    <row r="3906" spans="3:25">
      <c r="C3906" s="146"/>
      <c r="E3906" s="147"/>
      <c r="F3906" s="146"/>
      <c r="I3906" s="147"/>
      <c r="Q3906" s="146"/>
      <c r="T3906" s="146"/>
      <c r="V3906" s="147"/>
      <c r="W3906" s="146"/>
      <c r="Y3906" s="147"/>
    </row>
    <row r="3907" spans="3:25">
      <c r="C3907" s="146"/>
      <c r="E3907" s="147"/>
      <c r="F3907" s="146"/>
      <c r="I3907" s="147"/>
      <c r="Q3907" s="146"/>
      <c r="T3907" s="146"/>
      <c r="V3907" s="147"/>
      <c r="W3907" s="146"/>
      <c r="Y3907" s="147"/>
    </row>
    <row r="3908" spans="3:25">
      <c r="C3908" s="146"/>
      <c r="E3908" s="147"/>
      <c r="F3908" s="146"/>
      <c r="I3908" s="147"/>
      <c r="Q3908" s="146"/>
      <c r="T3908" s="146"/>
      <c r="V3908" s="147"/>
      <c r="W3908" s="146"/>
      <c r="Y3908" s="147"/>
    </row>
    <row r="3909" spans="3:25">
      <c r="C3909" s="146"/>
      <c r="E3909" s="147"/>
      <c r="F3909" s="146"/>
      <c r="I3909" s="147"/>
      <c r="Q3909" s="146"/>
      <c r="T3909" s="146"/>
      <c r="V3909" s="147"/>
      <c r="W3909" s="146"/>
      <c r="Y3909" s="147"/>
    </row>
    <row r="3910" spans="3:25">
      <c r="C3910" s="146"/>
      <c r="E3910" s="147"/>
      <c r="F3910" s="146"/>
      <c r="I3910" s="147"/>
      <c r="Q3910" s="146"/>
      <c r="T3910" s="146"/>
      <c r="V3910" s="147"/>
      <c r="W3910" s="146"/>
      <c r="Y3910" s="147"/>
    </row>
    <row r="3911" spans="3:25">
      <c r="C3911" s="146"/>
      <c r="E3911" s="147"/>
      <c r="F3911" s="146"/>
      <c r="I3911" s="147"/>
      <c r="Q3911" s="146"/>
      <c r="T3911" s="146"/>
      <c r="V3911" s="147"/>
      <c r="W3911" s="146"/>
      <c r="Y3911" s="147"/>
    </row>
    <row r="3912" spans="3:25">
      <c r="C3912" s="146"/>
      <c r="E3912" s="147"/>
      <c r="F3912" s="146"/>
      <c r="I3912" s="147"/>
      <c r="Q3912" s="146"/>
      <c r="T3912" s="146"/>
      <c r="V3912" s="147"/>
      <c r="W3912" s="146"/>
      <c r="Y3912" s="147"/>
    </row>
    <row r="3913" spans="3:25">
      <c r="C3913" s="146"/>
      <c r="E3913" s="147"/>
      <c r="F3913" s="146"/>
      <c r="I3913" s="147"/>
      <c r="Q3913" s="146"/>
      <c r="T3913" s="146"/>
      <c r="V3913" s="147"/>
      <c r="W3913" s="146"/>
      <c r="Y3913" s="147"/>
    </row>
    <row r="3914" spans="3:25">
      <c r="C3914" s="146"/>
      <c r="E3914" s="147"/>
      <c r="F3914" s="146"/>
      <c r="I3914" s="147"/>
      <c r="Q3914" s="146"/>
      <c r="T3914" s="146"/>
      <c r="V3914" s="147"/>
      <c r="W3914" s="146"/>
      <c r="Y3914" s="147"/>
    </row>
    <row r="3915" spans="3:25">
      <c r="C3915" s="146"/>
      <c r="E3915" s="147"/>
      <c r="F3915" s="146"/>
      <c r="I3915" s="147"/>
      <c r="Q3915" s="146"/>
      <c r="T3915" s="146"/>
      <c r="V3915" s="147"/>
      <c r="W3915" s="146"/>
      <c r="Y3915" s="147"/>
    </row>
    <row r="3916" spans="3:25">
      <c r="C3916" s="146"/>
      <c r="E3916" s="147"/>
      <c r="F3916" s="146"/>
      <c r="I3916" s="147"/>
      <c r="Q3916" s="146"/>
      <c r="T3916" s="146"/>
      <c r="V3916" s="147"/>
      <c r="W3916" s="146"/>
      <c r="Y3916" s="147"/>
    </row>
    <row r="3917" spans="3:25">
      <c r="C3917" s="146"/>
      <c r="E3917" s="147"/>
      <c r="F3917" s="146"/>
      <c r="I3917" s="147"/>
      <c r="Q3917" s="146"/>
      <c r="T3917" s="146"/>
      <c r="V3917" s="147"/>
      <c r="W3917" s="146"/>
      <c r="Y3917" s="147"/>
    </row>
    <row r="3918" spans="3:25">
      <c r="C3918" s="146"/>
      <c r="E3918" s="147"/>
      <c r="F3918" s="146"/>
      <c r="I3918" s="147"/>
      <c r="Q3918" s="146"/>
      <c r="T3918" s="146"/>
      <c r="V3918" s="147"/>
      <c r="W3918" s="146"/>
      <c r="Y3918" s="147"/>
    </row>
    <row r="3919" spans="3:25">
      <c r="C3919" s="146"/>
      <c r="E3919" s="147"/>
      <c r="F3919" s="146"/>
      <c r="I3919" s="147"/>
      <c r="Q3919" s="146"/>
      <c r="T3919" s="146"/>
      <c r="V3919" s="147"/>
      <c r="W3919" s="146"/>
      <c r="Y3919" s="147"/>
    </row>
    <row r="3920" spans="3:25">
      <c r="C3920" s="146"/>
      <c r="E3920" s="147"/>
      <c r="F3920" s="146"/>
      <c r="I3920" s="147"/>
      <c r="Q3920" s="146"/>
      <c r="T3920" s="146"/>
      <c r="V3920" s="147"/>
      <c r="W3920" s="146"/>
      <c r="Y3920" s="147"/>
    </row>
    <row r="3921" spans="3:25">
      <c r="C3921" s="146"/>
      <c r="E3921" s="147"/>
      <c r="F3921" s="146"/>
      <c r="I3921" s="147"/>
      <c r="Q3921" s="146"/>
      <c r="T3921" s="146"/>
      <c r="V3921" s="147"/>
      <c r="W3921" s="146"/>
      <c r="Y3921" s="147"/>
    </row>
    <row r="3922" spans="3:25">
      <c r="C3922" s="146"/>
      <c r="E3922" s="147"/>
      <c r="F3922" s="146"/>
      <c r="I3922" s="147"/>
      <c r="Q3922" s="146"/>
      <c r="T3922" s="146"/>
      <c r="V3922" s="147"/>
      <c r="W3922" s="146"/>
      <c r="Y3922" s="147"/>
    </row>
    <row r="3923" spans="3:25">
      <c r="C3923" s="146"/>
      <c r="E3923" s="147"/>
      <c r="F3923" s="146"/>
      <c r="I3923" s="147"/>
      <c r="Q3923" s="146"/>
      <c r="T3923" s="146"/>
      <c r="V3923" s="147"/>
      <c r="W3923" s="146"/>
      <c r="Y3923" s="147"/>
    </row>
    <row r="3924" spans="3:25">
      <c r="C3924" s="146"/>
      <c r="E3924" s="147"/>
      <c r="F3924" s="146"/>
      <c r="I3924" s="147"/>
      <c r="Q3924" s="146"/>
      <c r="T3924" s="146"/>
      <c r="V3924" s="147"/>
      <c r="W3924" s="146"/>
      <c r="Y3924" s="147"/>
    </row>
    <row r="3925" spans="3:25">
      <c r="C3925" s="146"/>
      <c r="E3925" s="147"/>
      <c r="F3925" s="146"/>
      <c r="I3925" s="147"/>
      <c r="Q3925" s="146"/>
      <c r="T3925" s="146"/>
      <c r="V3925" s="147"/>
      <c r="W3925" s="146"/>
      <c r="Y3925" s="147"/>
    </row>
    <row r="3926" spans="3:25">
      <c r="C3926" s="146"/>
      <c r="E3926" s="147"/>
      <c r="F3926" s="146"/>
      <c r="I3926" s="147"/>
      <c r="Q3926" s="146"/>
      <c r="T3926" s="146"/>
      <c r="V3926" s="147"/>
      <c r="W3926" s="146"/>
      <c r="Y3926" s="147"/>
    </row>
    <row r="3927" spans="3:25">
      <c r="C3927" s="146"/>
      <c r="E3927" s="147"/>
      <c r="F3927" s="146"/>
      <c r="I3927" s="147"/>
      <c r="Q3927" s="146"/>
      <c r="T3927" s="146"/>
      <c r="V3927" s="147"/>
      <c r="W3927" s="146"/>
      <c r="Y3927" s="147"/>
    </row>
    <row r="3928" spans="3:25">
      <c r="C3928" s="146"/>
      <c r="E3928" s="147"/>
      <c r="F3928" s="146"/>
      <c r="I3928" s="147"/>
      <c r="Q3928" s="146"/>
      <c r="T3928" s="146"/>
      <c r="V3928" s="147"/>
      <c r="W3928" s="146"/>
      <c r="Y3928" s="147"/>
    </row>
    <row r="3929" spans="3:25">
      <c r="C3929" s="146"/>
      <c r="E3929" s="147"/>
      <c r="F3929" s="146"/>
      <c r="I3929" s="147"/>
      <c r="Q3929" s="146"/>
      <c r="T3929" s="146"/>
      <c r="V3929" s="147"/>
      <c r="W3929" s="146"/>
      <c r="Y3929" s="147"/>
    </row>
    <row r="3930" spans="3:25">
      <c r="C3930" s="146"/>
      <c r="E3930" s="147"/>
      <c r="F3930" s="146"/>
      <c r="I3930" s="147"/>
      <c r="Q3930" s="146"/>
      <c r="T3930" s="146"/>
      <c r="V3930" s="147"/>
      <c r="W3930" s="146"/>
      <c r="Y3930" s="147"/>
    </row>
    <row r="3931" spans="3:25">
      <c r="C3931" s="146"/>
      <c r="E3931" s="147"/>
      <c r="F3931" s="146"/>
      <c r="I3931" s="147"/>
      <c r="Q3931" s="146"/>
      <c r="T3931" s="146"/>
      <c r="V3931" s="147"/>
      <c r="W3931" s="146"/>
      <c r="Y3931" s="147"/>
    </row>
    <row r="3932" spans="3:25">
      <c r="C3932" s="146"/>
      <c r="E3932" s="147"/>
      <c r="F3932" s="146"/>
      <c r="I3932" s="147"/>
      <c r="Q3932" s="146"/>
      <c r="T3932" s="146"/>
      <c r="V3932" s="147"/>
      <c r="W3932" s="146"/>
      <c r="Y3932" s="147"/>
    </row>
    <row r="3933" spans="3:25">
      <c r="C3933" s="146"/>
      <c r="E3933" s="147"/>
      <c r="F3933" s="146"/>
      <c r="I3933" s="147"/>
      <c r="Q3933" s="146"/>
      <c r="T3933" s="146"/>
      <c r="V3933" s="147"/>
      <c r="W3933" s="146"/>
      <c r="Y3933" s="147"/>
    </row>
    <row r="3934" spans="3:25">
      <c r="C3934" s="146"/>
      <c r="E3934" s="147"/>
      <c r="F3934" s="146"/>
      <c r="I3934" s="147"/>
      <c r="Q3934" s="146"/>
      <c r="T3934" s="146"/>
      <c r="V3934" s="147"/>
      <c r="W3934" s="146"/>
      <c r="Y3934" s="147"/>
    </row>
    <row r="3935" spans="3:25">
      <c r="C3935" s="146"/>
      <c r="E3935" s="147"/>
      <c r="F3935" s="146"/>
      <c r="I3935" s="147"/>
      <c r="Q3935" s="146"/>
      <c r="T3935" s="146"/>
      <c r="V3935" s="147"/>
      <c r="W3935" s="146"/>
      <c r="Y3935" s="147"/>
    </row>
    <row r="3936" spans="3:25">
      <c r="C3936" s="146"/>
      <c r="E3936" s="147"/>
      <c r="F3936" s="146"/>
      <c r="I3936" s="147"/>
      <c r="Q3936" s="146"/>
      <c r="T3936" s="146"/>
      <c r="V3936" s="147"/>
      <c r="W3936" s="146"/>
      <c r="Y3936" s="147"/>
    </row>
    <row r="3937" spans="3:25">
      <c r="C3937" s="146"/>
      <c r="E3937" s="147"/>
      <c r="F3937" s="146"/>
      <c r="I3937" s="147"/>
      <c r="Q3937" s="146"/>
      <c r="T3937" s="146"/>
      <c r="V3937" s="147"/>
      <c r="W3937" s="146"/>
      <c r="Y3937" s="147"/>
    </row>
    <row r="3938" spans="3:25">
      <c r="C3938" s="146"/>
      <c r="E3938" s="147"/>
      <c r="F3938" s="146"/>
      <c r="I3938" s="147"/>
      <c r="Q3938" s="146"/>
      <c r="T3938" s="146"/>
      <c r="V3938" s="147"/>
      <c r="W3938" s="146"/>
      <c r="Y3938" s="147"/>
    </row>
    <row r="3939" spans="3:25">
      <c r="C3939" s="146"/>
      <c r="E3939" s="147"/>
      <c r="F3939" s="146"/>
      <c r="I3939" s="147"/>
      <c r="Q3939" s="146"/>
      <c r="T3939" s="146"/>
      <c r="V3939" s="147"/>
      <c r="W3939" s="146"/>
      <c r="Y3939" s="147"/>
    </row>
    <row r="3940" spans="3:25">
      <c r="C3940" s="146"/>
      <c r="E3940" s="147"/>
      <c r="F3940" s="146"/>
      <c r="I3940" s="147"/>
      <c r="Q3940" s="146"/>
      <c r="T3940" s="146"/>
      <c r="V3940" s="147"/>
      <c r="W3940" s="146"/>
      <c r="Y3940" s="147"/>
    </row>
    <row r="3941" spans="3:25">
      <c r="C3941" s="146"/>
      <c r="E3941" s="147"/>
      <c r="F3941" s="146"/>
      <c r="I3941" s="147"/>
      <c r="Q3941" s="146"/>
      <c r="T3941" s="146"/>
      <c r="V3941" s="147"/>
      <c r="W3941" s="146"/>
      <c r="Y3941" s="147"/>
    </row>
    <row r="3942" spans="3:25">
      <c r="C3942" s="146"/>
      <c r="E3942" s="147"/>
      <c r="F3942" s="146"/>
      <c r="I3942" s="147"/>
      <c r="Q3942" s="146"/>
      <c r="T3942" s="146"/>
      <c r="V3942" s="147"/>
      <c r="W3942" s="146"/>
      <c r="Y3942" s="147"/>
    </row>
    <row r="3943" spans="3:25">
      <c r="C3943" s="146"/>
      <c r="E3943" s="147"/>
      <c r="F3943" s="146"/>
      <c r="I3943" s="147"/>
      <c r="Q3943" s="146"/>
      <c r="T3943" s="146"/>
      <c r="V3943" s="147"/>
      <c r="W3943" s="146"/>
      <c r="Y3943" s="147"/>
    </row>
    <row r="3944" spans="3:25">
      <c r="C3944" s="146"/>
      <c r="E3944" s="147"/>
      <c r="F3944" s="146"/>
      <c r="I3944" s="147"/>
      <c r="Q3944" s="146"/>
      <c r="T3944" s="146"/>
      <c r="V3944" s="147"/>
      <c r="W3944" s="146"/>
      <c r="Y3944" s="147"/>
    </row>
    <row r="3945" spans="3:25">
      <c r="C3945" s="146"/>
      <c r="E3945" s="147"/>
      <c r="F3945" s="146"/>
      <c r="I3945" s="147"/>
      <c r="Q3945" s="146"/>
      <c r="T3945" s="146"/>
      <c r="V3945" s="147"/>
      <c r="W3945" s="146"/>
      <c r="Y3945" s="147"/>
    </row>
    <row r="3946" spans="3:25">
      <c r="C3946" s="146"/>
      <c r="E3946" s="147"/>
      <c r="F3946" s="146"/>
      <c r="I3946" s="147"/>
      <c r="Q3946" s="146"/>
      <c r="T3946" s="146"/>
      <c r="V3946" s="147"/>
      <c r="W3946" s="146"/>
      <c r="Y3946" s="147"/>
    </row>
    <row r="3947" spans="3:25">
      <c r="C3947" s="146"/>
      <c r="E3947" s="147"/>
      <c r="F3947" s="146"/>
      <c r="I3947" s="147"/>
      <c r="Q3947" s="146"/>
      <c r="T3947" s="146"/>
      <c r="V3947" s="147"/>
      <c r="W3947" s="146"/>
      <c r="Y3947" s="147"/>
    </row>
    <row r="3948" spans="3:25">
      <c r="C3948" s="146"/>
      <c r="E3948" s="147"/>
      <c r="F3948" s="146"/>
      <c r="I3948" s="147"/>
      <c r="Q3948" s="146"/>
      <c r="T3948" s="146"/>
      <c r="V3948" s="147"/>
      <c r="W3948" s="146"/>
      <c r="Y3948" s="147"/>
    </row>
    <row r="3949" spans="3:25">
      <c r="C3949" s="146"/>
      <c r="E3949" s="147"/>
      <c r="F3949" s="146"/>
      <c r="I3949" s="147"/>
      <c r="Q3949" s="146"/>
      <c r="T3949" s="146"/>
      <c r="V3949" s="147"/>
      <c r="W3949" s="146"/>
      <c r="Y3949" s="147"/>
    </row>
    <row r="3950" spans="3:25">
      <c r="C3950" s="146"/>
      <c r="E3950" s="147"/>
      <c r="F3950" s="146"/>
      <c r="I3950" s="147"/>
      <c r="Q3950" s="146"/>
      <c r="T3950" s="146"/>
      <c r="V3950" s="147"/>
      <c r="W3950" s="146"/>
      <c r="Y3950" s="147"/>
    </row>
    <row r="3951" spans="3:25">
      <c r="C3951" s="146"/>
      <c r="E3951" s="147"/>
      <c r="F3951" s="146"/>
      <c r="I3951" s="147"/>
      <c r="Q3951" s="146"/>
      <c r="T3951" s="146"/>
      <c r="V3951" s="147"/>
      <c r="W3951" s="146"/>
      <c r="Y3951" s="147"/>
    </row>
    <row r="3952" spans="3:25">
      <c r="C3952" s="146"/>
      <c r="E3952" s="147"/>
      <c r="F3952" s="146"/>
      <c r="I3952" s="147"/>
      <c r="Q3952" s="146"/>
      <c r="T3952" s="146"/>
      <c r="V3952" s="147"/>
      <c r="W3952" s="146"/>
      <c r="Y3952" s="147"/>
    </row>
    <row r="3953" spans="3:25">
      <c r="C3953" s="146"/>
      <c r="E3953" s="147"/>
      <c r="F3953" s="146"/>
      <c r="I3953" s="147"/>
      <c r="Q3953" s="146"/>
      <c r="T3953" s="146"/>
      <c r="V3953" s="147"/>
      <c r="W3953" s="146"/>
      <c r="Y3953" s="147"/>
    </row>
    <row r="3954" spans="3:25">
      <c r="C3954" s="146"/>
      <c r="E3954" s="147"/>
      <c r="F3954" s="146"/>
      <c r="I3954" s="147"/>
      <c r="Q3954" s="146"/>
      <c r="T3954" s="146"/>
      <c r="V3954" s="147"/>
      <c r="W3954" s="146"/>
      <c r="Y3954" s="147"/>
    </row>
    <row r="3955" spans="3:25">
      <c r="C3955" s="146"/>
      <c r="E3955" s="147"/>
      <c r="F3955" s="146"/>
      <c r="I3955" s="147"/>
      <c r="Q3955" s="146"/>
      <c r="T3955" s="146"/>
      <c r="V3955" s="147"/>
      <c r="W3955" s="146"/>
      <c r="Y3955" s="147"/>
    </row>
    <row r="3956" spans="3:25">
      <c r="C3956" s="146"/>
      <c r="E3956" s="147"/>
      <c r="F3956" s="146"/>
      <c r="I3956" s="147"/>
      <c r="Q3956" s="146"/>
      <c r="T3956" s="146"/>
      <c r="V3956" s="147"/>
      <c r="W3956" s="146"/>
      <c r="Y3956" s="147"/>
    </row>
    <row r="3957" spans="3:25">
      <c r="C3957" s="146"/>
      <c r="E3957" s="147"/>
      <c r="F3957" s="146"/>
      <c r="I3957" s="147"/>
      <c r="Q3957" s="146"/>
      <c r="T3957" s="146"/>
      <c r="V3957" s="147"/>
      <c r="W3957" s="146"/>
      <c r="Y3957" s="147"/>
    </row>
    <row r="3958" spans="3:25">
      <c r="C3958" s="146"/>
      <c r="E3958" s="147"/>
      <c r="F3958" s="146"/>
      <c r="I3958" s="147"/>
      <c r="Q3958" s="146"/>
      <c r="T3958" s="146"/>
      <c r="V3958" s="147"/>
      <c r="W3958" s="146"/>
      <c r="Y3958" s="147"/>
    </row>
    <row r="3959" spans="3:25">
      <c r="C3959" s="146"/>
      <c r="E3959" s="147"/>
      <c r="F3959" s="146"/>
      <c r="I3959" s="147"/>
      <c r="Q3959" s="146"/>
      <c r="T3959" s="146"/>
      <c r="V3959" s="147"/>
      <c r="W3959" s="146"/>
      <c r="Y3959" s="147"/>
    </row>
    <row r="3960" spans="3:25">
      <c r="C3960" s="146"/>
      <c r="E3960" s="147"/>
      <c r="F3960" s="146"/>
      <c r="I3960" s="147"/>
      <c r="Q3960" s="146"/>
      <c r="T3960" s="146"/>
      <c r="V3960" s="147"/>
      <c r="W3960" s="146"/>
      <c r="Y3960" s="147"/>
    </row>
    <row r="3961" spans="3:25">
      <c r="C3961" s="146"/>
      <c r="E3961" s="147"/>
      <c r="F3961" s="146"/>
      <c r="I3961" s="147"/>
      <c r="Q3961" s="146"/>
      <c r="T3961" s="146"/>
      <c r="V3961" s="147"/>
      <c r="W3961" s="146"/>
      <c r="Y3961" s="147"/>
    </row>
    <row r="3962" spans="3:25">
      <c r="C3962" s="146"/>
      <c r="E3962" s="147"/>
      <c r="F3962" s="146"/>
      <c r="I3962" s="147"/>
      <c r="Q3962" s="146"/>
      <c r="T3962" s="146"/>
      <c r="V3962" s="147"/>
      <c r="W3962" s="146"/>
      <c r="Y3962" s="147"/>
    </row>
    <row r="3963" spans="3:25">
      <c r="C3963" s="146"/>
      <c r="E3963" s="147"/>
      <c r="F3963" s="146"/>
      <c r="I3963" s="147"/>
      <c r="Q3963" s="146"/>
      <c r="T3963" s="146"/>
      <c r="V3963" s="147"/>
      <c r="W3963" s="146"/>
      <c r="Y3963" s="147"/>
    </row>
    <row r="3964" spans="3:25">
      <c r="C3964" s="146"/>
      <c r="E3964" s="147"/>
      <c r="F3964" s="146"/>
      <c r="I3964" s="147"/>
      <c r="Q3964" s="146"/>
      <c r="T3964" s="146"/>
      <c r="V3964" s="147"/>
      <c r="W3964" s="146"/>
      <c r="Y3964" s="147"/>
    </row>
    <row r="3965" spans="3:25">
      <c r="C3965" s="146"/>
      <c r="E3965" s="147"/>
      <c r="F3965" s="146"/>
      <c r="I3965" s="147"/>
      <c r="Q3965" s="146"/>
      <c r="T3965" s="146"/>
      <c r="V3965" s="147"/>
      <c r="W3965" s="146"/>
      <c r="Y3965" s="147"/>
    </row>
    <row r="3966" spans="3:25">
      <c r="C3966" s="146"/>
      <c r="E3966" s="147"/>
      <c r="F3966" s="146"/>
      <c r="I3966" s="147"/>
      <c r="Q3966" s="146"/>
      <c r="T3966" s="146"/>
      <c r="V3966" s="147"/>
      <c r="W3966" s="146"/>
      <c r="Y3966" s="147"/>
    </row>
    <row r="3967" spans="3:25">
      <c r="C3967" s="146"/>
      <c r="E3967" s="147"/>
      <c r="F3967" s="146"/>
      <c r="I3967" s="147"/>
      <c r="Q3967" s="146"/>
      <c r="T3967" s="146"/>
      <c r="V3967" s="147"/>
      <c r="W3967" s="146"/>
      <c r="Y3967" s="147"/>
    </row>
    <row r="3968" spans="3:25">
      <c r="C3968" s="146"/>
      <c r="E3968" s="147"/>
      <c r="F3968" s="146"/>
      <c r="I3968" s="147"/>
      <c r="Q3968" s="146"/>
      <c r="T3968" s="146"/>
      <c r="V3968" s="147"/>
      <c r="W3968" s="146"/>
      <c r="Y3968" s="147"/>
    </row>
    <row r="3969" spans="3:25">
      <c r="C3969" s="146"/>
      <c r="E3969" s="147"/>
      <c r="F3969" s="146"/>
      <c r="I3969" s="147"/>
      <c r="Q3969" s="146"/>
      <c r="T3969" s="146"/>
      <c r="V3969" s="147"/>
      <c r="W3969" s="146"/>
      <c r="Y3969" s="147"/>
    </row>
    <row r="3970" spans="3:25">
      <c r="C3970" s="146"/>
      <c r="E3970" s="147"/>
      <c r="F3970" s="146"/>
      <c r="I3970" s="147"/>
      <c r="Q3970" s="146"/>
      <c r="T3970" s="146"/>
      <c r="V3970" s="147"/>
      <c r="W3970" s="146"/>
      <c r="Y3970" s="147"/>
    </row>
    <row r="3971" spans="3:25">
      <c r="C3971" s="146"/>
      <c r="E3971" s="147"/>
      <c r="F3971" s="146"/>
      <c r="I3971" s="147"/>
      <c r="Q3971" s="146"/>
      <c r="T3971" s="146"/>
      <c r="V3971" s="147"/>
      <c r="W3971" s="146"/>
      <c r="Y3971" s="147"/>
    </row>
    <row r="3972" spans="3:25">
      <c r="C3972" s="146"/>
      <c r="E3972" s="147"/>
      <c r="F3972" s="146"/>
      <c r="I3972" s="147"/>
      <c r="Q3972" s="146"/>
      <c r="T3972" s="146"/>
      <c r="V3972" s="147"/>
      <c r="W3972" s="146"/>
      <c r="Y3972" s="147"/>
    </row>
    <row r="3973" spans="3:25">
      <c r="C3973" s="146"/>
      <c r="E3973" s="147"/>
      <c r="F3973" s="146"/>
      <c r="I3973" s="147"/>
      <c r="Q3973" s="146"/>
      <c r="T3973" s="146"/>
      <c r="V3973" s="147"/>
      <c r="W3973" s="146"/>
      <c r="Y3973" s="147"/>
    </row>
    <row r="3974" spans="3:25">
      <c r="C3974" s="146"/>
      <c r="E3974" s="147"/>
      <c r="F3974" s="146"/>
      <c r="I3974" s="147"/>
      <c r="Q3974" s="146"/>
      <c r="T3974" s="146"/>
      <c r="V3974" s="147"/>
      <c r="W3974" s="146"/>
      <c r="Y3974" s="147"/>
    </row>
    <row r="3975" spans="3:25">
      <c r="C3975" s="146"/>
      <c r="E3975" s="147"/>
      <c r="F3975" s="146"/>
      <c r="I3975" s="147"/>
      <c r="Q3975" s="146"/>
      <c r="T3975" s="146"/>
      <c r="V3975" s="147"/>
      <c r="W3975" s="146"/>
      <c r="Y3975" s="147"/>
    </row>
    <row r="3976" spans="3:25">
      <c r="C3976" s="146"/>
      <c r="E3976" s="147"/>
      <c r="F3976" s="146"/>
      <c r="I3976" s="147"/>
      <c r="Q3976" s="146"/>
      <c r="T3976" s="146"/>
      <c r="V3976" s="147"/>
      <c r="W3976" s="146"/>
      <c r="Y3976" s="147"/>
    </row>
    <row r="3977" spans="3:25">
      <c r="C3977" s="146"/>
      <c r="E3977" s="147"/>
      <c r="F3977" s="146"/>
      <c r="I3977" s="147"/>
      <c r="Q3977" s="146"/>
      <c r="T3977" s="146"/>
      <c r="V3977" s="147"/>
      <c r="W3977" s="146"/>
      <c r="Y3977" s="147"/>
    </row>
    <row r="3978" spans="3:25">
      <c r="C3978" s="146"/>
      <c r="E3978" s="147"/>
      <c r="F3978" s="146"/>
      <c r="I3978" s="147"/>
      <c r="Q3978" s="146"/>
      <c r="T3978" s="146"/>
      <c r="V3978" s="147"/>
      <c r="W3978" s="146"/>
      <c r="Y3978" s="147"/>
    </row>
    <row r="3979" spans="3:25">
      <c r="C3979" s="146"/>
      <c r="E3979" s="147"/>
      <c r="F3979" s="146"/>
      <c r="I3979" s="147"/>
      <c r="Q3979" s="146"/>
      <c r="T3979" s="146"/>
      <c r="V3979" s="147"/>
      <c r="W3979" s="146"/>
      <c r="Y3979" s="147"/>
    </row>
    <row r="3980" spans="3:25">
      <c r="C3980" s="146"/>
      <c r="E3980" s="147"/>
      <c r="F3980" s="146"/>
      <c r="I3980" s="147"/>
      <c r="Q3980" s="146"/>
      <c r="T3980" s="146"/>
      <c r="V3980" s="147"/>
      <c r="W3980" s="146"/>
      <c r="Y3980" s="147"/>
    </row>
    <row r="3981" spans="3:25">
      <c r="C3981" s="146"/>
      <c r="E3981" s="147"/>
      <c r="F3981" s="146"/>
      <c r="I3981" s="147"/>
      <c r="Q3981" s="146"/>
      <c r="T3981" s="146"/>
      <c r="V3981" s="147"/>
      <c r="W3981" s="146"/>
      <c r="Y3981" s="147"/>
    </row>
    <row r="3982" spans="3:25">
      <c r="C3982" s="146"/>
      <c r="E3982" s="147"/>
      <c r="F3982" s="146"/>
      <c r="I3982" s="147"/>
      <c r="Q3982" s="146"/>
      <c r="T3982" s="146"/>
      <c r="V3982" s="147"/>
      <c r="W3982" s="146"/>
      <c r="Y3982" s="147"/>
    </row>
    <row r="3983" spans="3:25">
      <c r="C3983" s="146"/>
      <c r="E3983" s="147"/>
      <c r="F3983" s="146"/>
      <c r="I3983" s="147"/>
      <c r="Q3983" s="146"/>
      <c r="T3983" s="146"/>
      <c r="V3983" s="147"/>
      <c r="W3983" s="146"/>
      <c r="Y3983" s="147"/>
    </row>
    <row r="3984" spans="3:25">
      <c r="C3984" s="146"/>
      <c r="E3984" s="147"/>
      <c r="F3984" s="146"/>
      <c r="I3984" s="147"/>
      <c r="Q3984" s="146"/>
      <c r="T3984" s="146"/>
      <c r="V3984" s="147"/>
      <c r="W3984" s="146"/>
      <c r="Y3984" s="147"/>
    </row>
    <row r="3985" spans="3:25">
      <c r="C3985" s="146"/>
      <c r="E3985" s="147"/>
      <c r="F3985" s="146"/>
      <c r="I3985" s="147"/>
      <c r="Q3985" s="146"/>
      <c r="T3985" s="146"/>
      <c r="V3985" s="147"/>
      <c r="W3985" s="146"/>
      <c r="Y3985" s="147"/>
    </row>
    <row r="3986" spans="3:25">
      <c r="C3986" s="146"/>
      <c r="E3986" s="147"/>
      <c r="F3986" s="146"/>
      <c r="I3986" s="147"/>
      <c r="Q3986" s="146"/>
      <c r="T3986" s="146"/>
      <c r="V3986" s="147"/>
      <c r="W3986" s="146"/>
      <c r="Y3986" s="147"/>
    </row>
    <row r="3987" spans="3:25">
      <c r="C3987" s="146"/>
      <c r="E3987" s="147"/>
      <c r="F3987" s="146"/>
      <c r="I3987" s="147"/>
      <c r="Q3987" s="146"/>
      <c r="T3987" s="146"/>
      <c r="V3987" s="147"/>
      <c r="W3987" s="146"/>
      <c r="Y3987" s="147"/>
    </row>
    <row r="3988" spans="3:25">
      <c r="C3988" s="146"/>
      <c r="E3988" s="147"/>
      <c r="F3988" s="146"/>
      <c r="I3988" s="147"/>
      <c r="Q3988" s="146"/>
      <c r="T3988" s="146"/>
      <c r="V3988" s="147"/>
      <c r="W3988" s="146"/>
      <c r="Y3988" s="147"/>
    </row>
    <row r="3989" spans="3:25">
      <c r="C3989" s="146"/>
      <c r="E3989" s="147"/>
      <c r="F3989" s="146"/>
      <c r="I3989" s="147"/>
      <c r="Q3989" s="146"/>
      <c r="T3989" s="146"/>
      <c r="V3989" s="147"/>
      <c r="W3989" s="146"/>
      <c r="Y3989" s="147"/>
    </row>
    <row r="3990" spans="3:25">
      <c r="C3990" s="146"/>
      <c r="E3990" s="147"/>
      <c r="F3990" s="146"/>
      <c r="I3990" s="147"/>
      <c r="Q3990" s="146"/>
      <c r="T3990" s="146"/>
      <c r="V3990" s="147"/>
      <c r="W3990" s="146"/>
      <c r="Y3990" s="147"/>
    </row>
    <row r="3991" spans="3:25">
      <c r="C3991" s="146"/>
      <c r="E3991" s="147"/>
      <c r="F3991" s="146"/>
      <c r="I3991" s="147"/>
      <c r="Q3991" s="146"/>
      <c r="T3991" s="146"/>
      <c r="V3991" s="147"/>
      <c r="W3991" s="146"/>
      <c r="Y3991" s="147"/>
    </row>
    <row r="3992" spans="3:25">
      <c r="C3992" s="146"/>
      <c r="E3992" s="147"/>
      <c r="F3992" s="146"/>
      <c r="I3992" s="147"/>
      <c r="Q3992" s="146"/>
      <c r="T3992" s="146"/>
      <c r="V3992" s="147"/>
      <c r="W3992" s="146"/>
      <c r="Y3992" s="147"/>
    </row>
    <row r="3993" spans="3:25">
      <c r="C3993" s="146"/>
      <c r="E3993" s="147"/>
      <c r="F3993" s="146"/>
      <c r="I3993" s="147"/>
      <c r="Q3993" s="146"/>
      <c r="T3993" s="146"/>
      <c r="V3993" s="147"/>
      <c r="W3993" s="146"/>
      <c r="Y3993" s="147"/>
    </row>
    <row r="3994" spans="3:25">
      <c r="C3994" s="146"/>
      <c r="E3994" s="147"/>
      <c r="F3994" s="146"/>
      <c r="I3994" s="147"/>
      <c r="Q3994" s="146"/>
      <c r="T3994" s="146"/>
      <c r="V3994" s="147"/>
      <c r="W3994" s="146"/>
      <c r="Y3994" s="147"/>
    </row>
    <row r="3995" spans="3:25">
      <c r="C3995" s="146"/>
      <c r="E3995" s="147"/>
      <c r="F3995" s="146"/>
      <c r="I3995" s="147"/>
      <c r="Q3995" s="146"/>
      <c r="T3995" s="146"/>
      <c r="V3995" s="147"/>
      <c r="W3995" s="146"/>
      <c r="Y3995" s="147"/>
    </row>
    <row r="3996" spans="3:25">
      <c r="C3996" s="146"/>
      <c r="E3996" s="147"/>
      <c r="F3996" s="146"/>
      <c r="I3996" s="147"/>
      <c r="Q3996" s="146"/>
      <c r="T3996" s="146"/>
      <c r="V3996" s="147"/>
      <c r="W3996" s="146"/>
      <c r="Y3996" s="147"/>
    </row>
    <row r="3997" spans="3:25">
      <c r="C3997" s="146"/>
      <c r="E3997" s="147"/>
      <c r="F3997" s="146"/>
      <c r="I3997" s="147"/>
      <c r="Q3997" s="146"/>
      <c r="T3997" s="146"/>
      <c r="V3997" s="147"/>
      <c r="W3997" s="146"/>
      <c r="Y3997" s="147"/>
    </row>
    <row r="3998" spans="3:25">
      <c r="C3998" s="146"/>
      <c r="E3998" s="147"/>
      <c r="F3998" s="146"/>
      <c r="I3998" s="147"/>
      <c r="Q3998" s="146"/>
      <c r="T3998" s="146"/>
      <c r="V3998" s="147"/>
      <c r="W3998" s="146"/>
      <c r="Y3998" s="147"/>
    </row>
    <row r="3999" spans="3:25">
      <c r="C3999" s="146"/>
      <c r="E3999" s="147"/>
      <c r="F3999" s="146"/>
      <c r="I3999" s="147"/>
      <c r="Q3999" s="146"/>
      <c r="T3999" s="146"/>
      <c r="V3999" s="147"/>
      <c r="W3999" s="146"/>
      <c r="Y3999" s="147"/>
    </row>
    <row r="4000" spans="3:25">
      <c r="C4000" s="146"/>
      <c r="E4000" s="147"/>
      <c r="F4000" s="146"/>
      <c r="I4000" s="147"/>
      <c r="Q4000" s="146"/>
      <c r="T4000" s="146"/>
      <c r="V4000" s="147"/>
      <c r="W4000" s="146"/>
      <c r="Y4000" s="147"/>
    </row>
    <row r="4001" spans="3:25">
      <c r="C4001" s="146"/>
      <c r="E4001" s="147"/>
      <c r="F4001" s="146"/>
      <c r="I4001" s="147"/>
      <c r="Q4001" s="146"/>
      <c r="T4001" s="146"/>
      <c r="V4001" s="147"/>
      <c r="W4001" s="146"/>
      <c r="Y4001" s="147"/>
    </row>
    <row r="4002" spans="3:25">
      <c r="C4002" s="146"/>
      <c r="E4002" s="147"/>
      <c r="F4002" s="146"/>
      <c r="I4002" s="147"/>
      <c r="Q4002" s="146"/>
      <c r="T4002" s="146"/>
      <c r="V4002" s="147"/>
      <c r="W4002" s="146"/>
      <c r="Y4002" s="147"/>
    </row>
    <row r="4003" spans="3:25">
      <c r="C4003" s="146"/>
      <c r="E4003" s="147"/>
      <c r="F4003" s="146"/>
      <c r="I4003" s="147"/>
      <c r="Q4003" s="146"/>
      <c r="T4003" s="146"/>
      <c r="V4003" s="147"/>
      <c r="W4003" s="146"/>
      <c r="Y4003" s="147"/>
    </row>
    <row r="4004" spans="3:25">
      <c r="C4004" s="146"/>
      <c r="E4004" s="147"/>
      <c r="F4004" s="146"/>
      <c r="I4004" s="147"/>
      <c r="Q4004" s="146"/>
      <c r="T4004" s="146"/>
      <c r="V4004" s="147"/>
      <c r="W4004" s="146"/>
      <c r="Y4004" s="147"/>
    </row>
    <row r="4005" spans="3:25">
      <c r="C4005" s="146"/>
      <c r="E4005" s="147"/>
      <c r="F4005" s="146"/>
      <c r="I4005" s="147"/>
      <c r="Q4005" s="146"/>
      <c r="T4005" s="146"/>
      <c r="V4005" s="147"/>
      <c r="W4005" s="146"/>
      <c r="Y4005" s="147"/>
    </row>
    <row r="4006" spans="3:25">
      <c r="C4006" s="146"/>
      <c r="E4006" s="147"/>
      <c r="F4006" s="146"/>
      <c r="I4006" s="147"/>
      <c r="Q4006" s="146"/>
      <c r="T4006" s="146"/>
      <c r="V4006" s="147"/>
      <c r="W4006" s="146"/>
      <c r="Y4006" s="147"/>
    </row>
    <row r="4007" spans="3:25">
      <c r="C4007" s="146"/>
      <c r="E4007" s="147"/>
      <c r="F4007" s="146"/>
      <c r="I4007" s="147"/>
      <c r="Q4007" s="146"/>
      <c r="T4007" s="146"/>
      <c r="V4007" s="147"/>
      <c r="W4007" s="146"/>
      <c r="Y4007" s="147"/>
    </row>
    <row r="4008" spans="3:25">
      <c r="C4008" s="146"/>
      <c r="E4008" s="147"/>
      <c r="F4008" s="146"/>
      <c r="I4008" s="147"/>
      <c r="Q4008" s="146"/>
      <c r="T4008" s="146"/>
      <c r="V4008" s="147"/>
      <c r="W4008" s="146"/>
      <c r="Y4008" s="147"/>
    </row>
    <row r="4009" spans="3:25">
      <c r="C4009" s="146"/>
      <c r="E4009" s="147"/>
      <c r="F4009" s="146"/>
      <c r="I4009" s="147"/>
      <c r="Q4009" s="146"/>
      <c r="T4009" s="146"/>
      <c r="V4009" s="147"/>
      <c r="W4009" s="146"/>
      <c r="Y4009" s="147"/>
    </row>
    <row r="4010" spans="3:25">
      <c r="C4010" s="146"/>
      <c r="E4010" s="147"/>
      <c r="F4010" s="146"/>
      <c r="I4010" s="147"/>
      <c r="Q4010" s="146"/>
      <c r="T4010" s="146"/>
      <c r="V4010" s="147"/>
      <c r="W4010" s="146"/>
      <c r="Y4010" s="147"/>
    </row>
    <row r="4011" spans="3:25">
      <c r="C4011" s="146"/>
      <c r="E4011" s="147"/>
      <c r="F4011" s="146"/>
      <c r="I4011" s="147"/>
      <c r="Q4011" s="146"/>
      <c r="T4011" s="146"/>
      <c r="V4011" s="147"/>
      <c r="W4011" s="146"/>
      <c r="Y4011" s="147"/>
    </row>
    <row r="4012" spans="3:25">
      <c r="C4012" s="146"/>
      <c r="E4012" s="147"/>
      <c r="F4012" s="146"/>
      <c r="I4012" s="147"/>
      <c r="Q4012" s="146"/>
      <c r="T4012" s="146"/>
      <c r="V4012" s="147"/>
      <c r="W4012" s="146"/>
      <c r="Y4012" s="147"/>
    </row>
    <row r="4013" spans="3:25">
      <c r="C4013" s="146"/>
      <c r="E4013" s="147"/>
      <c r="F4013" s="146"/>
      <c r="I4013" s="147"/>
      <c r="Q4013" s="146"/>
      <c r="T4013" s="146"/>
      <c r="V4013" s="147"/>
      <c r="W4013" s="146"/>
      <c r="Y4013" s="147"/>
    </row>
    <row r="4014" spans="3:25">
      <c r="C4014" s="146"/>
      <c r="E4014" s="147"/>
      <c r="F4014" s="146"/>
      <c r="I4014" s="147"/>
      <c r="Q4014" s="146"/>
      <c r="T4014" s="146"/>
      <c r="V4014" s="147"/>
      <c r="W4014" s="146"/>
      <c r="Y4014" s="147"/>
    </row>
    <row r="4015" spans="3:25">
      <c r="C4015" s="146"/>
      <c r="E4015" s="147"/>
      <c r="F4015" s="146"/>
      <c r="I4015" s="147"/>
      <c r="Q4015" s="146"/>
      <c r="T4015" s="146"/>
      <c r="V4015" s="147"/>
      <c r="W4015" s="146"/>
      <c r="Y4015" s="147"/>
    </row>
    <row r="4016" spans="3:25">
      <c r="C4016" s="146"/>
      <c r="E4016" s="147"/>
      <c r="F4016" s="146"/>
      <c r="I4016" s="147"/>
      <c r="Q4016" s="146"/>
      <c r="T4016" s="146"/>
      <c r="V4016" s="147"/>
      <c r="W4016" s="146"/>
      <c r="Y4016" s="147"/>
    </row>
    <row r="4017" spans="3:25">
      <c r="C4017" s="146"/>
      <c r="E4017" s="147"/>
      <c r="F4017" s="146"/>
      <c r="I4017" s="147"/>
      <c r="Q4017" s="146"/>
      <c r="T4017" s="146"/>
      <c r="V4017" s="147"/>
      <c r="W4017" s="146"/>
      <c r="Y4017" s="147"/>
    </row>
    <row r="4018" spans="3:25">
      <c r="C4018" s="146"/>
      <c r="E4018" s="147"/>
      <c r="F4018" s="146"/>
      <c r="I4018" s="147"/>
      <c r="Q4018" s="146"/>
      <c r="T4018" s="146"/>
      <c r="V4018" s="147"/>
      <c r="W4018" s="146"/>
      <c r="Y4018" s="147"/>
    </row>
    <row r="4019" spans="3:25">
      <c r="C4019" s="146"/>
      <c r="E4019" s="147"/>
      <c r="F4019" s="146"/>
      <c r="I4019" s="147"/>
      <c r="Q4019" s="146"/>
      <c r="T4019" s="146"/>
      <c r="V4019" s="147"/>
      <c r="W4019" s="146"/>
      <c r="Y4019" s="147"/>
    </row>
    <row r="4020" spans="3:25">
      <c r="C4020" s="146"/>
      <c r="E4020" s="147"/>
      <c r="F4020" s="146"/>
      <c r="I4020" s="147"/>
      <c r="Q4020" s="146"/>
      <c r="T4020" s="146"/>
      <c r="V4020" s="147"/>
      <c r="W4020" s="146"/>
      <c r="Y4020" s="147"/>
    </row>
    <row r="4021" spans="3:25">
      <c r="C4021" s="146"/>
      <c r="E4021" s="147"/>
      <c r="F4021" s="146"/>
      <c r="I4021" s="147"/>
      <c r="Q4021" s="146"/>
      <c r="T4021" s="146"/>
      <c r="V4021" s="147"/>
      <c r="W4021" s="146"/>
      <c r="Y4021" s="147"/>
    </row>
    <row r="4022" spans="3:25">
      <c r="C4022" s="146"/>
      <c r="E4022" s="147"/>
      <c r="F4022" s="146"/>
      <c r="I4022" s="147"/>
      <c r="Q4022" s="146"/>
      <c r="T4022" s="146"/>
      <c r="V4022" s="147"/>
      <c r="W4022" s="146"/>
      <c r="Y4022" s="147"/>
    </row>
    <row r="4023" spans="3:25">
      <c r="C4023" s="146"/>
      <c r="E4023" s="147"/>
      <c r="F4023" s="146"/>
      <c r="I4023" s="147"/>
      <c r="Q4023" s="146"/>
      <c r="T4023" s="146"/>
      <c r="V4023" s="147"/>
      <c r="W4023" s="146"/>
      <c r="Y4023" s="147"/>
    </row>
    <row r="4024" spans="3:25">
      <c r="C4024" s="146"/>
      <c r="E4024" s="147"/>
      <c r="F4024" s="146"/>
      <c r="I4024" s="147"/>
      <c r="Q4024" s="146"/>
      <c r="T4024" s="146"/>
      <c r="V4024" s="147"/>
      <c r="W4024" s="146"/>
      <c r="Y4024" s="147"/>
    </row>
    <row r="4025" spans="3:25">
      <c r="C4025" s="146"/>
      <c r="E4025" s="147"/>
      <c r="F4025" s="146"/>
      <c r="I4025" s="147"/>
      <c r="Q4025" s="146"/>
      <c r="T4025" s="146"/>
      <c r="V4025" s="147"/>
      <c r="W4025" s="146"/>
      <c r="Y4025" s="147"/>
    </row>
    <row r="4026" spans="3:25">
      <c r="C4026" s="146"/>
      <c r="E4026" s="147"/>
      <c r="F4026" s="146"/>
      <c r="I4026" s="147"/>
      <c r="Q4026" s="146"/>
      <c r="T4026" s="146"/>
      <c r="V4026" s="147"/>
      <c r="W4026" s="146"/>
      <c r="Y4026" s="147"/>
    </row>
    <row r="4027" spans="3:25">
      <c r="C4027" s="146"/>
      <c r="E4027" s="147"/>
      <c r="F4027" s="146"/>
      <c r="I4027" s="147"/>
      <c r="Q4027" s="146"/>
      <c r="T4027" s="146"/>
      <c r="V4027" s="147"/>
      <c r="W4027" s="146"/>
      <c r="Y4027" s="147"/>
    </row>
    <row r="4028" spans="3:25">
      <c r="C4028" s="146"/>
      <c r="E4028" s="147"/>
      <c r="F4028" s="146"/>
      <c r="I4028" s="147"/>
      <c r="Q4028" s="146"/>
      <c r="T4028" s="146"/>
      <c r="V4028" s="147"/>
      <c r="W4028" s="146"/>
      <c r="Y4028" s="147"/>
    </row>
    <row r="4029" spans="3:25">
      <c r="C4029" s="146"/>
      <c r="E4029" s="147"/>
      <c r="F4029" s="146"/>
      <c r="I4029" s="147"/>
      <c r="Q4029" s="146"/>
      <c r="T4029" s="146"/>
      <c r="V4029" s="147"/>
      <c r="W4029" s="146"/>
      <c r="Y4029" s="147"/>
    </row>
    <row r="4030" spans="3:25">
      <c r="C4030" s="146"/>
      <c r="E4030" s="147"/>
      <c r="F4030" s="146"/>
      <c r="I4030" s="147"/>
      <c r="Q4030" s="146"/>
      <c r="T4030" s="146"/>
      <c r="V4030" s="147"/>
      <c r="W4030" s="146"/>
      <c r="Y4030" s="147"/>
    </row>
    <row r="4031" spans="3:25">
      <c r="C4031" s="146"/>
      <c r="E4031" s="147"/>
      <c r="F4031" s="146"/>
      <c r="I4031" s="147"/>
      <c r="Q4031" s="146"/>
      <c r="T4031" s="146"/>
      <c r="V4031" s="147"/>
      <c r="W4031" s="146"/>
      <c r="Y4031" s="147"/>
    </row>
    <row r="4032" spans="3:25">
      <c r="C4032" s="146"/>
      <c r="E4032" s="147"/>
      <c r="F4032" s="146"/>
      <c r="I4032" s="147"/>
      <c r="Q4032" s="146"/>
      <c r="T4032" s="146"/>
      <c r="V4032" s="147"/>
      <c r="W4032" s="146"/>
      <c r="Y4032" s="147"/>
    </row>
    <row r="4033" spans="3:25">
      <c r="C4033" s="146"/>
      <c r="E4033" s="147"/>
      <c r="F4033" s="146"/>
      <c r="I4033" s="147"/>
      <c r="Q4033" s="146"/>
      <c r="T4033" s="146"/>
      <c r="V4033" s="147"/>
      <c r="W4033" s="146"/>
      <c r="Y4033" s="147"/>
    </row>
    <row r="4034" spans="3:25">
      <c r="C4034" s="146"/>
      <c r="E4034" s="147"/>
      <c r="F4034" s="146"/>
      <c r="I4034" s="147"/>
      <c r="Q4034" s="146"/>
      <c r="T4034" s="146"/>
      <c r="V4034" s="147"/>
      <c r="W4034" s="146"/>
      <c r="Y4034" s="147"/>
    </row>
    <row r="4035" spans="3:25">
      <c r="C4035" s="146"/>
      <c r="E4035" s="147"/>
      <c r="F4035" s="146"/>
      <c r="I4035" s="147"/>
      <c r="Q4035" s="146"/>
      <c r="T4035" s="146"/>
      <c r="V4035" s="147"/>
      <c r="W4035" s="146"/>
      <c r="Y4035" s="147"/>
    </row>
    <row r="4036" spans="3:25">
      <c r="C4036" s="146"/>
      <c r="E4036" s="147"/>
      <c r="F4036" s="146"/>
      <c r="I4036" s="147"/>
      <c r="Q4036" s="146"/>
      <c r="T4036" s="146"/>
      <c r="V4036" s="147"/>
      <c r="W4036" s="146"/>
      <c r="Y4036" s="147"/>
    </row>
    <row r="4037" spans="3:25">
      <c r="C4037" s="146"/>
      <c r="E4037" s="147"/>
      <c r="F4037" s="146"/>
      <c r="I4037" s="147"/>
      <c r="Q4037" s="146"/>
      <c r="T4037" s="146"/>
      <c r="V4037" s="147"/>
      <c r="W4037" s="146"/>
      <c r="Y4037" s="147"/>
    </row>
    <row r="4038" spans="3:25">
      <c r="C4038" s="146"/>
      <c r="E4038" s="147"/>
      <c r="F4038" s="146"/>
      <c r="I4038" s="147"/>
      <c r="Q4038" s="146"/>
      <c r="T4038" s="146"/>
      <c r="V4038" s="147"/>
      <c r="W4038" s="146"/>
      <c r="Y4038" s="147"/>
    </row>
    <row r="4039" spans="3:25">
      <c r="C4039" s="146"/>
      <c r="E4039" s="147"/>
      <c r="F4039" s="146"/>
      <c r="I4039" s="147"/>
      <c r="Q4039" s="146"/>
      <c r="T4039" s="146"/>
      <c r="V4039" s="147"/>
      <c r="W4039" s="146"/>
      <c r="Y4039" s="147"/>
    </row>
    <row r="4040" spans="3:25">
      <c r="C4040" s="146"/>
      <c r="E4040" s="147"/>
      <c r="F4040" s="146"/>
      <c r="I4040" s="147"/>
      <c r="Q4040" s="146"/>
      <c r="T4040" s="146"/>
      <c r="V4040" s="147"/>
      <c r="W4040" s="146"/>
      <c r="Y4040" s="147"/>
    </row>
    <row r="4041" spans="3:25">
      <c r="C4041" s="146"/>
      <c r="E4041" s="147"/>
      <c r="F4041" s="146"/>
      <c r="I4041" s="147"/>
      <c r="Q4041" s="146"/>
      <c r="T4041" s="146"/>
      <c r="V4041" s="147"/>
      <c r="W4041" s="146"/>
      <c r="Y4041" s="147"/>
    </row>
    <row r="4042" spans="3:25">
      <c r="C4042" s="146"/>
      <c r="E4042" s="147"/>
      <c r="F4042" s="146"/>
      <c r="I4042" s="147"/>
      <c r="Q4042" s="146"/>
      <c r="T4042" s="146"/>
      <c r="V4042" s="147"/>
      <c r="W4042" s="146"/>
      <c r="Y4042" s="147"/>
    </row>
    <row r="4043" spans="3:25">
      <c r="C4043" s="146"/>
      <c r="E4043" s="147"/>
      <c r="F4043" s="146"/>
      <c r="I4043" s="147"/>
      <c r="Q4043" s="146"/>
      <c r="T4043" s="146"/>
      <c r="V4043" s="147"/>
      <c r="W4043" s="146"/>
      <c r="Y4043" s="147"/>
    </row>
    <row r="4044" spans="3:25">
      <c r="C4044" s="146"/>
      <c r="E4044" s="147"/>
      <c r="F4044" s="146"/>
      <c r="I4044" s="147"/>
      <c r="Q4044" s="146"/>
      <c r="T4044" s="146"/>
      <c r="V4044" s="147"/>
      <c r="W4044" s="146"/>
      <c r="Y4044" s="147"/>
    </row>
    <row r="4045" spans="3:25">
      <c r="C4045" s="146"/>
      <c r="E4045" s="147"/>
      <c r="F4045" s="146"/>
      <c r="I4045" s="147"/>
      <c r="Q4045" s="146"/>
      <c r="T4045" s="146"/>
      <c r="V4045" s="147"/>
      <c r="W4045" s="146"/>
      <c r="Y4045" s="147"/>
    </row>
    <row r="4046" spans="3:25">
      <c r="C4046" s="146"/>
      <c r="E4046" s="147"/>
      <c r="F4046" s="146"/>
      <c r="I4046" s="147"/>
      <c r="Q4046" s="146"/>
      <c r="T4046" s="146"/>
      <c r="V4046" s="147"/>
      <c r="W4046" s="146"/>
      <c r="Y4046" s="147"/>
    </row>
    <row r="4047" spans="3:25">
      <c r="C4047" s="146"/>
      <c r="E4047" s="147"/>
      <c r="F4047" s="146"/>
      <c r="I4047" s="147"/>
      <c r="Q4047" s="146"/>
      <c r="T4047" s="146"/>
      <c r="V4047" s="147"/>
      <c r="W4047" s="146"/>
      <c r="Y4047" s="147"/>
    </row>
    <row r="4048" spans="3:25">
      <c r="C4048" s="146"/>
      <c r="E4048" s="147"/>
      <c r="F4048" s="146"/>
      <c r="I4048" s="147"/>
      <c r="Q4048" s="146"/>
      <c r="T4048" s="146"/>
      <c r="V4048" s="147"/>
      <c r="W4048" s="146"/>
      <c r="Y4048" s="147"/>
    </row>
    <row r="4049" spans="3:25">
      <c r="C4049" s="146"/>
      <c r="E4049" s="147"/>
      <c r="F4049" s="146"/>
      <c r="I4049" s="147"/>
      <c r="Q4049" s="146"/>
      <c r="T4049" s="146"/>
      <c r="V4049" s="147"/>
      <c r="W4049" s="146"/>
      <c r="Y4049" s="147"/>
    </row>
    <row r="4050" spans="3:25">
      <c r="C4050" s="146"/>
      <c r="E4050" s="147"/>
      <c r="F4050" s="146"/>
      <c r="I4050" s="147"/>
      <c r="Q4050" s="146"/>
      <c r="T4050" s="146"/>
      <c r="V4050" s="147"/>
      <c r="W4050" s="146"/>
      <c r="Y4050" s="147"/>
    </row>
    <row r="4051" spans="3:25">
      <c r="C4051" s="146"/>
      <c r="E4051" s="147"/>
      <c r="F4051" s="146"/>
      <c r="I4051" s="147"/>
      <c r="Q4051" s="146"/>
      <c r="T4051" s="146"/>
      <c r="V4051" s="147"/>
      <c r="W4051" s="146"/>
      <c r="Y4051" s="147"/>
    </row>
    <row r="4052" spans="3:25">
      <c r="C4052" s="146"/>
      <c r="E4052" s="147"/>
      <c r="F4052" s="146"/>
      <c r="I4052" s="147"/>
      <c r="Q4052" s="146"/>
      <c r="T4052" s="146"/>
      <c r="V4052" s="147"/>
      <c r="W4052" s="146"/>
      <c r="Y4052" s="147"/>
    </row>
    <row r="4053" spans="3:25">
      <c r="C4053" s="146"/>
      <c r="E4053" s="147"/>
      <c r="F4053" s="146"/>
      <c r="I4053" s="147"/>
      <c r="Q4053" s="146"/>
      <c r="T4053" s="146"/>
      <c r="V4053" s="147"/>
      <c r="W4053" s="146"/>
      <c r="Y4053" s="147"/>
    </row>
    <row r="4054" spans="3:25">
      <c r="C4054" s="146"/>
      <c r="E4054" s="147"/>
      <c r="F4054" s="146"/>
      <c r="I4054" s="147"/>
      <c r="Q4054" s="146"/>
      <c r="T4054" s="146"/>
      <c r="V4054" s="147"/>
      <c r="W4054" s="146"/>
      <c r="Y4054" s="147"/>
    </row>
    <row r="4055" spans="3:25">
      <c r="C4055" s="146"/>
      <c r="E4055" s="147"/>
      <c r="F4055" s="146"/>
      <c r="I4055" s="147"/>
      <c r="Q4055" s="146"/>
      <c r="T4055" s="146"/>
      <c r="V4055" s="147"/>
      <c r="W4055" s="146"/>
      <c r="Y4055" s="147"/>
    </row>
    <row r="4056" spans="3:25">
      <c r="C4056" s="146"/>
      <c r="E4056" s="147"/>
      <c r="F4056" s="146"/>
      <c r="I4056" s="147"/>
      <c r="Q4056" s="146"/>
      <c r="T4056" s="146"/>
      <c r="V4056" s="147"/>
      <c r="W4056" s="146"/>
      <c r="Y4056" s="147"/>
    </row>
    <row r="4057" spans="3:25">
      <c r="C4057" s="146"/>
      <c r="E4057" s="147"/>
      <c r="F4057" s="146"/>
      <c r="I4057" s="147"/>
      <c r="Q4057" s="146"/>
      <c r="T4057" s="146"/>
      <c r="V4057" s="147"/>
      <c r="W4057" s="146"/>
      <c r="Y4057" s="147"/>
    </row>
    <row r="4058" spans="3:25">
      <c r="C4058" s="146"/>
      <c r="E4058" s="147"/>
      <c r="F4058" s="146"/>
      <c r="I4058" s="147"/>
      <c r="Q4058" s="146"/>
      <c r="T4058" s="146"/>
      <c r="V4058" s="147"/>
      <c r="W4058" s="146"/>
      <c r="Y4058" s="147"/>
    </row>
    <row r="4059" spans="3:25">
      <c r="C4059" s="146"/>
      <c r="E4059" s="147"/>
      <c r="F4059" s="146"/>
      <c r="I4059" s="147"/>
      <c r="Q4059" s="146"/>
      <c r="T4059" s="146"/>
      <c r="V4059" s="147"/>
      <c r="W4059" s="146"/>
      <c r="Y4059" s="147"/>
    </row>
    <row r="4060" spans="3:25">
      <c r="C4060" s="146"/>
      <c r="E4060" s="147"/>
      <c r="F4060" s="146"/>
      <c r="I4060" s="147"/>
      <c r="Q4060" s="146"/>
      <c r="T4060" s="146"/>
      <c r="V4060" s="147"/>
      <c r="W4060" s="146"/>
      <c r="Y4060" s="147"/>
    </row>
    <row r="4061" spans="3:25">
      <c r="C4061" s="146"/>
      <c r="E4061" s="147"/>
      <c r="F4061" s="146"/>
      <c r="I4061" s="147"/>
      <c r="Q4061" s="146"/>
      <c r="T4061" s="146"/>
      <c r="V4061" s="147"/>
      <c r="W4061" s="146"/>
      <c r="Y4061" s="147"/>
    </row>
    <row r="4062" spans="3:25">
      <c r="C4062" s="146"/>
      <c r="E4062" s="147"/>
      <c r="F4062" s="146"/>
      <c r="I4062" s="147"/>
      <c r="Q4062" s="146"/>
      <c r="T4062" s="146"/>
      <c r="V4062" s="147"/>
      <c r="W4062" s="146"/>
      <c r="Y4062" s="147"/>
    </row>
    <row r="4063" spans="3:25">
      <c r="C4063" s="146"/>
      <c r="E4063" s="147"/>
      <c r="F4063" s="146"/>
      <c r="I4063" s="147"/>
      <c r="Q4063" s="146"/>
      <c r="T4063" s="146"/>
      <c r="V4063" s="147"/>
      <c r="W4063" s="146"/>
      <c r="Y4063" s="147"/>
    </row>
    <row r="4064" spans="3:25">
      <c r="C4064" s="146"/>
      <c r="E4064" s="147"/>
      <c r="F4064" s="146"/>
      <c r="I4064" s="147"/>
      <c r="Q4064" s="146"/>
      <c r="T4064" s="146"/>
      <c r="V4064" s="147"/>
      <c r="W4064" s="146"/>
      <c r="Y4064" s="147"/>
    </row>
    <row r="4065" spans="3:25">
      <c r="C4065" s="146"/>
      <c r="E4065" s="147"/>
      <c r="F4065" s="146"/>
      <c r="I4065" s="147"/>
      <c r="Q4065" s="146"/>
      <c r="T4065" s="146"/>
      <c r="V4065" s="147"/>
      <c r="W4065" s="146"/>
      <c r="Y4065" s="147"/>
    </row>
    <row r="4066" spans="3:25">
      <c r="C4066" s="146"/>
      <c r="E4066" s="147"/>
      <c r="F4066" s="146"/>
      <c r="I4066" s="147"/>
      <c r="Q4066" s="146"/>
      <c r="T4066" s="146"/>
      <c r="V4066" s="147"/>
      <c r="W4066" s="146"/>
      <c r="Y4066" s="147"/>
    </row>
    <row r="4067" spans="3:25">
      <c r="C4067" s="146"/>
      <c r="E4067" s="147"/>
      <c r="F4067" s="146"/>
      <c r="I4067" s="147"/>
      <c r="Q4067" s="146"/>
      <c r="T4067" s="146"/>
      <c r="V4067" s="147"/>
      <c r="W4067" s="146"/>
      <c r="Y4067" s="147"/>
    </row>
    <row r="4068" spans="3:25">
      <c r="C4068" s="146"/>
      <c r="E4068" s="147"/>
      <c r="F4068" s="146"/>
      <c r="I4068" s="147"/>
      <c r="Q4068" s="146"/>
      <c r="T4068" s="146"/>
      <c r="V4068" s="147"/>
      <c r="W4068" s="146"/>
      <c r="Y4068" s="147"/>
    </row>
    <row r="4069" spans="3:25">
      <c r="C4069" s="146"/>
      <c r="E4069" s="147"/>
      <c r="F4069" s="146"/>
      <c r="I4069" s="147"/>
      <c r="Q4069" s="146"/>
      <c r="T4069" s="146"/>
      <c r="V4069" s="147"/>
      <c r="W4069" s="146"/>
      <c r="Y4069" s="147"/>
    </row>
    <row r="4070" spans="3:25">
      <c r="C4070" s="146"/>
      <c r="E4070" s="147"/>
      <c r="F4070" s="146"/>
      <c r="I4070" s="147"/>
      <c r="Q4070" s="146"/>
      <c r="T4070" s="146"/>
      <c r="V4070" s="147"/>
      <c r="W4070" s="146"/>
      <c r="Y4070" s="147"/>
    </row>
    <row r="4071" spans="3:25">
      <c r="C4071" s="146"/>
      <c r="E4071" s="147"/>
      <c r="F4071" s="146"/>
      <c r="I4071" s="147"/>
      <c r="Q4071" s="146"/>
      <c r="T4071" s="146"/>
      <c r="V4071" s="147"/>
      <c r="W4071" s="146"/>
      <c r="Y4071" s="147"/>
    </row>
    <row r="4072" spans="3:25">
      <c r="C4072" s="146"/>
      <c r="E4072" s="147"/>
      <c r="F4072" s="146"/>
      <c r="I4072" s="147"/>
      <c r="Q4072" s="146"/>
      <c r="T4072" s="146"/>
      <c r="V4072" s="147"/>
      <c r="W4072" s="146"/>
      <c r="Y4072" s="147"/>
    </row>
    <row r="4073" spans="3:25">
      <c r="C4073" s="146"/>
      <c r="E4073" s="147"/>
      <c r="F4073" s="146"/>
      <c r="I4073" s="147"/>
      <c r="Q4073" s="146"/>
      <c r="T4073" s="146"/>
      <c r="V4073" s="147"/>
      <c r="W4073" s="146"/>
      <c r="Y4073" s="147"/>
    </row>
    <row r="4074" spans="3:25">
      <c r="C4074" s="146"/>
      <c r="E4074" s="147"/>
      <c r="F4074" s="146"/>
      <c r="I4074" s="147"/>
      <c r="Q4074" s="146"/>
      <c r="T4074" s="146"/>
      <c r="V4074" s="147"/>
      <c r="W4074" s="146"/>
      <c r="Y4074" s="147"/>
    </row>
    <row r="4075" spans="3:25">
      <c r="C4075" s="146"/>
      <c r="E4075" s="147"/>
      <c r="F4075" s="146"/>
      <c r="I4075" s="147"/>
      <c r="Q4075" s="146"/>
      <c r="T4075" s="146"/>
      <c r="V4075" s="147"/>
      <c r="W4075" s="146"/>
      <c r="Y4075" s="147"/>
    </row>
    <row r="4076" spans="3:25">
      <c r="C4076" s="146"/>
      <c r="E4076" s="147"/>
      <c r="F4076" s="146"/>
      <c r="I4076" s="147"/>
      <c r="Q4076" s="146"/>
      <c r="T4076" s="146"/>
      <c r="V4076" s="147"/>
      <c r="W4076" s="146"/>
      <c r="Y4076" s="147"/>
    </row>
    <row r="4077" spans="3:25">
      <c r="C4077" s="146"/>
      <c r="E4077" s="147"/>
      <c r="F4077" s="146"/>
      <c r="I4077" s="147"/>
      <c r="Q4077" s="146"/>
      <c r="T4077" s="146"/>
      <c r="V4077" s="147"/>
      <c r="W4077" s="146"/>
      <c r="Y4077" s="147"/>
    </row>
    <row r="4078" spans="3:25">
      <c r="C4078" s="146"/>
      <c r="E4078" s="147"/>
      <c r="F4078" s="146"/>
      <c r="I4078" s="147"/>
      <c r="Q4078" s="146"/>
      <c r="T4078" s="146"/>
      <c r="V4078" s="147"/>
      <c r="W4078" s="146"/>
      <c r="Y4078" s="147"/>
    </row>
    <row r="4079" spans="3:25">
      <c r="C4079" s="146"/>
      <c r="E4079" s="147"/>
      <c r="F4079" s="146"/>
      <c r="I4079" s="147"/>
      <c r="Q4079" s="146"/>
      <c r="T4079" s="146"/>
      <c r="V4079" s="147"/>
      <c r="W4079" s="146"/>
      <c r="Y4079" s="147"/>
    </row>
    <row r="4080" spans="3:25">
      <c r="C4080" s="146"/>
      <c r="E4080" s="147"/>
      <c r="F4080" s="146"/>
      <c r="I4080" s="147"/>
      <c r="Q4080" s="146"/>
      <c r="T4080" s="146"/>
      <c r="V4080" s="147"/>
      <c r="W4080" s="146"/>
      <c r="Y4080" s="147"/>
    </row>
    <row r="4081" spans="3:25">
      <c r="C4081" s="146"/>
      <c r="E4081" s="147"/>
      <c r="F4081" s="146"/>
      <c r="I4081" s="147"/>
      <c r="Q4081" s="146"/>
      <c r="T4081" s="146"/>
      <c r="V4081" s="147"/>
      <c r="W4081" s="146"/>
      <c r="Y4081" s="147"/>
    </row>
    <row r="4082" spans="3:25">
      <c r="C4082" s="146"/>
      <c r="E4082" s="147"/>
      <c r="F4082" s="146"/>
      <c r="I4082" s="147"/>
      <c r="Q4082" s="146"/>
      <c r="T4082" s="146"/>
      <c r="V4082" s="147"/>
      <c r="W4082" s="146"/>
      <c r="Y4082" s="147"/>
    </row>
    <row r="4083" spans="3:25">
      <c r="C4083" s="146"/>
      <c r="E4083" s="147"/>
      <c r="F4083" s="146"/>
      <c r="I4083" s="147"/>
      <c r="Q4083" s="146"/>
      <c r="T4083" s="146"/>
      <c r="V4083" s="147"/>
      <c r="W4083" s="146"/>
      <c r="Y4083" s="147"/>
    </row>
    <row r="4084" spans="3:25">
      <c r="C4084" s="146"/>
      <c r="E4084" s="147"/>
      <c r="F4084" s="146"/>
      <c r="I4084" s="147"/>
      <c r="Q4084" s="146"/>
      <c r="T4084" s="146"/>
      <c r="V4084" s="147"/>
      <c r="W4084" s="146"/>
      <c r="Y4084" s="147"/>
    </row>
    <row r="4085" spans="3:25">
      <c r="C4085" s="146"/>
      <c r="E4085" s="147"/>
      <c r="F4085" s="146"/>
      <c r="I4085" s="147"/>
      <c r="Q4085" s="146"/>
      <c r="T4085" s="146"/>
      <c r="V4085" s="147"/>
      <c r="W4085" s="146"/>
      <c r="Y4085" s="147"/>
    </row>
    <row r="4086" spans="3:25">
      <c r="C4086" s="146"/>
      <c r="E4086" s="147"/>
      <c r="F4086" s="146"/>
      <c r="I4086" s="147"/>
      <c r="Q4086" s="146"/>
      <c r="T4086" s="146"/>
      <c r="V4086" s="147"/>
      <c r="W4086" s="146"/>
      <c r="Y4086" s="147"/>
    </row>
    <row r="4087" spans="3:25">
      <c r="C4087" s="146"/>
      <c r="E4087" s="147"/>
      <c r="F4087" s="146"/>
      <c r="I4087" s="147"/>
      <c r="Q4087" s="146"/>
      <c r="T4087" s="146"/>
      <c r="V4087" s="147"/>
      <c r="W4087" s="146"/>
      <c r="Y4087" s="147"/>
    </row>
    <row r="4088" spans="3:25">
      <c r="C4088" s="146"/>
      <c r="E4088" s="147"/>
      <c r="F4088" s="146"/>
      <c r="I4088" s="147"/>
      <c r="Q4088" s="146"/>
      <c r="T4088" s="146"/>
      <c r="V4088" s="147"/>
      <c r="W4088" s="146"/>
      <c r="Y4088" s="147"/>
    </row>
    <row r="4089" spans="3:25">
      <c r="C4089" s="146"/>
      <c r="E4089" s="147"/>
      <c r="F4089" s="146"/>
      <c r="I4089" s="147"/>
      <c r="Q4089" s="146"/>
      <c r="T4089" s="146"/>
      <c r="V4089" s="147"/>
      <c r="W4089" s="146"/>
      <c r="Y4089" s="147"/>
    </row>
    <row r="4090" spans="3:25">
      <c r="C4090" s="146"/>
      <c r="E4090" s="147"/>
      <c r="F4090" s="146"/>
      <c r="I4090" s="147"/>
      <c r="Q4090" s="146"/>
      <c r="T4090" s="146"/>
      <c r="V4090" s="147"/>
      <c r="W4090" s="146"/>
      <c r="Y4090" s="147"/>
    </row>
    <row r="4091" spans="3:25">
      <c r="C4091" s="146"/>
      <c r="E4091" s="147"/>
      <c r="F4091" s="146"/>
      <c r="I4091" s="147"/>
      <c r="Q4091" s="146"/>
      <c r="T4091" s="146"/>
      <c r="V4091" s="147"/>
      <c r="W4091" s="146"/>
      <c r="Y4091" s="147"/>
    </row>
    <row r="4092" spans="3:25">
      <c r="C4092" s="146"/>
      <c r="E4092" s="147"/>
      <c r="F4092" s="146"/>
      <c r="I4092" s="147"/>
      <c r="Q4092" s="146"/>
      <c r="T4092" s="146"/>
      <c r="V4092" s="147"/>
      <c r="W4092" s="146"/>
      <c r="Y4092" s="147"/>
    </row>
    <row r="4093" spans="3:25">
      <c r="C4093" s="146"/>
      <c r="E4093" s="147"/>
      <c r="F4093" s="146"/>
      <c r="I4093" s="147"/>
      <c r="Q4093" s="146"/>
      <c r="T4093" s="146"/>
      <c r="V4093" s="147"/>
      <c r="W4093" s="146"/>
      <c r="Y4093" s="147"/>
    </row>
    <row r="4094" spans="3:25">
      <c r="C4094" s="146"/>
      <c r="E4094" s="147"/>
      <c r="F4094" s="146"/>
      <c r="I4094" s="147"/>
      <c r="Q4094" s="146"/>
      <c r="T4094" s="146"/>
      <c r="V4094" s="147"/>
      <c r="W4094" s="146"/>
      <c r="Y4094" s="147"/>
    </row>
    <row r="4095" spans="3:25">
      <c r="C4095" s="146"/>
      <c r="E4095" s="147"/>
      <c r="F4095" s="146"/>
      <c r="I4095" s="147"/>
      <c r="Q4095" s="146"/>
      <c r="T4095" s="146"/>
      <c r="V4095" s="147"/>
      <c r="W4095" s="146"/>
      <c r="Y4095" s="147"/>
    </row>
    <row r="4096" spans="3:25">
      <c r="C4096" s="146"/>
      <c r="E4096" s="147"/>
      <c r="F4096" s="146"/>
      <c r="I4096" s="147"/>
      <c r="Q4096" s="146"/>
      <c r="T4096" s="146"/>
      <c r="V4096" s="147"/>
      <c r="W4096" s="146"/>
      <c r="Y4096" s="147"/>
    </row>
    <row r="4097" spans="3:25">
      <c r="C4097" s="146"/>
      <c r="E4097" s="147"/>
      <c r="F4097" s="146"/>
      <c r="I4097" s="147"/>
      <c r="Q4097" s="146"/>
      <c r="T4097" s="146"/>
      <c r="V4097" s="147"/>
      <c r="W4097" s="146"/>
      <c r="Y4097" s="147"/>
    </row>
    <row r="4098" spans="3:25">
      <c r="C4098" s="146"/>
      <c r="E4098" s="147"/>
      <c r="F4098" s="146"/>
      <c r="I4098" s="147"/>
      <c r="Q4098" s="146"/>
      <c r="T4098" s="146"/>
      <c r="V4098" s="147"/>
      <c r="W4098" s="146"/>
      <c r="Y4098" s="147"/>
    </row>
    <row r="4099" spans="3:25">
      <c r="C4099" s="146"/>
      <c r="E4099" s="147"/>
      <c r="F4099" s="146"/>
      <c r="I4099" s="147"/>
      <c r="Q4099" s="146"/>
      <c r="T4099" s="146"/>
      <c r="V4099" s="147"/>
      <c r="W4099" s="146"/>
      <c r="Y4099" s="147"/>
    </row>
    <row r="4100" spans="3:25">
      <c r="C4100" s="146"/>
      <c r="E4100" s="147"/>
      <c r="F4100" s="146"/>
      <c r="I4100" s="147"/>
      <c r="Q4100" s="146"/>
      <c r="T4100" s="146"/>
      <c r="V4100" s="147"/>
      <c r="W4100" s="146"/>
      <c r="Y4100" s="147"/>
    </row>
    <row r="4101" spans="3:25">
      <c r="C4101" s="146"/>
      <c r="E4101" s="147"/>
      <c r="F4101" s="146"/>
      <c r="I4101" s="147"/>
      <c r="Q4101" s="146"/>
      <c r="T4101" s="146"/>
      <c r="V4101" s="147"/>
      <c r="W4101" s="146"/>
      <c r="Y4101" s="147"/>
    </row>
    <row r="4102" spans="3:25">
      <c r="C4102" s="146"/>
      <c r="E4102" s="147"/>
      <c r="F4102" s="146"/>
      <c r="I4102" s="147"/>
      <c r="Q4102" s="146"/>
      <c r="T4102" s="146"/>
      <c r="V4102" s="147"/>
      <c r="W4102" s="146"/>
      <c r="Y4102" s="147"/>
    </row>
    <row r="4103" spans="3:25">
      <c r="C4103" s="146"/>
      <c r="E4103" s="147"/>
      <c r="F4103" s="146"/>
      <c r="I4103" s="147"/>
      <c r="Q4103" s="146"/>
      <c r="T4103" s="146"/>
      <c r="V4103" s="147"/>
      <c r="W4103" s="146"/>
      <c r="Y4103" s="147"/>
    </row>
    <row r="4104" spans="3:25">
      <c r="C4104" s="146"/>
      <c r="E4104" s="147"/>
      <c r="F4104" s="146"/>
      <c r="I4104" s="147"/>
      <c r="Q4104" s="146"/>
      <c r="T4104" s="146"/>
      <c r="V4104" s="147"/>
      <c r="W4104" s="146"/>
      <c r="Y4104" s="147"/>
    </row>
    <row r="4105" spans="3:25">
      <c r="C4105" s="146"/>
      <c r="E4105" s="147"/>
      <c r="F4105" s="146"/>
      <c r="I4105" s="147"/>
      <c r="Q4105" s="146"/>
      <c r="T4105" s="146"/>
      <c r="V4105" s="147"/>
      <c r="W4105" s="146"/>
      <c r="Y4105" s="147"/>
    </row>
    <row r="4106" spans="3:25">
      <c r="C4106" s="146"/>
      <c r="E4106" s="147"/>
      <c r="F4106" s="146"/>
      <c r="I4106" s="147"/>
      <c r="Q4106" s="146"/>
      <c r="T4106" s="146"/>
      <c r="V4106" s="147"/>
      <c r="W4106" s="146"/>
      <c r="Y4106" s="147"/>
    </row>
    <row r="4107" spans="3:25">
      <c r="C4107" s="146"/>
      <c r="E4107" s="147"/>
      <c r="F4107" s="146"/>
      <c r="I4107" s="147"/>
      <c r="Q4107" s="146"/>
      <c r="T4107" s="146"/>
      <c r="V4107" s="147"/>
      <c r="W4107" s="146"/>
      <c r="Y4107" s="147"/>
    </row>
    <row r="4108" spans="3:25">
      <c r="C4108" s="146"/>
      <c r="E4108" s="147"/>
      <c r="F4108" s="146"/>
      <c r="I4108" s="147"/>
      <c r="Q4108" s="146"/>
      <c r="T4108" s="146"/>
      <c r="V4108" s="147"/>
      <c r="W4108" s="146"/>
      <c r="Y4108" s="147"/>
    </row>
    <row r="4109" spans="3:25">
      <c r="C4109" s="146"/>
      <c r="E4109" s="147"/>
      <c r="F4109" s="146"/>
      <c r="I4109" s="147"/>
      <c r="Q4109" s="146"/>
      <c r="T4109" s="146"/>
      <c r="V4109" s="147"/>
      <c r="W4109" s="146"/>
      <c r="Y4109" s="147"/>
    </row>
    <row r="4110" spans="3:25">
      <c r="C4110" s="146"/>
      <c r="E4110" s="147"/>
      <c r="F4110" s="146"/>
      <c r="I4110" s="147"/>
      <c r="Q4110" s="146"/>
      <c r="T4110" s="146"/>
      <c r="V4110" s="147"/>
      <c r="W4110" s="146"/>
      <c r="Y4110" s="147"/>
    </row>
    <row r="4111" spans="3:25">
      <c r="C4111" s="146"/>
      <c r="E4111" s="147"/>
      <c r="F4111" s="146"/>
      <c r="I4111" s="147"/>
      <c r="Q4111" s="146"/>
      <c r="T4111" s="146"/>
      <c r="V4111" s="147"/>
      <c r="W4111" s="146"/>
      <c r="Y4111" s="147"/>
    </row>
    <row r="4112" spans="3:25">
      <c r="C4112" s="146"/>
      <c r="E4112" s="147"/>
      <c r="F4112" s="146"/>
      <c r="I4112" s="147"/>
      <c r="Q4112" s="146"/>
      <c r="T4112" s="146"/>
      <c r="V4112" s="147"/>
      <c r="W4112" s="146"/>
      <c r="Y4112" s="147"/>
    </row>
    <row r="4113" spans="3:25">
      <c r="C4113" s="146"/>
      <c r="E4113" s="147"/>
      <c r="F4113" s="146"/>
      <c r="I4113" s="147"/>
      <c r="Q4113" s="146"/>
      <c r="T4113" s="146"/>
      <c r="V4113" s="147"/>
      <c r="W4113" s="146"/>
      <c r="Y4113" s="147"/>
    </row>
    <row r="4114" spans="3:25">
      <c r="C4114" s="146"/>
      <c r="E4114" s="147"/>
      <c r="F4114" s="146"/>
      <c r="I4114" s="147"/>
      <c r="Q4114" s="146"/>
      <c r="T4114" s="146"/>
      <c r="V4114" s="147"/>
      <c r="W4114" s="146"/>
      <c r="Y4114" s="147"/>
    </row>
    <row r="4115" spans="3:25">
      <c r="C4115" s="146"/>
      <c r="E4115" s="147"/>
      <c r="F4115" s="146"/>
      <c r="I4115" s="147"/>
      <c r="Q4115" s="146"/>
      <c r="T4115" s="146"/>
      <c r="V4115" s="147"/>
      <c r="W4115" s="146"/>
      <c r="Y4115" s="147"/>
    </row>
    <row r="4116" spans="3:25">
      <c r="C4116" s="146"/>
      <c r="E4116" s="147"/>
      <c r="F4116" s="146"/>
      <c r="I4116" s="147"/>
      <c r="Q4116" s="146"/>
      <c r="T4116" s="146"/>
      <c r="V4116" s="147"/>
      <c r="W4116" s="146"/>
      <c r="Y4116" s="147"/>
    </row>
    <row r="4117" spans="3:25">
      <c r="C4117" s="146"/>
      <c r="E4117" s="147"/>
      <c r="F4117" s="146"/>
      <c r="I4117" s="147"/>
      <c r="Q4117" s="146"/>
      <c r="T4117" s="146"/>
      <c r="V4117" s="147"/>
      <c r="W4117" s="146"/>
      <c r="Y4117" s="147"/>
    </row>
    <row r="4118" spans="3:25">
      <c r="C4118" s="146"/>
      <c r="E4118" s="147"/>
      <c r="F4118" s="146"/>
      <c r="I4118" s="147"/>
      <c r="Q4118" s="146"/>
      <c r="T4118" s="146"/>
      <c r="V4118" s="147"/>
      <c r="W4118" s="146"/>
      <c r="Y4118" s="147"/>
    </row>
    <row r="4119" spans="3:25">
      <c r="C4119" s="146"/>
      <c r="E4119" s="147"/>
      <c r="F4119" s="146"/>
      <c r="I4119" s="147"/>
      <c r="Q4119" s="146"/>
      <c r="T4119" s="146"/>
      <c r="V4119" s="147"/>
      <c r="W4119" s="146"/>
      <c r="Y4119" s="147"/>
    </row>
    <row r="4120" spans="3:25">
      <c r="C4120" s="146"/>
      <c r="E4120" s="147"/>
      <c r="F4120" s="146"/>
      <c r="I4120" s="147"/>
      <c r="Q4120" s="146"/>
      <c r="T4120" s="146"/>
      <c r="V4120" s="147"/>
      <c r="W4120" s="146"/>
      <c r="Y4120" s="147"/>
    </row>
    <row r="4121" spans="3:25">
      <c r="C4121" s="146"/>
      <c r="E4121" s="147"/>
      <c r="F4121" s="146"/>
      <c r="I4121" s="147"/>
      <c r="Q4121" s="146"/>
      <c r="T4121" s="146"/>
      <c r="V4121" s="147"/>
      <c r="W4121" s="146"/>
      <c r="Y4121" s="147"/>
    </row>
    <row r="4122" spans="3:25">
      <c r="C4122" s="146"/>
      <c r="E4122" s="147"/>
      <c r="F4122" s="146"/>
      <c r="I4122" s="147"/>
      <c r="Q4122" s="146"/>
      <c r="T4122" s="146"/>
      <c r="V4122" s="147"/>
      <c r="W4122" s="146"/>
      <c r="Y4122" s="147"/>
    </row>
    <row r="4123" spans="3:25">
      <c r="C4123" s="146"/>
      <c r="E4123" s="147"/>
      <c r="F4123" s="146"/>
      <c r="I4123" s="147"/>
      <c r="Q4123" s="146"/>
      <c r="T4123" s="146"/>
      <c r="V4123" s="147"/>
      <c r="W4123" s="146"/>
      <c r="Y4123" s="147"/>
    </row>
    <row r="4124" spans="3:25">
      <c r="C4124" s="146"/>
      <c r="E4124" s="147"/>
      <c r="F4124" s="146"/>
      <c r="I4124" s="147"/>
      <c r="Q4124" s="146"/>
      <c r="T4124" s="146"/>
      <c r="V4124" s="147"/>
      <c r="W4124" s="146"/>
      <c r="Y4124" s="147"/>
    </row>
    <row r="4125" spans="3:25">
      <c r="C4125" s="146"/>
      <c r="E4125" s="147"/>
      <c r="F4125" s="146"/>
      <c r="I4125" s="147"/>
      <c r="Q4125" s="146"/>
      <c r="T4125" s="146"/>
      <c r="V4125" s="147"/>
      <c r="W4125" s="146"/>
      <c r="Y4125" s="147"/>
    </row>
    <row r="4126" spans="3:25">
      <c r="C4126" s="146"/>
      <c r="E4126" s="147"/>
      <c r="F4126" s="146"/>
      <c r="I4126" s="147"/>
      <c r="Q4126" s="146"/>
      <c r="T4126" s="146"/>
      <c r="V4126" s="147"/>
      <c r="W4126" s="146"/>
      <c r="Y4126" s="147"/>
    </row>
    <row r="4127" spans="3:25">
      <c r="C4127" s="146"/>
      <c r="E4127" s="147"/>
      <c r="F4127" s="146"/>
      <c r="I4127" s="147"/>
      <c r="Q4127" s="146"/>
      <c r="T4127" s="146"/>
      <c r="V4127" s="147"/>
      <c r="W4127" s="146"/>
      <c r="Y4127" s="147"/>
    </row>
    <row r="4128" spans="3:25">
      <c r="C4128" s="146"/>
      <c r="E4128" s="147"/>
      <c r="F4128" s="146"/>
      <c r="I4128" s="147"/>
      <c r="Q4128" s="146"/>
      <c r="T4128" s="146"/>
      <c r="V4128" s="147"/>
      <c r="W4128" s="146"/>
      <c r="Y4128" s="147"/>
    </row>
    <row r="4129" spans="3:25">
      <c r="C4129" s="146"/>
      <c r="E4129" s="147"/>
      <c r="F4129" s="146"/>
      <c r="I4129" s="147"/>
      <c r="Q4129" s="146"/>
      <c r="T4129" s="146"/>
      <c r="V4129" s="147"/>
      <c r="W4129" s="146"/>
      <c r="Y4129" s="147"/>
    </row>
    <row r="4130" spans="3:25">
      <c r="C4130" s="146"/>
      <c r="E4130" s="147"/>
      <c r="F4130" s="146"/>
      <c r="I4130" s="147"/>
      <c r="Q4130" s="146"/>
      <c r="T4130" s="146"/>
      <c r="V4130" s="147"/>
      <c r="W4130" s="146"/>
      <c r="Y4130" s="147"/>
    </row>
    <row r="4131" spans="3:25">
      <c r="C4131" s="146"/>
      <c r="E4131" s="147"/>
      <c r="F4131" s="146"/>
      <c r="I4131" s="147"/>
      <c r="Q4131" s="146"/>
      <c r="T4131" s="146"/>
      <c r="V4131" s="147"/>
      <c r="W4131" s="146"/>
      <c r="Y4131" s="147"/>
    </row>
    <row r="4132" spans="3:25">
      <c r="C4132" s="146"/>
      <c r="E4132" s="147"/>
      <c r="F4132" s="146"/>
      <c r="I4132" s="147"/>
      <c r="Q4132" s="146"/>
      <c r="T4132" s="146"/>
      <c r="V4132" s="147"/>
      <c r="W4132" s="146"/>
      <c r="Y4132" s="147"/>
    </row>
    <row r="4133" spans="3:25">
      <c r="C4133" s="146"/>
      <c r="E4133" s="147"/>
      <c r="F4133" s="146"/>
      <c r="I4133" s="147"/>
      <c r="Q4133" s="146"/>
      <c r="T4133" s="146"/>
      <c r="V4133" s="147"/>
      <c r="W4133" s="146"/>
      <c r="Y4133" s="147"/>
    </row>
    <row r="4134" spans="3:25">
      <c r="C4134" s="146"/>
      <c r="E4134" s="147"/>
      <c r="F4134" s="146"/>
      <c r="I4134" s="147"/>
      <c r="Q4134" s="146"/>
      <c r="T4134" s="146"/>
      <c r="V4134" s="147"/>
      <c r="W4134" s="146"/>
      <c r="Y4134" s="147"/>
    </row>
    <row r="4135" spans="3:25">
      <c r="C4135" s="146"/>
      <c r="E4135" s="147"/>
      <c r="F4135" s="146"/>
      <c r="I4135" s="147"/>
      <c r="Q4135" s="146"/>
      <c r="T4135" s="146"/>
      <c r="V4135" s="147"/>
      <c r="W4135" s="146"/>
      <c r="Y4135" s="147"/>
    </row>
    <row r="4136" spans="3:25">
      <c r="C4136" s="146"/>
      <c r="E4136" s="147"/>
      <c r="F4136" s="146"/>
      <c r="I4136" s="147"/>
      <c r="Q4136" s="146"/>
      <c r="T4136" s="146"/>
      <c r="V4136" s="147"/>
      <c r="W4136" s="146"/>
      <c r="Y4136" s="147"/>
    </row>
    <row r="4137" spans="3:25">
      <c r="C4137" s="146"/>
      <c r="E4137" s="147"/>
      <c r="F4137" s="146"/>
      <c r="I4137" s="147"/>
      <c r="Q4137" s="146"/>
      <c r="T4137" s="146"/>
      <c r="V4137" s="147"/>
      <c r="W4137" s="146"/>
      <c r="Y4137" s="147"/>
    </row>
    <row r="4138" spans="3:25">
      <c r="C4138" s="146"/>
      <c r="E4138" s="147"/>
      <c r="F4138" s="146"/>
      <c r="I4138" s="147"/>
      <c r="Q4138" s="146"/>
      <c r="T4138" s="146"/>
      <c r="V4138" s="147"/>
      <c r="W4138" s="146"/>
      <c r="Y4138" s="147"/>
    </row>
    <row r="4139" spans="3:25">
      <c r="C4139" s="146"/>
      <c r="E4139" s="147"/>
      <c r="F4139" s="146"/>
      <c r="I4139" s="147"/>
      <c r="Q4139" s="146"/>
      <c r="T4139" s="146"/>
      <c r="V4139" s="147"/>
      <c r="W4139" s="146"/>
      <c r="Y4139" s="147"/>
    </row>
    <row r="4140" spans="3:25">
      <c r="C4140" s="146"/>
      <c r="E4140" s="147"/>
      <c r="F4140" s="146"/>
      <c r="I4140" s="147"/>
      <c r="Q4140" s="146"/>
      <c r="T4140" s="146"/>
      <c r="V4140" s="147"/>
      <c r="W4140" s="146"/>
      <c r="Y4140" s="147"/>
    </row>
    <row r="4141" spans="3:25">
      <c r="C4141" s="146"/>
      <c r="E4141" s="147"/>
      <c r="F4141" s="146"/>
      <c r="I4141" s="147"/>
      <c r="Q4141" s="146"/>
      <c r="T4141" s="146"/>
      <c r="V4141" s="147"/>
      <c r="W4141" s="146"/>
      <c r="Y4141" s="147"/>
    </row>
    <row r="4142" spans="3:25">
      <c r="C4142" s="146"/>
      <c r="E4142" s="147"/>
      <c r="F4142" s="146"/>
      <c r="I4142" s="147"/>
      <c r="Q4142" s="146"/>
      <c r="T4142" s="146"/>
      <c r="V4142" s="147"/>
      <c r="W4142" s="146"/>
      <c r="Y4142" s="147"/>
    </row>
    <row r="4143" spans="3:25">
      <c r="C4143" s="146"/>
      <c r="E4143" s="147"/>
      <c r="F4143" s="146"/>
      <c r="I4143" s="147"/>
      <c r="Q4143" s="146"/>
      <c r="T4143" s="146"/>
      <c r="V4143" s="147"/>
      <c r="W4143" s="146"/>
      <c r="Y4143" s="147"/>
    </row>
    <row r="4144" spans="3:25">
      <c r="C4144" s="146"/>
      <c r="E4144" s="147"/>
      <c r="F4144" s="146"/>
      <c r="I4144" s="147"/>
      <c r="Q4144" s="146"/>
      <c r="T4144" s="146"/>
      <c r="V4144" s="147"/>
      <c r="W4144" s="146"/>
      <c r="Y4144" s="147"/>
    </row>
    <row r="4145" spans="3:25">
      <c r="C4145" s="146"/>
      <c r="E4145" s="147"/>
      <c r="F4145" s="146"/>
      <c r="I4145" s="147"/>
      <c r="Q4145" s="146"/>
      <c r="T4145" s="146"/>
      <c r="V4145" s="147"/>
      <c r="W4145" s="146"/>
      <c r="Y4145" s="147"/>
    </row>
    <row r="4146" spans="3:25">
      <c r="C4146" s="146"/>
      <c r="E4146" s="147"/>
      <c r="F4146" s="146"/>
      <c r="I4146" s="147"/>
      <c r="Q4146" s="146"/>
      <c r="T4146" s="146"/>
      <c r="V4146" s="147"/>
      <c r="W4146" s="146"/>
      <c r="Y4146" s="147"/>
    </row>
    <row r="4147" spans="3:25">
      <c r="C4147" s="146"/>
      <c r="E4147" s="147"/>
      <c r="F4147" s="146"/>
      <c r="I4147" s="147"/>
      <c r="Q4147" s="146"/>
      <c r="T4147" s="146"/>
      <c r="V4147" s="147"/>
      <c r="W4147" s="146"/>
      <c r="Y4147" s="147"/>
    </row>
    <row r="4148" spans="3:25">
      <c r="C4148" s="146"/>
      <c r="E4148" s="147"/>
      <c r="F4148" s="146"/>
      <c r="I4148" s="147"/>
      <c r="Q4148" s="146"/>
      <c r="T4148" s="146"/>
      <c r="V4148" s="147"/>
      <c r="W4148" s="146"/>
      <c r="Y4148" s="147"/>
    </row>
    <row r="4149" spans="3:25">
      <c r="C4149" s="146"/>
      <c r="E4149" s="147"/>
      <c r="F4149" s="146"/>
      <c r="I4149" s="147"/>
      <c r="Q4149" s="146"/>
      <c r="T4149" s="146"/>
      <c r="V4149" s="147"/>
      <c r="W4149" s="146"/>
      <c r="Y4149" s="147"/>
    </row>
    <row r="4150" spans="3:25">
      <c r="C4150" s="146"/>
      <c r="E4150" s="147"/>
      <c r="F4150" s="146"/>
      <c r="I4150" s="147"/>
      <c r="Q4150" s="146"/>
      <c r="T4150" s="146"/>
      <c r="V4150" s="147"/>
      <c r="W4150" s="146"/>
      <c r="Y4150" s="147"/>
    </row>
    <row r="4151" spans="3:25">
      <c r="C4151" s="146"/>
      <c r="E4151" s="147"/>
      <c r="F4151" s="146"/>
      <c r="I4151" s="147"/>
      <c r="Q4151" s="146"/>
      <c r="T4151" s="146"/>
      <c r="V4151" s="147"/>
      <c r="W4151" s="146"/>
      <c r="Y4151" s="147"/>
    </row>
    <row r="4152" spans="3:25">
      <c r="C4152" s="146"/>
      <c r="E4152" s="147"/>
      <c r="F4152" s="146"/>
      <c r="I4152" s="147"/>
      <c r="Q4152" s="146"/>
      <c r="T4152" s="146"/>
      <c r="V4152" s="147"/>
      <c r="W4152" s="146"/>
      <c r="Y4152" s="147"/>
    </row>
    <row r="4153" spans="3:25">
      <c r="C4153" s="146"/>
      <c r="E4153" s="147"/>
      <c r="F4153" s="146"/>
      <c r="I4153" s="147"/>
      <c r="Q4153" s="146"/>
      <c r="T4153" s="146"/>
      <c r="V4153" s="147"/>
      <c r="W4153" s="146"/>
      <c r="Y4153" s="147"/>
    </row>
    <row r="4154" spans="3:25">
      <c r="C4154" s="146"/>
      <c r="E4154" s="147"/>
      <c r="F4154" s="146"/>
      <c r="I4154" s="147"/>
      <c r="Q4154" s="146"/>
      <c r="T4154" s="146"/>
      <c r="V4154" s="147"/>
      <c r="W4154" s="146"/>
      <c r="Y4154" s="147"/>
    </row>
    <row r="4155" spans="3:25">
      <c r="C4155" s="146"/>
      <c r="E4155" s="147"/>
      <c r="F4155" s="146"/>
      <c r="I4155" s="147"/>
      <c r="Q4155" s="146"/>
      <c r="T4155" s="146"/>
      <c r="V4155" s="147"/>
      <c r="W4155" s="146"/>
      <c r="Y4155" s="147"/>
    </row>
    <row r="4156" spans="3:25">
      <c r="C4156" s="146"/>
      <c r="E4156" s="147"/>
      <c r="F4156" s="146"/>
      <c r="I4156" s="147"/>
      <c r="Q4156" s="146"/>
      <c r="T4156" s="146"/>
      <c r="V4156" s="147"/>
      <c r="W4156" s="146"/>
      <c r="Y4156" s="147"/>
    </row>
    <row r="4157" spans="3:25">
      <c r="C4157" s="146"/>
      <c r="E4157" s="147"/>
      <c r="F4157" s="146"/>
      <c r="I4157" s="147"/>
      <c r="Q4157" s="146"/>
      <c r="T4157" s="146"/>
      <c r="V4157" s="147"/>
      <c r="W4157" s="146"/>
      <c r="Y4157" s="147"/>
    </row>
    <row r="4158" spans="3:25">
      <c r="C4158" s="146"/>
      <c r="E4158" s="147"/>
      <c r="F4158" s="146"/>
      <c r="I4158" s="147"/>
      <c r="Q4158" s="146"/>
      <c r="T4158" s="146"/>
      <c r="V4158" s="147"/>
      <c r="W4158" s="146"/>
      <c r="Y4158" s="147"/>
    </row>
    <row r="4159" spans="3:25">
      <c r="C4159" s="146"/>
      <c r="E4159" s="147"/>
      <c r="F4159" s="146"/>
      <c r="I4159" s="147"/>
      <c r="Q4159" s="146"/>
      <c r="T4159" s="146"/>
      <c r="V4159" s="147"/>
      <c r="W4159" s="146"/>
      <c r="Y4159" s="147"/>
    </row>
    <row r="4160" spans="3:25">
      <c r="C4160" s="146"/>
      <c r="E4160" s="147"/>
      <c r="F4160" s="146"/>
      <c r="I4160" s="147"/>
      <c r="Q4160" s="146"/>
      <c r="T4160" s="146"/>
      <c r="V4160" s="147"/>
      <c r="W4160" s="146"/>
      <c r="Y4160" s="147"/>
    </row>
    <row r="4161" spans="3:25">
      <c r="C4161" s="146"/>
      <c r="E4161" s="147"/>
      <c r="F4161" s="146"/>
      <c r="I4161" s="147"/>
      <c r="Q4161" s="146"/>
      <c r="T4161" s="146"/>
      <c r="V4161" s="147"/>
      <c r="W4161" s="146"/>
      <c r="Y4161" s="147"/>
    </row>
    <row r="4162" spans="3:25">
      <c r="C4162" s="146"/>
      <c r="E4162" s="147"/>
      <c r="F4162" s="146"/>
      <c r="I4162" s="147"/>
      <c r="Q4162" s="146"/>
      <c r="T4162" s="146"/>
      <c r="V4162" s="147"/>
      <c r="W4162" s="146"/>
      <c r="Y4162" s="147"/>
    </row>
    <row r="4163" spans="3:25">
      <c r="C4163" s="146"/>
      <c r="E4163" s="147"/>
      <c r="F4163" s="146"/>
      <c r="I4163" s="147"/>
      <c r="Q4163" s="146"/>
      <c r="T4163" s="146"/>
      <c r="V4163" s="147"/>
      <c r="W4163" s="146"/>
      <c r="Y4163" s="147"/>
    </row>
    <row r="4164" spans="3:25">
      <c r="C4164" s="146"/>
      <c r="E4164" s="147"/>
      <c r="F4164" s="146"/>
      <c r="I4164" s="147"/>
      <c r="Q4164" s="146"/>
      <c r="T4164" s="146"/>
      <c r="V4164" s="147"/>
      <c r="W4164" s="146"/>
      <c r="Y4164" s="147"/>
    </row>
    <row r="4165" spans="3:25">
      <c r="C4165" s="146"/>
      <c r="E4165" s="147"/>
      <c r="F4165" s="146"/>
      <c r="I4165" s="147"/>
      <c r="Q4165" s="146"/>
      <c r="T4165" s="146"/>
      <c r="V4165" s="147"/>
      <c r="W4165" s="146"/>
      <c r="Y4165" s="147"/>
    </row>
    <row r="4166" spans="3:25">
      <c r="C4166" s="146"/>
      <c r="E4166" s="147"/>
      <c r="F4166" s="146"/>
      <c r="I4166" s="147"/>
      <c r="Q4166" s="146"/>
      <c r="T4166" s="146"/>
      <c r="V4166" s="147"/>
      <c r="W4166" s="146"/>
      <c r="Y4166" s="147"/>
    </row>
    <row r="4167" spans="3:25">
      <c r="C4167" s="146"/>
      <c r="E4167" s="147"/>
      <c r="F4167" s="146"/>
      <c r="I4167" s="147"/>
      <c r="Q4167" s="146"/>
      <c r="T4167" s="146"/>
      <c r="V4167" s="147"/>
      <c r="W4167" s="146"/>
      <c r="Y4167" s="147"/>
    </row>
    <row r="4168" spans="3:25">
      <c r="C4168" s="146"/>
      <c r="E4168" s="147"/>
      <c r="F4168" s="146"/>
      <c r="I4168" s="147"/>
      <c r="Q4168" s="146"/>
      <c r="T4168" s="146"/>
      <c r="V4168" s="147"/>
      <c r="W4168" s="146"/>
      <c r="Y4168" s="147"/>
    </row>
    <row r="4169" spans="3:25">
      <c r="C4169" s="146"/>
      <c r="E4169" s="147"/>
      <c r="F4169" s="146"/>
      <c r="I4169" s="147"/>
      <c r="Q4169" s="146"/>
      <c r="T4169" s="146"/>
      <c r="V4169" s="147"/>
      <c r="W4169" s="146"/>
      <c r="Y4169" s="147"/>
    </row>
    <row r="4170" spans="3:25">
      <c r="C4170" s="146"/>
      <c r="E4170" s="147"/>
      <c r="F4170" s="146"/>
      <c r="I4170" s="147"/>
      <c r="Q4170" s="146"/>
      <c r="T4170" s="146"/>
      <c r="V4170" s="147"/>
      <c r="W4170" s="146"/>
      <c r="Y4170" s="147"/>
    </row>
    <row r="4171" spans="3:25">
      <c r="C4171" s="146"/>
      <c r="E4171" s="147"/>
      <c r="F4171" s="146"/>
      <c r="I4171" s="147"/>
      <c r="Q4171" s="146"/>
      <c r="T4171" s="146"/>
      <c r="V4171" s="147"/>
      <c r="W4171" s="146"/>
      <c r="Y4171" s="147"/>
    </row>
    <row r="4172" spans="3:25">
      <c r="C4172" s="146"/>
      <c r="E4172" s="147"/>
      <c r="F4172" s="146"/>
      <c r="I4172" s="147"/>
      <c r="Q4172" s="146"/>
      <c r="T4172" s="146"/>
      <c r="V4172" s="147"/>
      <c r="W4172" s="146"/>
      <c r="Y4172" s="147"/>
    </row>
    <row r="4173" spans="3:25">
      <c r="C4173" s="146"/>
      <c r="E4173" s="147"/>
      <c r="F4173" s="146"/>
      <c r="I4173" s="147"/>
      <c r="Q4173" s="146"/>
      <c r="T4173" s="146"/>
      <c r="V4173" s="147"/>
      <c r="W4173" s="146"/>
      <c r="Y4173" s="147"/>
    </row>
    <row r="4174" spans="3:25">
      <c r="C4174" s="146"/>
      <c r="E4174" s="147"/>
      <c r="F4174" s="146"/>
      <c r="I4174" s="147"/>
      <c r="Q4174" s="146"/>
      <c r="T4174" s="146"/>
      <c r="V4174" s="147"/>
      <c r="W4174" s="146"/>
      <c r="Y4174" s="147"/>
    </row>
    <row r="4175" spans="3:25">
      <c r="C4175" s="146"/>
      <c r="E4175" s="147"/>
      <c r="F4175" s="146"/>
      <c r="I4175" s="147"/>
      <c r="Q4175" s="146"/>
      <c r="T4175" s="146"/>
      <c r="V4175" s="147"/>
      <c r="W4175" s="146"/>
      <c r="Y4175" s="147"/>
    </row>
    <row r="4176" spans="3:25">
      <c r="C4176" s="146"/>
      <c r="E4176" s="147"/>
      <c r="F4176" s="146"/>
      <c r="I4176" s="147"/>
      <c r="Q4176" s="146"/>
      <c r="T4176" s="146"/>
      <c r="V4176" s="147"/>
      <c r="W4176" s="146"/>
      <c r="Y4176" s="147"/>
    </row>
    <row r="4177" spans="3:25">
      <c r="C4177" s="146"/>
      <c r="E4177" s="147"/>
      <c r="F4177" s="146"/>
      <c r="I4177" s="147"/>
      <c r="Q4177" s="146"/>
      <c r="T4177" s="146"/>
      <c r="V4177" s="147"/>
      <c r="W4177" s="146"/>
      <c r="Y4177" s="147"/>
    </row>
    <row r="4178" spans="3:25">
      <c r="C4178" s="146"/>
      <c r="E4178" s="147"/>
      <c r="F4178" s="146"/>
      <c r="I4178" s="147"/>
      <c r="Q4178" s="146"/>
      <c r="T4178" s="146"/>
      <c r="V4178" s="147"/>
      <c r="W4178" s="146"/>
      <c r="Y4178" s="147"/>
    </row>
    <row r="4179" spans="3:25">
      <c r="C4179" s="146"/>
      <c r="E4179" s="147"/>
      <c r="F4179" s="146"/>
      <c r="I4179" s="147"/>
      <c r="Q4179" s="146"/>
      <c r="T4179" s="146"/>
      <c r="V4179" s="147"/>
      <c r="W4179" s="146"/>
      <c r="Y4179" s="147"/>
    </row>
    <row r="4180" spans="3:25">
      <c r="C4180" s="146"/>
      <c r="E4180" s="147"/>
      <c r="F4180" s="146"/>
      <c r="I4180" s="147"/>
      <c r="Q4180" s="146"/>
      <c r="T4180" s="146"/>
      <c r="V4180" s="147"/>
      <c r="W4180" s="146"/>
      <c r="Y4180" s="147"/>
    </row>
    <row r="4181" spans="3:25">
      <c r="C4181" s="146"/>
      <c r="E4181" s="147"/>
      <c r="F4181" s="146"/>
      <c r="I4181" s="147"/>
      <c r="Q4181" s="146"/>
      <c r="T4181" s="146"/>
      <c r="V4181" s="147"/>
      <c r="W4181" s="146"/>
      <c r="Y4181" s="147"/>
    </row>
    <row r="4182" spans="3:25">
      <c r="C4182" s="146"/>
      <c r="E4182" s="147"/>
      <c r="F4182" s="146"/>
      <c r="I4182" s="147"/>
      <c r="Q4182" s="146"/>
      <c r="T4182" s="146"/>
      <c r="V4182" s="147"/>
      <c r="W4182" s="146"/>
      <c r="Y4182" s="147"/>
    </row>
    <row r="4183" spans="3:25">
      <c r="C4183" s="146"/>
      <c r="E4183" s="147"/>
      <c r="F4183" s="146"/>
      <c r="I4183" s="147"/>
      <c r="Q4183" s="146"/>
      <c r="T4183" s="146"/>
      <c r="V4183" s="147"/>
      <c r="W4183" s="146"/>
      <c r="Y4183" s="147"/>
    </row>
    <row r="4184" spans="3:25">
      <c r="C4184" s="146"/>
      <c r="E4184" s="147"/>
      <c r="F4184" s="146"/>
      <c r="I4184" s="147"/>
      <c r="Q4184" s="146"/>
      <c r="T4184" s="146"/>
      <c r="V4184" s="147"/>
      <c r="W4184" s="146"/>
      <c r="Y4184" s="147"/>
    </row>
    <row r="4185" spans="3:25">
      <c r="C4185" s="146"/>
      <c r="E4185" s="147"/>
      <c r="F4185" s="146"/>
      <c r="I4185" s="147"/>
      <c r="Q4185" s="146"/>
      <c r="T4185" s="146"/>
      <c r="V4185" s="147"/>
      <c r="W4185" s="146"/>
      <c r="Y4185" s="147"/>
    </row>
    <row r="4186" spans="3:25">
      <c r="C4186" s="146"/>
      <c r="E4186" s="147"/>
      <c r="F4186" s="146"/>
      <c r="I4186" s="147"/>
      <c r="Q4186" s="146"/>
      <c r="T4186" s="146"/>
      <c r="V4186" s="147"/>
      <c r="W4186" s="146"/>
      <c r="Y4186" s="147"/>
    </row>
    <row r="4187" spans="3:25">
      <c r="C4187" s="146"/>
      <c r="E4187" s="147"/>
      <c r="F4187" s="146"/>
      <c r="I4187" s="147"/>
      <c r="Q4187" s="146"/>
      <c r="T4187" s="146"/>
      <c r="V4187" s="147"/>
      <c r="W4187" s="146"/>
      <c r="Y4187" s="147"/>
    </row>
    <row r="4188" spans="3:25">
      <c r="C4188" s="146"/>
      <c r="E4188" s="147"/>
      <c r="F4188" s="146"/>
      <c r="I4188" s="147"/>
      <c r="Q4188" s="146"/>
      <c r="T4188" s="146"/>
      <c r="V4188" s="147"/>
      <c r="W4188" s="146"/>
      <c r="Y4188" s="147"/>
    </row>
    <row r="4189" spans="3:25">
      <c r="C4189" s="146"/>
      <c r="E4189" s="147"/>
      <c r="F4189" s="146"/>
      <c r="I4189" s="147"/>
      <c r="Q4189" s="146"/>
      <c r="T4189" s="146"/>
      <c r="V4189" s="147"/>
      <c r="W4189" s="146"/>
      <c r="Y4189" s="147"/>
    </row>
    <row r="4190" spans="3:25">
      <c r="C4190" s="146"/>
      <c r="E4190" s="147"/>
      <c r="F4190" s="146"/>
      <c r="I4190" s="147"/>
      <c r="Q4190" s="146"/>
      <c r="T4190" s="146"/>
      <c r="V4190" s="147"/>
      <c r="W4190" s="146"/>
      <c r="Y4190" s="147"/>
    </row>
    <row r="4191" spans="3:25">
      <c r="C4191" s="146"/>
      <c r="E4191" s="147"/>
      <c r="F4191" s="146"/>
      <c r="I4191" s="147"/>
      <c r="Q4191" s="146"/>
      <c r="T4191" s="146"/>
      <c r="V4191" s="147"/>
      <c r="W4191" s="146"/>
      <c r="Y4191" s="147"/>
    </row>
    <row r="4192" spans="3:25">
      <c r="C4192" s="146"/>
      <c r="E4192" s="147"/>
      <c r="F4192" s="146"/>
      <c r="I4192" s="147"/>
      <c r="Q4192" s="146"/>
      <c r="T4192" s="146"/>
      <c r="V4192" s="147"/>
      <c r="W4192" s="146"/>
      <c r="Y4192" s="147"/>
    </row>
    <row r="4193" spans="3:25">
      <c r="C4193" s="146"/>
      <c r="E4193" s="147"/>
      <c r="F4193" s="146"/>
      <c r="I4193" s="147"/>
      <c r="Q4193" s="146"/>
      <c r="T4193" s="146"/>
      <c r="V4193" s="147"/>
      <c r="W4193" s="146"/>
      <c r="Y4193" s="147"/>
    </row>
    <row r="4194" spans="3:25">
      <c r="C4194" s="146"/>
      <c r="E4194" s="147"/>
      <c r="F4194" s="146"/>
      <c r="I4194" s="147"/>
      <c r="Q4194" s="146"/>
      <c r="T4194" s="146"/>
      <c r="V4194" s="147"/>
      <c r="W4194" s="146"/>
      <c r="Y4194" s="147"/>
    </row>
    <row r="4195" spans="3:25">
      <c r="C4195" s="146"/>
      <c r="E4195" s="147"/>
      <c r="F4195" s="146"/>
      <c r="I4195" s="147"/>
      <c r="Q4195" s="146"/>
      <c r="T4195" s="146"/>
      <c r="V4195" s="147"/>
      <c r="W4195" s="146"/>
      <c r="Y4195" s="147"/>
    </row>
    <row r="4196" spans="3:25">
      <c r="C4196" s="146"/>
      <c r="E4196" s="147"/>
      <c r="F4196" s="146"/>
      <c r="I4196" s="147"/>
      <c r="Q4196" s="146"/>
      <c r="T4196" s="146"/>
      <c r="V4196" s="147"/>
      <c r="W4196" s="146"/>
      <c r="Y4196" s="147"/>
    </row>
    <row r="4197" spans="3:25">
      <c r="C4197" s="146"/>
      <c r="E4197" s="147"/>
      <c r="F4197" s="146"/>
      <c r="I4197" s="147"/>
      <c r="Q4197" s="146"/>
      <c r="T4197" s="146"/>
      <c r="V4197" s="147"/>
      <c r="W4197" s="146"/>
      <c r="Y4197" s="147"/>
    </row>
    <row r="4198" spans="3:25">
      <c r="C4198" s="146"/>
      <c r="E4198" s="147"/>
      <c r="F4198" s="146"/>
      <c r="I4198" s="147"/>
      <c r="Q4198" s="146"/>
      <c r="T4198" s="146"/>
      <c r="V4198" s="147"/>
      <c r="W4198" s="146"/>
      <c r="Y4198" s="147"/>
    </row>
    <row r="4199" spans="3:25">
      <c r="C4199" s="146"/>
      <c r="E4199" s="147"/>
      <c r="F4199" s="146"/>
      <c r="I4199" s="147"/>
      <c r="Q4199" s="146"/>
      <c r="T4199" s="146"/>
      <c r="V4199" s="147"/>
      <c r="W4199" s="146"/>
      <c r="Y4199" s="147"/>
    </row>
    <row r="4200" spans="3:25">
      <c r="C4200" s="146"/>
      <c r="E4200" s="147"/>
      <c r="F4200" s="146"/>
      <c r="I4200" s="147"/>
      <c r="Q4200" s="146"/>
      <c r="T4200" s="146"/>
      <c r="V4200" s="147"/>
      <c r="W4200" s="146"/>
      <c r="Y4200" s="147"/>
    </row>
    <row r="4201" spans="3:25">
      <c r="C4201" s="146"/>
      <c r="E4201" s="147"/>
      <c r="F4201" s="146"/>
      <c r="I4201" s="147"/>
      <c r="Q4201" s="146"/>
      <c r="T4201" s="146"/>
      <c r="V4201" s="147"/>
      <c r="W4201" s="146"/>
      <c r="Y4201" s="147"/>
    </row>
    <row r="4202" spans="3:25">
      <c r="C4202" s="146"/>
      <c r="E4202" s="147"/>
      <c r="F4202" s="146"/>
      <c r="I4202" s="147"/>
      <c r="Q4202" s="146"/>
      <c r="T4202" s="146"/>
      <c r="V4202" s="147"/>
      <c r="W4202" s="146"/>
      <c r="Y4202" s="147"/>
    </row>
    <row r="4203" spans="3:25">
      <c r="C4203" s="146"/>
      <c r="E4203" s="147"/>
      <c r="F4203" s="146"/>
      <c r="I4203" s="147"/>
      <c r="Q4203" s="146"/>
      <c r="T4203" s="146"/>
      <c r="V4203" s="147"/>
      <c r="W4203" s="146"/>
      <c r="Y4203" s="147"/>
    </row>
    <row r="4204" spans="3:25">
      <c r="C4204" s="146"/>
      <c r="E4204" s="147"/>
      <c r="F4204" s="146"/>
      <c r="I4204" s="147"/>
      <c r="Q4204" s="146"/>
      <c r="T4204" s="146"/>
      <c r="V4204" s="147"/>
      <c r="W4204" s="146"/>
      <c r="Y4204" s="147"/>
    </row>
    <row r="4205" spans="3:25">
      <c r="C4205" s="146"/>
      <c r="E4205" s="147"/>
      <c r="F4205" s="146"/>
      <c r="I4205" s="147"/>
      <c r="Q4205" s="146"/>
      <c r="T4205" s="146"/>
      <c r="V4205" s="147"/>
      <c r="W4205" s="146"/>
      <c r="Y4205" s="147"/>
    </row>
    <row r="4206" spans="3:25">
      <c r="C4206" s="146"/>
      <c r="E4206" s="147"/>
      <c r="F4206" s="146"/>
      <c r="I4206" s="147"/>
      <c r="Q4206" s="146"/>
      <c r="T4206" s="146"/>
      <c r="V4206" s="147"/>
      <c r="W4206" s="146"/>
      <c r="Y4206" s="147"/>
    </row>
    <row r="4207" spans="3:25">
      <c r="C4207" s="146"/>
      <c r="E4207" s="147"/>
      <c r="F4207" s="146"/>
      <c r="I4207" s="147"/>
      <c r="Q4207" s="146"/>
      <c r="T4207" s="146"/>
      <c r="V4207" s="147"/>
      <c r="W4207" s="146"/>
      <c r="Y4207" s="147"/>
    </row>
    <row r="4208" spans="3:25">
      <c r="C4208" s="146"/>
      <c r="E4208" s="147"/>
      <c r="F4208" s="146"/>
      <c r="I4208" s="147"/>
      <c r="Q4208" s="146"/>
      <c r="T4208" s="146"/>
      <c r="V4208" s="147"/>
      <c r="W4208" s="146"/>
      <c r="Y4208" s="147"/>
    </row>
    <row r="4209" spans="3:25">
      <c r="C4209" s="146"/>
      <c r="E4209" s="147"/>
      <c r="F4209" s="146"/>
      <c r="I4209" s="147"/>
      <c r="Q4209" s="146"/>
      <c r="T4209" s="146"/>
      <c r="V4209" s="147"/>
      <c r="W4209" s="146"/>
      <c r="Y4209" s="147"/>
    </row>
    <row r="4210" spans="3:25">
      <c r="C4210" s="146"/>
      <c r="E4210" s="147"/>
      <c r="F4210" s="146"/>
      <c r="I4210" s="147"/>
      <c r="Q4210" s="146"/>
      <c r="T4210" s="146"/>
      <c r="V4210" s="147"/>
      <c r="W4210" s="146"/>
      <c r="Y4210" s="147"/>
    </row>
    <row r="4211" spans="3:25">
      <c r="C4211" s="146"/>
      <c r="E4211" s="147"/>
      <c r="F4211" s="146"/>
      <c r="I4211" s="147"/>
      <c r="Q4211" s="146"/>
      <c r="T4211" s="146"/>
      <c r="V4211" s="147"/>
      <c r="W4211" s="146"/>
      <c r="Y4211" s="147"/>
    </row>
    <row r="4212" spans="3:25">
      <c r="C4212" s="146"/>
      <c r="E4212" s="147"/>
      <c r="F4212" s="146"/>
      <c r="I4212" s="147"/>
      <c r="Q4212" s="146"/>
      <c r="T4212" s="146"/>
      <c r="V4212" s="147"/>
      <c r="W4212" s="146"/>
      <c r="Y4212" s="147"/>
    </row>
    <row r="4213" spans="3:25">
      <c r="C4213" s="146"/>
      <c r="E4213" s="147"/>
      <c r="F4213" s="146"/>
      <c r="I4213" s="147"/>
      <c r="Q4213" s="146"/>
      <c r="T4213" s="146"/>
      <c r="V4213" s="147"/>
      <c r="W4213" s="146"/>
      <c r="Y4213" s="147"/>
    </row>
    <row r="4214" spans="3:25">
      <c r="C4214" s="146"/>
      <c r="E4214" s="147"/>
      <c r="F4214" s="146"/>
      <c r="I4214" s="147"/>
      <c r="Q4214" s="146"/>
      <c r="T4214" s="146"/>
      <c r="V4214" s="147"/>
      <c r="W4214" s="146"/>
      <c r="Y4214" s="147"/>
    </row>
    <row r="4215" spans="3:25">
      <c r="C4215" s="146"/>
      <c r="E4215" s="147"/>
      <c r="F4215" s="146"/>
      <c r="I4215" s="147"/>
      <c r="Q4215" s="146"/>
      <c r="T4215" s="146"/>
      <c r="V4215" s="147"/>
      <c r="W4215" s="146"/>
      <c r="Y4215" s="147"/>
    </row>
    <row r="4216" spans="3:25">
      <c r="C4216" s="146"/>
      <c r="E4216" s="147"/>
      <c r="F4216" s="146"/>
      <c r="I4216" s="147"/>
      <c r="Q4216" s="146"/>
      <c r="T4216" s="146"/>
      <c r="V4216" s="147"/>
      <c r="W4216" s="146"/>
      <c r="Y4216" s="147"/>
    </row>
    <row r="4217" spans="3:25">
      <c r="C4217" s="146"/>
      <c r="E4217" s="147"/>
      <c r="F4217" s="146"/>
      <c r="I4217" s="147"/>
      <c r="Q4217" s="146"/>
      <c r="T4217" s="146"/>
      <c r="V4217" s="147"/>
      <c r="W4217" s="146"/>
      <c r="Y4217" s="147"/>
    </row>
    <row r="4218" spans="3:25">
      <c r="C4218" s="146"/>
      <c r="E4218" s="147"/>
      <c r="F4218" s="146"/>
      <c r="I4218" s="147"/>
      <c r="Q4218" s="146"/>
      <c r="T4218" s="146"/>
      <c r="V4218" s="147"/>
      <c r="W4218" s="146"/>
      <c r="Y4218" s="147"/>
    </row>
    <row r="4219" spans="3:25">
      <c r="C4219" s="146"/>
      <c r="E4219" s="147"/>
      <c r="F4219" s="146"/>
      <c r="I4219" s="147"/>
      <c r="Q4219" s="146"/>
      <c r="T4219" s="146"/>
      <c r="V4219" s="147"/>
      <c r="W4219" s="146"/>
      <c r="Y4219" s="147"/>
    </row>
    <row r="4220" spans="3:25">
      <c r="C4220" s="146"/>
      <c r="E4220" s="147"/>
      <c r="F4220" s="146"/>
      <c r="I4220" s="147"/>
      <c r="Q4220" s="146"/>
      <c r="T4220" s="146"/>
      <c r="V4220" s="147"/>
      <c r="W4220" s="146"/>
      <c r="Y4220" s="147"/>
    </row>
    <row r="4221" spans="3:25">
      <c r="C4221" s="146"/>
      <c r="E4221" s="147"/>
      <c r="F4221" s="146"/>
      <c r="I4221" s="147"/>
      <c r="Q4221" s="146"/>
      <c r="T4221" s="146"/>
      <c r="V4221" s="147"/>
      <c r="W4221" s="146"/>
      <c r="Y4221" s="147"/>
    </row>
    <row r="4222" spans="3:25">
      <c r="C4222" s="146"/>
      <c r="E4222" s="147"/>
      <c r="F4222" s="146"/>
      <c r="I4222" s="147"/>
      <c r="Q4222" s="146"/>
      <c r="T4222" s="146"/>
      <c r="V4222" s="147"/>
      <c r="W4222" s="146"/>
      <c r="Y4222" s="147"/>
    </row>
    <row r="4223" spans="3:25">
      <c r="C4223" s="146"/>
      <c r="E4223" s="147"/>
      <c r="F4223" s="146"/>
      <c r="I4223" s="147"/>
      <c r="Q4223" s="146"/>
      <c r="T4223" s="146"/>
      <c r="V4223" s="147"/>
      <c r="W4223" s="146"/>
      <c r="Y4223" s="147"/>
    </row>
    <row r="4224" spans="3:25">
      <c r="C4224" s="146"/>
      <c r="E4224" s="147"/>
      <c r="F4224" s="146"/>
      <c r="I4224" s="147"/>
      <c r="Q4224" s="146"/>
      <c r="T4224" s="146"/>
      <c r="V4224" s="147"/>
      <c r="W4224" s="146"/>
      <c r="Y4224" s="147"/>
    </row>
    <row r="4225" spans="3:25">
      <c r="C4225" s="146"/>
      <c r="E4225" s="147"/>
      <c r="F4225" s="146"/>
      <c r="I4225" s="147"/>
      <c r="Q4225" s="146"/>
      <c r="T4225" s="146"/>
      <c r="V4225" s="147"/>
      <c r="W4225" s="146"/>
      <c r="Y4225" s="147"/>
    </row>
    <row r="4226" spans="3:25">
      <c r="C4226" s="146"/>
      <c r="E4226" s="147"/>
      <c r="F4226" s="146"/>
      <c r="I4226" s="147"/>
      <c r="Q4226" s="146"/>
      <c r="T4226" s="146"/>
      <c r="V4226" s="147"/>
      <c r="W4226" s="146"/>
      <c r="Y4226" s="147"/>
    </row>
    <row r="4227" spans="3:25">
      <c r="C4227" s="146"/>
      <c r="E4227" s="147"/>
      <c r="F4227" s="146"/>
      <c r="I4227" s="147"/>
      <c r="Q4227" s="146"/>
      <c r="T4227" s="146"/>
      <c r="V4227" s="147"/>
      <c r="W4227" s="146"/>
      <c r="Y4227" s="147"/>
    </row>
    <row r="4228" spans="3:25">
      <c r="C4228" s="146"/>
      <c r="E4228" s="147"/>
      <c r="F4228" s="146"/>
      <c r="I4228" s="147"/>
      <c r="Q4228" s="146"/>
      <c r="T4228" s="146"/>
      <c r="V4228" s="147"/>
      <c r="W4228" s="146"/>
      <c r="Y4228" s="147"/>
    </row>
    <row r="4229" spans="3:25">
      <c r="C4229" s="146"/>
      <c r="E4229" s="147"/>
      <c r="F4229" s="146"/>
      <c r="I4229" s="147"/>
      <c r="Q4229" s="146"/>
      <c r="T4229" s="146"/>
      <c r="V4229" s="147"/>
      <c r="W4229" s="146"/>
      <c r="Y4229" s="147"/>
    </row>
    <row r="4230" spans="3:25">
      <c r="C4230" s="146"/>
      <c r="E4230" s="147"/>
      <c r="F4230" s="146"/>
      <c r="I4230" s="147"/>
      <c r="Q4230" s="146"/>
      <c r="T4230" s="146"/>
      <c r="V4230" s="147"/>
      <c r="W4230" s="146"/>
      <c r="Y4230" s="147"/>
    </row>
    <row r="4231" spans="3:25">
      <c r="C4231" s="146"/>
      <c r="E4231" s="147"/>
      <c r="F4231" s="146"/>
      <c r="I4231" s="147"/>
      <c r="Q4231" s="146"/>
      <c r="T4231" s="146"/>
      <c r="V4231" s="147"/>
      <c r="W4231" s="146"/>
      <c r="Y4231" s="147"/>
    </row>
    <row r="4232" spans="3:25">
      <c r="C4232" s="146"/>
      <c r="E4232" s="147"/>
      <c r="F4232" s="146"/>
      <c r="I4232" s="147"/>
      <c r="Q4232" s="146"/>
      <c r="T4232" s="146"/>
      <c r="V4232" s="147"/>
      <c r="W4232" s="146"/>
      <c r="Y4232" s="147"/>
    </row>
    <row r="4233" spans="3:25">
      <c r="C4233" s="146"/>
      <c r="E4233" s="147"/>
      <c r="F4233" s="146"/>
      <c r="I4233" s="147"/>
      <c r="Q4233" s="146"/>
      <c r="T4233" s="146"/>
      <c r="V4233" s="147"/>
      <c r="W4233" s="146"/>
      <c r="Y4233" s="147"/>
    </row>
    <row r="4234" spans="3:25">
      <c r="C4234" s="146"/>
      <c r="E4234" s="147"/>
      <c r="F4234" s="146"/>
      <c r="I4234" s="147"/>
      <c r="Q4234" s="146"/>
      <c r="T4234" s="146"/>
      <c r="V4234" s="147"/>
      <c r="W4234" s="146"/>
      <c r="Y4234" s="147"/>
    </row>
    <row r="4235" spans="3:25">
      <c r="C4235" s="146"/>
      <c r="E4235" s="147"/>
      <c r="F4235" s="146"/>
      <c r="I4235" s="147"/>
      <c r="Q4235" s="146"/>
      <c r="T4235" s="146"/>
      <c r="V4235" s="147"/>
      <c r="W4235" s="146"/>
      <c r="Y4235" s="147"/>
    </row>
    <row r="4236" spans="3:25">
      <c r="C4236" s="146"/>
      <c r="E4236" s="147"/>
      <c r="F4236" s="146"/>
      <c r="I4236" s="147"/>
      <c r="Q4236" s="146"/>
      <c r="T4236" s="146"/>
      <c r="V4236" s="147"/>
      <c r="W4236" s="146"/>
      <c r="Y4236" s="147"/>
    </row>
    <row r="4237" spans="3:25">
      <c r="C4237" s="146"/>
      <c r="E4237" s="147"/>
      <c r="F4237" s="146"/>
      <c r="I4237" s="147"/>
      <c r="Q4237" s="146"/>
      <c r="T4237" s="146"/>
      <c r="V4237" s="147"/>
      <c r="W4237" s="146"/>
      <c r="Y4237" s="147"/>
    </row>
    <row r="4238" spans="3:25">
      <c r="C4238" s="146"/>
      <c r="E4238" s="147"/>
      <c r="F4238" s="146"/>
      <c r="I4238" s="147"/>
      <c r="Q4238" s="146"/>
      <c r="T4238" s="146"/>
      <c r="V4238" s="147"/>
      <c r="W4238" s="146"/>
      <c r="Y4238" s="147"/>
    </row>
    <row r="4239" spans="3:25">
      <c r="C4239" s="146"/>
      <c r="E4239" s="147"/>
      <c r="F4239" s="146"/>
      <c r="I4239" s="147"/>
      <c r="Q4239" s="146"/>
      <c r="T4239" s="146"/>
      <c r="V4239" s="147"/>
      <c r="W4239" s="146"/>
      <c r="Y4239" s="147"/>
    </row>
    <row r="4240" spans="3:25">
      <c r="C4240" s="146"/>
      <c r="E4240" s="147"/>
      <c r="F4240" s="146"/>
      <c r="I4240" s="147"/>
      <c r="Q4240" s="146"/>
      <c r="T4240" s="146"/>
      <c r="V4240" s="147"/>
      <c r="W4240" s="146"/>
      <c r="Y4240" s="147"/>
    </row>
    <row r="4241" spans="3:25">
      <c r="C4241" s="146"/>
      <c r="E4241" s="147"/>
      <c r="F4241" s="146"/>
      <c r="I4241" s="147"/>
      <c r="Q4241" s="146"/>
      <c r="T4241" s="146"/>
      <c r="V4241" s="147"/>
      <c r="W4241" s="146"/>
      <c r="Y4241" s="147"/>
    </row>
    <row r="4242" spans="3:25">
      <c r="C4242" s="146"/>
      <c r="E4242" s="147"/>
      <c r="F4242" s="146"/>
      <c r="I4242" s="147"/>
      <c r="Q4242" s="146"/>
      <c r="T4242" s="146"/>
      <c r="V4242" s="147"/>
      <c r="W4242" s="146"/>
      <c r="Y4242" s="147"/>
    </row>
    <row r="4243" spans="3:25">
      <c r="C4243" s="146"/>
      <c r="E4243" s="147"/>
      <c r="F4243" s="146"/>
      <c r="I4243" s="147"/>
      <c r="Q4243" s="146"/>
      <c r="T4243" s="146"/>
      <c r="V4243" s="147"/>
      <c r="W4243" s="146"/>
      <c r="Y4243" s="147"/>
    </row>
    <row r="4244" spans="3:25">
      <c r="C4244" s="146"/>
      <c r="E4244" s="147"/>
      <c r="F4244" s="146"/>
      <c r="I4244" s="147"/>
      <c r="Q4244" s="146"/>
      <c r="T4244" s="146"/>
      <c r="V4244" s="147"/>
      <c r="W4244" s="146"/>
      <c r="Y4244" s="147"/>
    </row>
    <row r="4245" spans="3:25">
      <c r="C4245" s="146"/>
      <c r="E4245" s="147"/>
      <c r="F4245" s="146"/>
      <c r="I4245" s="147"/>
      <c r="Q4245" s="146"/>
      <c r="T4245" s="146"/>
      <c r="V4245" s="147"/>
      <c r="W4245" s="146"/>
      <c r="Y4245" s="147"/>
    </row>
    <row r="4246" spans="3:25">
      <c r="C4246" s="146"/>
      <c r="E4246" s="147"/>
      <c r="F4246" s="146"/>
      <c r="I4246" s="147"/>
      <c r="Q4246" s="146"/>
      <c r="T4246" s="146"/>
      <c r="V4246" s="147"/>
      <c r="W4246" s="146"/>
      <c r="Y4246" s="147"/>
    </row>
    <row r="4247" spans="3:25">
      <c r="C4247" s="146"/>
      <c r="E4247" s="147"/>
      <c r="F4247" s="146"/>
      <c r="I4247" s="147"/>
      <c r="Q4247" s="146"/>
      <c r="T4247" s="146"/>
      <c r="V4247" s="147"/>
      <c r="W4247" s="146"/>
      <c r="Y4247" s="147"/>
    </row>
    <row r="4248" spans="3:25">
      <c r="C4248" s="146"/>
      <c r="E4248" s="147"/>
      <c r="F4248" s="146"/>
      <c r="I4248" s="147"/>
      <c r="Q4248" s="146"/>
      <c r="T4248" s="146"/>
      <c r="V4248" s="147"/>
      <c r="W4248" s="146"/>
      <c r="Y4248" s="147"/>
    </row>
    <row r="4249" spans="3:25">
      <c r="C4249" s="146"/>
      <c r="E4249" s="147"/>
      <c r="F4249" s="146"/>
      <c r="I4249" s="147"/>
      <c r="Q4249" s="146"/>
      <c r="T4249" s="146"/>
      <c r="V4249" s="147"/>
      <c r="W4249" s="146"/>
      <c r="Y4249" s="147"/>
    </row>
    <row r="4250" spans="3:25">
      <c r="C4250" s="146"/>
      <c r="E4250" s="147"/>
      <c r="F4250" s="146"/>
      <c r="I4250" s="147"/>
      <c r="Q4250" s="146"/>
      <c r="T4250" s="146"/>
      <c r="V4250" s="147"/>
      <c r="W4250" s="146"/>
      <c r="Y4250" s="147"/>
    </row>
    <row r="4251" spans="3:25">
      <c r="C4251" s="146"/>
      <c r="E4251" s="147"/>
      <c r="F4251" s="146"/>
      <c r="I4251" s="147"/>
      <c r="Q4251" s="146"/>
      <c r="T4251" s="146"/>
      <c r="V4251" s="147"/>
      <c r="W4251" s="146"/>
      <c r="Y4251" s="147"/>
    </row>
    <row r="4252" spans="3:25">
      <c r="C4252" s="146"/>
      <c r="E4252" s="147"/>
      <c r="F4252" s="146"/>
      <c r="I4252" s="147"/>
      <c r="Q4252" s="146"/>
      <c r="T4252" s="146"/>
      <c r="V4252" s="147"/>
      <c r="W4252" s="146"/>
      <c r="Y4252" s="147"/>
    </row>
    <row r="4253" spans="3:25">
      <c r="C4253" s="146"/>
      <c r="E4253" s="147"/>
      <c r="F4253" s="146"/>
      <c r="I4253" s="147"/>
      <c r="Q4253" s="146"/>
      <c r="T4253" s="146"/>
      <c r="V4253" s="147"/>
      <c r="W4253" s="146"/>
      <c r="Y4253" s="147"/>
    </row>
    <row r="4254" spans="3:25">
      <c r="C4254" s="146"/>
      <c r="E4254" s="147"/>
      <c r="F4254" s="146"/>
      <c r="I4254" s="147"/>
      <c r="Q4254" s="146"/>
      <c r="T4254" s="146"/>
      <c r="V4254" s="147"/>
      <c r="W4254" s="146"/>
      <c r="Y4254" s="147"/>
    </row>
    <row r="4255" spans="3:25">
      <c r="C4255" s="146"/>
      <c r="E4255" s="147"/>
      <c r="F4255" s="146"/>
      <c r="I4255" s="147"/>
      <c r="Q4255" s="146"/>
      <c r="T4255" s="146"/>
      <c r="V4255" s="147"/>
      <c r="W4255" s="146"/>
      <c r="Y4255" s="147"/>
    </row>
    <row r="4256" spans="3:25">
      <c r="C4256" s="146"/>
      <c r="E4256" s="147"/>
      <c r="F4256" s="146"/>
      <c r="I4256" s="147"/>
      <c r="Q4256" s="146"/>
      <c r="T4256" s="146"/>
      <c r="V4256" s="147"/>
      <c r="W4256" s="146"/>
      <c r="Y4256" s="147"/>
    </row>
    <row r="4257" spans="3:25">
      <c r="C4257" s="146"/>
      <c r="E4257" s="147"/>
      <c r="F4257" s="146"/>
      <c r="I4257" s="147"/>
      <c r="Q4257" s="146"/>
      <c r="T4257" s="146"/>
      <c r="V4257" s="147"/>
      <c r="W4257" s="146"/>
      <c r="Y4257" s="147"/>
    </row>
    <row r="4258" spans="3:25">
      <c r="C4258" s="146"/>
      <c r="E4258" s="147"/>
      <c r="F4258" s="146"/>
      <c r="I4258" s="147"/>
      <c r="Q4258" s="146"/>
      <c r="T4258" s="146"/>
      <c r="V4258" s="147"/>
      <c r="W4258" s="146"/>
      <c r="Y4258" s="147"/>
    </row>
    <row r="4259" spans="3:25">
      <c r="C4259" s="146"/>
      <c r="E4259" s="147"/>
      <c r="F4259" s="146"/>
      <c r="I4259" s="147"/>
      <c r="Q4259" s="146"/>
      <c r="T4259" s="146"/>
      <c r="V4259" s="147"/>
      <c r="W4259" s="146"/>
      <c r="Y4259" s="147"/>
    </row>
    <row r="4260" spans="3:25">
      <c r="C4260" s="146"/>
      <c r="E4260" s="147"/>
      <c r="F4260" s="146"/>
      <c r="I4260" s="147"/>
      <c r="Q4260" s="146"/>
      <c r="T4260" s="146"/>
      <c r="V4260" s="147"/>
      <c r="W4260" s="146"/>
      <c r="Y4260" s="147"/>
    </row>
    <row r="4261" spans="3:25">
      <c r="C4261" s="146"/>
      <c r="E4261" s="147"/>
      <c r="F4261" s="146"/>
      <c r="I4261" s="147"/>
      <c r="Q4261" s="146"/>
      <c r="T4261" s="146"/>
      <c r="V4261" s="147"/>
      <c r="W4261" s="146"/>
      <c r="Y4261" s="147"/>
    </row>
    <row r="4262" spans="3:25">
      <c r="C4262" s="146"/>
      <c r="E4262" s="147"/>
      <c r="F4262" s="146"/>
      <c r="I4262" s="147"/>
      <c r="Q4262" s="146"/>
      <c r="T4262" s="146"/>
      <c r="V4262" s="147"/>
      <c r="W4262" s="146"/>
      <c r="Y4262" s="147"/>
    </row>
    <row r="4263" spans="3:25">
      <c r="C4263" s="146"/>
      <c r="E4263" s="147"/>
      <c r="F4263" s="146"/>
      <c r="I4263" s="147"/>
      <c r="Q4263" s="146"/>
      <c r="T4263" s="146"/>
      <c r="V4263" s="147"/>
      <c r="W4263" s="146"/>
      <c r="Y4263" s="147"/>
    </row>
    <row r="4264" spans="3:25">
      <c r="C4264" s="146"/>
      <c r="E4264" s="147"/>
      <c r="F4264" s="146"/>
      <c r="I4264" s="147"/>
      <c r="Q4264" s="146"/>
      <c r="T4264" s="146"/>
      <c r="V4264" s="147"/>
      <c r="W4264" s="146"/>
      <c r="Y4264" s="147"/>
    </row>
    <row r="4265" spans="3:25">
      <c r="C4265" s="146"/>
      <c r="E4265" s="147"/>
      <c r="F4265" s="146"/>
      <c r="I4265" s="147"/>
      <c r="Q4265" s="146"/>
      <c r="T4265" s="146"/>
      <c r="V4265" s="147"/>
      <c r="W4265" s="146"/>
      <c r="Y4265" s="147"/>
    </row>
    <row r="4266" spans="3:25">
      <c r="C4266" s="146"/>
      <c r="E4266" s="147"/>
      <c r="F4266" s="146"/>
      <c r="I4266" s="147"/>
      <c r="Q4266" s="146"/>
      <c r="T4266" s="146"/>
      <c r="V4266" s="147"/>
      <c r="W4266" s="146"/>
      <c r="Y4266" s="147"/>
    </row>
    <row r="4267" spans="3:25">
      <c r="C4267" s="146"/>
      <c r="E4267" s="147"/>
      <c r="F4267" s="146"/>
      <c r="I4267" s="147"/>
      <c r="Q4267" s="146"/>
      <c r="T4267" s="146"/>
      <c r="V4267" s="147"/>
      <c r="W4267" s="146"/>
      <c r="Y4267" s="147"/>
    </row>
    <row r="4268" spans="3:25">
      <c r="C4268" s="146"/>
      <c r="E4268" s="147"/>
      <c r="F4268" s="146"/>
      <c r="I4268" s="147"/>
      <c r="Q4268" s="146"/>
      <c r="T4268" s="146"/>
      <c r="V4268" s="147"/>
      <c r="W4268" s="146"/>
      <c r="Y4268" s="147"/>
    </row>
    <row r="4269" spans="3:25">
      <c r="C4269" s="146"/>
      <c r="E4269" s="147"/>
      <c r="F4269" s="146"/>
      <c r="I4269" s="147"/>
      <c r="Q4269" s="146"/>
      <c r="T4269" s="146"/>
      <c r="V4269" s="147"/>
      <c r="W4269" s="146"/>
      <c r="Y4269" s="147"/>
    </row>
    <row r="4270" spans="3:25">
      <c r="C4270" s="146"/>
      <c r="E4270" s="147"/>
      <c r="F4270" s="146"/>
      <c r="I4270" s="147"/>
      <c r="Q4270" s="146"/>
      <c r="T4270" s="146"/>
      <c r="V4270" s="147"/>
      <c r="W4270" s="146"/>
      <c r="Y4270" s="147"/>
    </row>
    <row r="4271" spans="3:25">
      <c r="C4271" s="146"/>
      <c r="E4271" s="147"/>
      <c r="F4271" s="146"/>
      <c r="I4271" s="147"/>
      <c r="Q4271" s="146"/>
      <c r="T4271" s="146"/>
      <c r="V4271" s="147"/>
      <c r="W4271" s="146"/>
      <c r="Y4271" s="147"/>
    </row>
    <row r="4272" spans="3:25">
      <c r="C4272" s="146"/>
      <c r="E4272" s="147"/>
      <c r="F4272" s="146"/>
      <c r="I4272" s="147"/>
      <c r="Q4272" s="146"/>
      <c r="T4272" s="146"/>
      <c r="V4272" s="147"/>
      <c r="W4272" s="146"/>
      <c r="Y4272" s="147"/>
    </row>
    <row r="4273" spans="3:25">
      <c r="C4273" s="146"/>
      <c r="E4273" s="147"/>
      <c r="F4273" s="146"/>
      <c r="I4273" s="147"/>
      <c r="Q4273" s="146"/>
      <c r="T4273" s="146"/>
      <c r="V4273" s="147"/>
      <c r="W4273" s="146"/>
      <c r="Y4273" s="147"/>
    </row>
    <row r="4274" spans="3:25">
      <c r="C4274" s="146"/>
      <c r="E4274" s="147"/>
      <c r="F4274" s="146"/>
      <c r="I4274" s="147"/>
      <c r="Q4274" s="146"/>
      <c r="T4274" s="146"/>
      <c r="V4274" s="147"/>
      <c r="W4274" s="146"/>
      <c r="Y4274" s="147"/>
    </row>
    <row r="4275" spans="3:25">
      <c r="C4275" s="146"/>
      <c r="E4275" s="147"/>
      <c r="F4275" s="146"/>
      <c r="I4275" s="147"/>
      <c r="Q4275" s="146"/>
      <c r="T4275" s="146"/>
      <c r="V4275" s="147"/>
      <c r="W4275" s="146"/>
      <c r="Y4275" s="147"/>
    </row>
    <row r="4276" spans="3:25">
      <c r="C4276" s="146"/>
      <c r="E4276" s="147"/>
      <c r="F4276" s="146"/>
      <c r="I4276" s="147"/>
      <c r="Q4276" s="146"/>
      <c r="T4276" s="146"/>
      <c r="V4276" s="147"/>
      <c r="W4276" s="146"/>
      <c r="Y4276" s="147"/>
    </row>
    <row r="4277" spans="3:25">
      <c r="C4277" s="146"/>
      <c r="E4277" s="147"/>
      <c r="F4277" s="146"/>
      <c r="I4277" s="147"/>
      <c r="Q4277" s="146"/>
      <c r="T4277" s="146"/>
      <c r="V4277" s="147"/>
      <c r="W4277" s="146"/>
      <c r="Y4277" s="147"/>
    </row>
    <row r="4278" spans="3:25">
      <c r="C4278" s="146"/>
      <c r="E4278" s="147"/>
      <c r="F4278" s="146"/>
      <c r="I4278" s="147"/>
      <c r="Q4278" s="146"/>
      <c r="T4278" s="146"/>
      <c r="V4278" s="147"/>
      <c r="W4278" s="146"/>
      <c r="Y4278" s="147"/>
    </row>
    <row r="4279" spans="3:25">
      <c r="C4279" s="146"/>
      <c r="E4279" s="147"/>
      <c r="F4279" s="146"/>
      <c r="I4279" s="147"/>
      <c r="Q4279" s="146"/>
      <c r="T4279" s="146"/>
      <c r="V4279" s="147"/>
      <c r="W4279" s="146"/>
      <c r="Y4279" s="147"/>
    </row>
    <row r="4280" spans="3:25">
      <c r="C4280" s="146"/>
      <c r="E4280" s="147"/>
      <c r="F4280" s="146"/>
      <c r="I4280" s="147"/>
      <c r="Q4280" s="146"/>
      <c r="T4280" s="146"/>
      <c r="V4280" s="147"/>
      <c r="W4280" s="146"/>
      <c r="Y4280" s="147"/>
    </row>
    <row r="4281" spans="3:25">
      <c r="C4281" s="146"/>
      <c r="E4281" s="147"/>
      <c r="F4281" s="146"/>
      <c r="I4281" s="147"/>
      <c r="Q4281" s="146"/>
      <c r="T4281" s="146"/>
      <c r="V4281" s="147"/>
      <c r="W4281" s="146"/>
      <c r="Y4281" s="147"/>
    </row>
    <row r="4282" spans="3:25">
      <c r="C4282" s="146"/>
      <c r="E4282" s="147"/>
      <c r="F4282" s="146"/>
      <c r="I4282" s="147"/>
      <c r="Q4282" s="146"/>
      <c r="T4282" s="146"/>
      <c r="V4282" s="147"/>
      <c r="W4282" s="146"/>
      <c r="Y4282" s="147"/>
    </row>
    <row r="4283" spans="3:25">
      <c r="C4283" s="146"/>
      <c r="E4283" s="147"/>
      <c r="F4283" s="146"/>
      <c r="I4283" s="147"/>
      <c r="Q4283" s="146"/>
      <c r="T4283" s="146"/>
      <c r="V4283" s="147"/>
      <c r="W4283" s="146"/>
      <c r="Y4283" s="147"/>
    </row>
    <row r="4284" spans="3:25">
      <c r="C4284" s="146"/>
      <c r="E4284" s="147"/>
      <c r="F4284" s="146"/>
      <c r="I4284" s="147"/>
      <c r="Q4284" s="146"/>
      <c r="T4284" s="146"/>
      <c r="V4284" s="147"/>
      <c r="W4284" s="146"/>
      <c r="Y4284" s="147"/>
    </row>
    <row r="4285" spans="3:25">
      <c r="C4285" s="146"/>
      <c r="E4285" s="147"/>
      <c r="F4285" s="146"/>
      <c r="I4285" s="147"/>
      <c r="Q4285" s="146"/>
      <c r="T4285" s="146"/>
      <c r="V4285" s="147"/>
      <c r="W4285" s="146"/>
      <c r="Y4285" s="147"/>
    </row>
    <row r="4286" spans="3:25">
      <c r="C4286" s="146"/>
      <c r="E4286" s="147"/>
      <c r="F4286" s="146"/>
      <c r="I4286" s="147"/>
      <c r="Q4286" s="146"/>
      <c r="T4286" s="146"/>
      <c r="V4286" s="147"/>
      <c r="W4286" s="146"/>
      <c r="Y4286" s="147"/>
    </row>
    <row r="4287" spans="3:25">
      <c r="C4287" s="146"/>
      <c r="E4287" s="147"/>
      <c r="F4287" s="146"/>
      <c r="I4287" s="147"/>
      <c r="Q4287" s="146"/>
      <c r="T4287" s="146"/>
      <c r="V4287" s="147"/>
      <c r="W4287" s="146"/>
      <c r="Y4287" s="147"/>
    </row>
    <row r="4288" spans="3:25">
      <c r="C4288" s="146"/>
      <c r="E4288" s="147"/>
      <c r="F4288" s="146"/>
      <c r="I4288" s="147"/>
      <c r="Q4288" s="146"/>
      <c r="T4288" s="146"/>
      <c r="V4288" s="147"/>
      <c r="W4288" s="146"/>
      <c r="Y4288" s="147"/>
    </row>
    <row r="4289" spans="3:25">
      <c r="C4289" s="146"/>
      <c r="E4289" s="147"/>
      <c r="F4289" s="146"/>
      <c r="I4289" s="147"/>
      <c r="Q4289" s="146"/>
      <c r="T4289" s="146"/>
      <c r="V4289" s="147"/>
      <c r="W4289" s="146"/>
      <c r="Y4289" s="147"/>
    </row>
    <row r="4290" spans="3:25">
      <c r="C4290" s="146"/>
      <c r="E4290" s="147"/>
      <c r="F4290" s="146"/>
      <c r="I4290" s="147"/>
      <c r="Q4290" s="146"/>
      <c r="T4290" s="146"/>
      <c r="V4290" s="147"/>
      <c r="W4290" s="146"/>
      <c r="Y4290" s="147"/>
    </row>
    <row r="4291" spans="3:25">
      <c r="C4291" s="146"/>
      <c r="E4291" s="147"/>
      <c r="F4291" s="146"/>
      <c r="I4291" s="147"/>
      <c r="Q4291" s="146"/>
      <c r="T4291" s="146"/>
      <c r="V4291" s="147"/>
      <c r="W4291" s="146"/>
      <c r="Y4291" s="147"/>
    </row>
    <row r="4292" spans="3:25">
      <c r="C4292" s="146"/>
      <c r="E4292" s="147"/>
      <c r="F4292" s="146"/>
      <c r="I4292" s="147"/>
      <c r="Q4292" s="146"/>
      <c r="T4292" s="146"/>
      <c r="V4292" s="147"/>
      <c r="W4292" s="146"/>
      <c r="Y4292" s="147"/>
    </row>
    <row r="4293" spans="3:25">
      <c r="C4293" s="146"/>
      <c r="E4293" s="147"/>
      <c r="F4293" s="146"/>
      <c r="I4293" s="147"/>
      <c r="Q4293" s="146"/>
      <c r="T4293" s="146"/>
      <c r="V4293" s="147"/>
      <c r="W4293" s="146"/>
      <c r="Y4293" s="147"/>
    </row>
    <row r="4294" spans="3:25">
      <c r="C4294" s="146"/>
      <c r="E4294" s="147"/>
      <c r="F4294" s="146"/>
      <c r="I4294" s="147"/>
      <c r="Q4294" s="146"/>
      <c r="T4294" s="146"/>
      <c r="V4294" s="147"/>
      <c r="W4294" s="146"/>
      <c r="Y4294" s="147"/>
    </row>
    <row r="4295" spans="3:25">
      <c r="C4295" s="146"/>
      <c r="E4295" s="147"/>
      <c r="F4295" s="146"/>
      <c r="I4295" s="147"/>
      <c r="Q4295" s="146"/>
      <c r="T4295" s="146"/>
      <c r="V4295" s="147"/>
      <c r="W4295" s="146"/>
      <c r="Y4295" s="147"/>
    </row>
    <row r="4296" spans="3:25">
      <c r="C4296" s="146"/>
      <c r="E4296" s="147"/>
      <c r="F4296" s="146"/>
      <c r="I4296" s="147"/>
      <c r="Q4296" s="146"/>
      <c r="T4296" s="146"/>
      <c r="V4296" s="147"/>
      <c r="W4296" s="146"/>
      <c r="Y4296" s="147"/>
    </row>
    <row r="4297" spans="3:25">
      <c r="C4297" s="146"/>
      <c r="E4297" s="147"/>
      <c r="F4297" s="146"/>
      <c r="I4297" s="147"/>
      <c r="Q4297" s="146"/>
      <c r="T4297" s="146"/>
      <c r="V4297" s="147"/>
      <c r="W4297" s="146"/>
      <c r="Y4297" s="147"/>
    </row>
    <row r="4298" spans="3:25">
      <c r="C4298" s="146"/>
      <c r="E4298" s="147"/>
      <c r="F4298" s="146"/>
      <c r="I4298" s="147"/>
      <c r="Q4298" s="146"/>
      <c r="T4298" s="146"/>
      <c r="V4298" s="147"/>
      <c r="W4298" s="146"/>
      <c r="Y4298" s="147"/>
    </row>
    <row r="4299" spans="3:25">
      <c r="C4299" s="146"/>
      <c r="E4299" s="147"/>
      <c r="F4299" s="146"/>
      <c r="I4299" s="147"/>
      <c r="Q4299" s="146"/>
      <c r="T4299" s="146"/>
      <c r="V4299" s="147"/>
      <c r="W4299" s="146"/>
      <c r="Y4299" s="147"/>
    </row>
    <row r="4300" spans="3:25">
      <c r="C4300" s="146"/>
      <c r="E4300" s="147"/>
      <c r="F4300" s="146"/>
      <c r="I4300" s="147"/>
      <c r="Q4300" s="146"/>
      <c r="T4300" s="146"/>
      <c r="V4300" s="147"/>
      <c r="W4300" s="146"/>
      <c r="Y4300" s="147"/>
    </row>
    <row r="4301" spans="3:25">
      <c r="C4301" s="146"/>
      <c r="E4301" s="147"/>
      <c r="F4301" s="146"/>
      <c r="I4301" s="147"/>
      <c r="Q4301" s="146"/>
      <c r="T4301" s="146"/>
      <c r="V4301" s="147"/>
      <c r="W4301" s="146"/>
      <c r="Y4301" s="147"/>
    </row>
    <row r="4302" spans="3:25">
      <c r="C4302" s="146"/>
      <c r="E4302" s="147"/>
      <c r="F4302" s="146"/>
      <c r="I4302" s="147"/>
      <c r="Q4302" s="146"/>
      <c r="T4302" s="146"/>
      <c r="V4302" s="147"/>
      <c r="W4302" s="146"/>
      <c r="Y4302" s="147"/>
    </row>
    <row r="4303" spans="3:25">
      <c r="C4303" s="146"/>
      <c r="E4303" s="147"/>
      <c r="F4303" s="146"/>
      <c r="I4303" s="147"/>
      <c r="Q4303" s="146"/>
      <c r="T4303" s="146"/>
      <c r="V4303" s="147"/>
      <c r="W4303" s="146"/>
      <c r="Y4303" s="147"/>
    </row>
    <row r="4304" spans="3:25">
      <c r="C4304" s="146"/>
      <c r="E4304" s="147"/>
      <c r="F4304" s="146"/>
      <c r="I4304" s="147"/>
      <c r="Q4304" s="146"/>
      <c r="T4304" s="146"/>
      <c r="V4304" s="147"/>
      <c r="W4304" s="146"/>
      <c r="Y4304" s="147"/>
    </row>
    <row r="4305" spans="3:25">
      <c r="C4305" s="146"/>
      <c r="E4305" s="147"/>
      <c r="F4305" s="146"/>
      <c r="I4305" s="147"/>
      <c r="Q4305" s="146"/>
      <c r="T4305" s="146"/>
      <c r="V4305" s="147"/>
      <c r="W4305" s="146"/>
      <c r="Y4305" s="147"/>
    </row>
    <row r="4306" spans="3:25">
      <c r="C4306" s="146"/>
      <c r="E4306" s="147"/>
      <c r="F4306" s="146"/>
      <c r="I4306" s="147"/>
      <c r="Q4306" s="146"/>
      <c r="T4306" s="146"/>
      <c r="V4306" s="147"/>
      <c r="W4306" s="146"/>
      <c r="Y4306" s="147"/>
    </row>
    <row r="4307" spans="3:25">
      <c r="C4307" s="146"/>
      <c r="E4307" s="147"/>
      <c r="F4307" s="146"/>
      <c r="I4307" s="147"/>
      <c r="Q4307" s="146"/>
      <c r="T4307" s="146"/>
      <c r="V4307" s="147"/>
      <c r="W4307" s="146"/>
      <c r="Y4307" s="147"/>
    </row>
    <row r="4308" spans="3:25">
      <c r="C4308" s="146"/>
      <c r="E4308" s="147"/>
      <c r="F4308" s="146"/>
      <c r="I4308" s="147"/>
      <c r="Q4308" s="146"/>
      <c r="T4308" s="146"/>
      <c r="V4308" s="147"/>
      <c r="W4308" s="146"/>
      <c r="Y4308" s="147"/>
    </row>
    <row r="4309" spans="3:25">
      <c r="C4309" s="146"/>
      <c r="E4309" s="147"/>
      <c r="F4309" s="146"/>
      <c r="I4309" s="147"/>
      <c r="Q4309" s="146"/>
      <c r="T4309" s="146"/>
      <c r="V4309" s="147"/>
      <c r="W4309" s="146"/>
      <c r="Y4309" s="147"/>
    </row>
    <row r="4310" spans="3:25">
      <c r="C4310" s="146"/>
      <c r="E4310" s="147"/>
      <c r="F4310" s="146"/>
      <c r="I4310" s="147"/>
      <c r="Q4310" s="146"/>
      <c r="T4310" s="146"/>
      <c r="V4310" s="147"/>
      <c r="W4310" s="146"/>
      <c r="Y4310" s="147"/>
    </row>
    <row r="4311" spans="3:25">
      <c r="C4311" s="146"/>
      <c r="E4311" s="147"/>
      <c r="F4311" s="146"/>
      <c r="I4311" s="147"/>
      <c r="Q4311" s="146"/>
      <c r="T4311" s="146"/>
      <c r="V4311" s="147"/>
      <c r="W4311" s="146"/>
      <c r="Y4311" s="147"/>
    </row>
    <row r="4312" spans="3:25">
      <c r="C4312" s="146"/>
      <c r="E4312" s="147"/>
      <c r="F4312" s="146"/>
      <c r="I4312" s="147"/>
      <c r="Q4312" s="146"/>
      <c r="T4312" s="146"/>
      <c r="V4312" s="147"/>
      <c r="W4312" s="146"/>
      <c r="Y4312" s="147"/>
    </row>
    <row r="4313" spans="3:25">
      <c r="C4313" s="146"/>
      <c r="E4313" s="147"/>
      <c r="F4313" s="146"/>
      <c r="I4313" s="147"/>
      <c r="Q4313" s="146"/>
      <c r="T4313" s="146"/>
      <c r="V4313" s="147"/>
      <c r="W4313" s="146"/>
      <c r="Y4313" s="147"/>
    </row>
    <row r="4314" spans="3:25">
      <c r="C4314" s="146"/>
      <c r="E4314" s="147"/>
      <c r="F4314" s="146"/>
      <c r="I4314" s="147"/>
      <c r="Q4314" s="146"/>
      <c r="T4314" s="146"/>
      <c r="V4314" s="147"/>
      <c r="W4314" s="146"/>
      <c r="Y4314" s="147"/>
    </row>
    <row r="4315" spans="3:25">
      <c r="C4315" s="146"/>
      <c r="E4315" s="147"/>
      <c r="F4315" s="146"/>
      <c r="I4315" s="147"/>
      <c r="Q4315" s="146"/>
      <c r="T4315" s="146"/>
      <c r="V4315" s="147"/>
      <c r="W4315" s="146"/>
      <c r="Y4315" s="147"/>
    </row>
    <row r="4316" spans="3:25">
      <c r="C4316" s="146"/>
      <c r="E4316" s="147"/>
      <c r="F4316" s="146"/>
      <c r="I4316" s="147"/>
      <c r="Q4316" s="146"/>
      <c r="T4316" s="146"/>
      <c r="V4316" s="147"/>
      <c r="W4316" s="146"/>
      <c r="Y4316" s="147"/>
    </row>
    <row r="4317" spans="3:25">
      <c r="C4317" s="146"/>
      <c r="E4317" s="147"/>
      <c r="F4317" s="146"/>
      <c r="I4317" s="147"/>
      <c r="Q4317" s="146"/>
      <c r="T4317" s="146"/>
      <c r="V4317" s="147"/>
      <c r="W4317" s="146"/>
      <c r="Y4317" s="147"/>
    </row>
    <row r="4318" spans="3:25">
      <c r="C4318" s="146"/>
      <c r="E4318" s="147"/>
      <c r="F4318" s="146"/>
      <c r="I4318" s="147"/>
      <c r="Q4318" s="146"/>
      <c r="T4318" s="146"/>
      <c r="V4318" s="147"/>
      <c r="W4318" s="146"/>
      <c r="Y4318" s="147"/>
    </row>
    <row r="4319" spans="3:25">
      <c r="C4319" s="146"/>
      <c r="E4319" s="147"/>
      <c r="F4319" s="146"/>
      <c r="I4319" s="147"/>
      <c r="Q4319" s="146"/>
      <c r="T4319" s="146"/>
      <c r="V4319" s="147"/>
      <c r="W4319" s="146"/>
      <c r="Y4319" s="147"/>
    </row>
    <row r="4320" spans="3:25">
      <c r="C4320" s="146"/>
      <c r="E4320" s="147"/>
      <c r="F4320" s="146"/>
      <c r="I4320" s="147"/>
      <c r="Q4320" s="146"/>
      <c r="T4320" s="146"/>
      <c r="V4320" s="147"/>
      <c r="W4320" s="146"/>
      <c r="Y4320" s="147"/>
    </row>
    <row r="4321" spans="3:25">
      <c r="C4321" s="146"/>
      <c r="E4321" s="147"/>
      <c r="F4321" s="146"/>
      <c r="I4321" s="147"/>
      <c r="Q4321" s="146"/>
      <c r="T4321" s="146"/>
      <c r="V4321" s="147"/>
      <c r="W4321" s="146"/>
      <c r="Y4321" s="147"/>
    </row>
    <row r="4322" spans="3:25">
      <c r="C4322" s="146"/>
      <c r="E4322" s="147"/>
      <c r="F4322" s="146"/>
      <c r="I4322" s="147"/>
      <c r="Q4322" s="146"/>
      <c r="T4322" s="146"/>
      <c r="V4322" s="147"/>
      <c r="W4322" s="146"/>
      <c r="Y4322" s="147"/>
    </row>
    <row r="4323" spans="3:25">
      <c r="C4323" s="146"/>
      <c r="E4323" s="147"/>
      <c r="F4323" s="146"/>
      <c r="I4323" s="147"/>
      <c r="Q4323" s="146"/>
      <c r="T4323" s="146"/>
      <c r="V4323" s="147"/>
      <c r="W4323" s="146"/>
      <c r="Y4323" s="147"/>
    </row>
    <row r="4324" spans="3:25">
      <c r="C4324" s="146"/>
      <c r="E4324" s="147"/>
      <c r="F4324" s="146"/>
      <c r="I4324" s="147"/>
      <c r="Q4324" s="146"/>
      <c r="T4324" s="146"/>
      <c r="V4324" s="147"/>
      <c r="W4324" s="146"/>
      <c r="Y4324" s="147"/>
    </row>
    <row r="4325" spans="3:25">
      <c r="C4325" s="146"/>
      <c r="E4325" s="147"/>
      <c r="F4325" s="146"/>
      <c r="I4325" s="147"/>
      <c r="Q4325" s="146"/>
      <c r="T4325" s="146"/>
      <c r="V4325" s="147"/>
      <c r="W4325" s="146"/>
      <c r="Y4325" s="147"/>
    </row>
    <row r="4326" spans="3:25">
      <c r="C4326" s="146"/>
      <c r="E4326" s="147"/>
      <c r="F4326" s="146"/>
      <c r="I4326" s="147"/>
      <c r="Q4326" s="146"/>
      <c r="T4326" s="146"/>
      <c r="V4326" s="147"/>
      <c r="W4326" s="146"/>
      <c r="Y4326" s="147"/>
    </row>
    <row r="4327" spans="3:25">
      <c r="C4327" s="146"/>
      <c r="E4327" s="147"/>
      <c r="F4327" s="146"/>
      <c r="I4327" s="147"/>
      <c r="Q4327" s="146"/>
      <c r="T4327" s="146"/>
      <c r="V4327" s="147"/>
      <c r="W4327" s="146"/>
      <c r="Y4327" s="147"/>
    </row>
    <row r="4328" spans="3:25">
      <c r="C4328" s="146"/>
      <c r="E4328" s="147"/>
      <c r="F4328" s="146"/>
      <c r="I4328" s="147"/>
      <c r="Q4328" s="146"/>
      <c r="T4328" s="146"/>
      <c r="V4328" s="147"/>
      <c r="W4328" s="146"/>
      <c r="Y4328" s="147"/>
    </row>
    <row r="4329" spans="3:25">
      <c r="C4329" s="146"/>
      <c r="E4329" s="147"/>
      <c r="F4329" s="146"/>
      <c r="I4329" s="147"/>
      <c r="Q4329" s="146"/>
      <c r="T4329" s="146"/>
      <c r="V4329" s="147"/>
      <c r="W4329" s="146"/>
      <c r="Y4329" s="147"/>
    </row>
    <row r="4330" spans="3:25">
      <c r="C4330" s="146"/>
      <c r="E4330" s="147"/>
      <c r="F4330" s="146"/>
      <c r="I4330" s="147"/>
      <c r="Q4330" s="146"/>
      <c r="T4330" s="146"/>
      <c r="V4330" s="147"/>
      <c r="W4330" s="146"/>
      <c r="Y4330" s="147"/>
    </row>
    <row r="4331" spans="3:25">
      <c r="C4331" s="146"/>
      <c r="E4331" s="147"/>
      <c r="F4331" s="146"/>
      <c r="I4331" s="147"/>
      <c r="Q4331" s="146"/>
      <c r="T4331" s="146"/>
      <c r="V4331" s="147"/>
      <c r="W4331" s="146"/>
      <c r="Y4331" s="147"/>
    </row>
    <row r="4332" spans="3:25">
      <c r="C4332" s="146"/>
      <c r="E4332" s="147"/>
      <c r="F4332" s="146"/>
      <c r="I4332" s="147"/>
      <c r="Q4332" s="146"/>
      <c r="T4332" s="146"/>
      <c r="V4332" s="147"/>
      <c r="W4332" s="146"/>
      <c r="Y4332" s="147"/>
    </row>
    <row r="4333" spans="3:25">
      <c r="C4333" s="146"/>
      <c r="E4333" s="147"/>
      <c r="F4333" s="146"/>
      <c r="I4333" s="147"/>
      <c r="Q4333" s="146"/>
      <c r="T4333" s="146"/>
      <c r="V4333" s="147"/>
      <c r="W4333" s="146"/>
      <c r="Y4333" s="147"/>
    </row>
    <row r="4334" spans="3:25">
      <c r="C4334" s="146"/>
      <c r="E4334" s="147"/>
      <c r="F4334" s="146"/>
      <c r="I4334" s="147"/>
      <c r="Q4334" s="146"/>
      <c r="T4334" s="146"/>
      <c r="V4334" s="147"/>
      <c r="W4334" s="146"/>
      <c r="Y4334" s="147"/>
    </row>
    <row r="4335" spans="3:25">
      <c r="C4335" s="146"/>
      <c r="E4335" s="147"/>
      <c r="F4335" s="146"/>
      <c r="I4335" s="147"/>
      <c r="Q4335" s="146"/>
      <c r="T4335" s="146"/>
      <c r="V4335" s="147"/>
      <c r="W4335" s="146"/>
      <c r="Y4335" s="147"/>
    </row>
    <row r="4336" spans="3:25">
      <c r="C4336" s="146"/>
      <c r="E4336" s="147"/>
      <c r="F4336" s="146"/>
      <c r="I4336" s="147"/>
      <c r="Q4336" s="146"/>
      <c r="T4336" s="146"/>
      <c r="V4336" s="147"/>
      <c r="W4336" s="146"/>
      <c r="Y4336" s="147"/>
    </row>
    <row r="4337" spans="3:25">
      <c r="C4337" s="146"/>
      <c r="E4337" s="147"/>
      <c r="F4337" s="146"/>
      <c r="I4337" s="147"/>
      <c r="Q4337" s="146"/>
      <c r="T4337" s="146"/>
      <c r="V4337" s="147"/>
      <c r="W4337" s="146"/>
      <c r="Y4337" s="147"/>
    </row>
    <row r="4338" spans="3:25">
      <c r="C4338" s="146"/>
      <c r="E4338" s="147"/>
      <c r="F4338" s="146"/>
      <c r="I4338" s="147"/>
      <c r="Q4338" s="146"/>
      <c r="T4338" s="146"/>
      <c r="V4338" s="147"/>
      <c r="W4338" s="146"/>
      <c r="Y4338" s="147"/>
    </row>
    <row r="4339" spans="3:25">
      <c r="C4339" s="146"/>
      <c r="E4339" s="147"/>
      <c r="F4339" s="146"/>
      <c r="I4339" s="147"/>
      <c r="Q4339" s="146"/>
      <c r="T4339" s="146"/>
      <c r="V4339" s="147"/>
      <c r="W4339" s="146"/>
      <c r="Y4339" s="147"/>
    </row>
    <row r="4340" spans="3:25">
      <c r="C4340" s="146"/>
      <c r="E4340" s="147"/>
      <c r="F4340" s="146"/>
      <c r="I4340" s="147"/>
      <c r="Q4340" s="146"/>
      <c r="T4340" s="146"/>
      <c r="V4340" s="147"/>
      <c r="W4340" s="146"/>
      <c r="Y4340" s="147"/>
    </row>
    <row r="4341" spans="3:25">
      <c r="C4341" s="146"/>
      <c r="E4341" s="147"/>
      <c r="F4341" s="146"/>
      <c r="I4341" s="147"/>
      <c r="Q4341" s="146"/>
      <c r="T4341" s="146"/>
      <c r="V4341" s="147"/>
      <c r="W4341" s="146"/>
      <c r="Y4341" s="147"/>
    </row>
    <row r="4342" spans="3:25">
      <c r="C4342" s="146"/>
      <c r="E4342" s="147"/>
      <c r="F4342" s="146"/>
      <c r="I4342" s="147"/>
      <c r="Q4342" s="146"/>
      <c r="T4342" s="146"/>
      <c r="V4342" s="147"/>
      <c r="W4342" s="146"/>
      <c r="Y4342" s="147"/>
    </row>
    <row r="4343" spans="3:25">
      <c r="C4343" s="146"/>
      <c r="E4343" s="147"/>
      <c r="F4343" s="146"/>
      <c r="I4343" s="147"/>
      <c r="Q4343" s="146"/>
      <c r="T4343" s="146"/>
      <c r="V4343" s="147"/>
      <c r="W4343" s="146"/>
      <c r="Y4343" s="147"/>
    </row>
    <row r="4344" spans="3:25">
      <c r="C4344" s="146"/>
      <c r="E4344" s="147"/>
      <c r="F4344" s="146"/>
      <c r="I4344" s="147"/>
      <c r="Q4344" s="146"/>
      <c r="T4344" s="146"/>
      <c r="V4344" s="147"/>
      <c r="W4344" s="146"/>
      <c r="Y4344" s="147"/>
    </row>
    <row r="4345" spans="3:25">
      <c r="C4345" s="146"/>
      <c r="E4345" s="147"/>
      <c r="F4345" s="146"/>
      <c r="I4345" s="147"/>
      <c r="Q4345" s="146"/>
      <c r="T4345" s="146"/>
      <c r="V4345" s="147"/>
      <c r="W4345" s="146"/>
      <c r="Y4345" s="147"/>
    </row>
    <row r="4346" spans="3:25">
      <c r="C4346" s="146"/>
      <c r="E4346" s="147"/>
      <c r="F4346" s="146"/>
      <c r="I4346" s="147"/>
      <c r="Q4346" s="146"/>
      <c r="T4346" s="146"/>
      <c r="V4346" s="147"/>
      <c r="W4346" s="146"/>
      <c r="Y4346" s="147"/>
    </row>
    <row r="4347" spans="3:25">
      <c r="C4347" s="146"/>
      <c r="E4347" s="147"/>
      <c r="F4347" s="146"/>
      <c r="I4347" s="147"/>
      <c r="Q4347" s="146"/>
      <c r="T4347" s="146"/>
      <c r="V4347" s="147"/>
      <c r="W4347" s="146"/>
      <c r="Y4347" s="147"/>
    </row>
    <row r="4348" spans="3:25">
      <c r="C4348" s="146"/>
      <c r="E4348" s="147"/>
      <c r="F4348" s="146"/>
      <c r="I4348" s="147"/>
      <c r="Q4348" s="146"/>
      <c r="T4348" s="146"/>
      <c r="V4348" s="147"/>
      <c r="W4348" s="146"/>
      <c r="Y4348" s="147"/>
    </row>
    <row r="4349" spans="3:25">
      <c r="C4349" s="146"/>
      <c r="E4349" s="147"/>
      <c r="F4349" s="146"/>
      <c r="I4349" s="147"/>
      <c r="Q4349" s="146"/>
      <c r="T4349" s="146"/>
      <c r="V4349" s="147"/>
      <c r="W4349" s="146"/>
      <c r="Y4349" s="147"/>
    </row>
    <row r="4350" spans="3:25">
      <c r="C4350" s="146"/>
      <c r="E4350" s="147"/>
      <c r="F4350" s="146"/>
      <c r="I4350" s="147"/>
      <c r="Q4350" s="146"/>
      <c r="T4350" s="146"/>
      <c r="V4350" s="147"/>
      <c r="W4350" s="146"/>
      <c r="Y4350" s="147"/>
    </row>
    <row r="4351" spans="3:25" ht="16.5" thickBot="1">
      <c r="C4351" s="359"/>
      <c r="D4351" s="360"/>
      <c r="E4351" s="361"/>
      <c r="F4351" s="359"/>
      <c r="G4351" s="362"/>
      <c r="H4351" s="363"/>
      <c r="I4351" s="361"/>
      <c r="Q4351" s="359"/>
      <c r="R4351" s="362"/>
      <c r="S4351" s="362"/>
      <c r="T4351" s="146"/>
      <c r="V4351" s="147"/>
      <c r="W4351" s="146"/>
      <c r="Y4351" s="147"/>
    </row>
    <row r="4352" spans="3:25">
      <c r="T4352" s="146"/>
      <c r="V4352" s="147"/>
      <c r="W4352" s="146"/>
      <c r="Y4352" s="147"/>
    </row>
    <row r="4353" spans="20:25">
      <c r="T4353" s="146"/>
      <c r="V4353" s="147"/>
      <c r="W4353" s="146"/>
      <c r="Y4353" s="147"/>
    </row>
    <row r="4354" spans="20:25">
      <c r="T4354" s="146"/>
      <c r="V4354" s="147"/>
      <c r="W4354" s="146"/>
      <c r="Y4354" s="147"/>
    </row>
    <row r="4355" spans="20:25">
      <c r="T4355" s="146"/>
      <c r="V4355" s="147"/>
      <c r="W4355" s="146"/>
      <c r="Y4355" s="147"/>
    </row>
    <row r="4356" spans="20:25">
      <c r="T4356" s="146"/>
      <c r="V4356" s="147"/>
      <c r="W4356" s="146"/>
      <c r="Y4356" s="147"/>
    </row>
    <row r="4357" spans="20:25">
      <c r="T4357" s="146"/>
      <c r="V4357" s="147"/>
      <c r="W4357" s="146"/>
      <c r="Y4357" s="147"/>
    </row>
    <row r="4358" spans="20:25">
      <c r="T4358" s="146"/>
      <c r="V4358" s="147"/>
      <c r="W4358" s="146"/>
      <c r="Y4358" s="147"/>
    </row>
    <row r="4359" spans="20:25">
      <c r="T4359" s="146"/>
      <c r="V4359" s="147"/>
      <c r="W4359" s="146"/>
      <c r="Y4359" s="147"/>
    </row>
    <row r="4360" spans="20:25">
      <c r="T4360" s="146"/>
      <c r="V4360" s="147"/>
      <c r="W4360" s="146"/>
      <c r="Y4360" s="147"/>
    </row>
    <row r="4361" spans="20:25">
      <c r="T4361" s="146"/>
      <c r="V4361" s="147"/>
      <c r="W4361" s="146"/>
      <c r="Y4361" s="147"/>
    </row>
    <row r="4362" spans="20:25">
      <c r="T4362" s="146"/>
      <c r="V4362" s="147"/>
      <c r="W4362" s="146"/>
      <c r="Y4362" s="147"/>
    </row>
    <row r="4363" spans="20:25">
      <c r="T4363" s="146"/>
      <c r="V4363" s="147"/>
      <c r="W4363" s="146"/>
      <c r="Y4363" s="147"/>
    </row>
    <row r="4364" spans="20:25">
      <c r="T4364" s="146"/>
      <c r="V4364" s="147"/>
      <c r="W4364" s="146"/>
      <c r="Y4364" s="147"/>
    </row>
    <row r="4365" spans="20:25">
      <c r="T4365" s="146"/>
      <c r="V4365" s="147"/>
      <c r="W4365" s="146"/>
      <c r="Y4365" s="147"/>
    </row>
    <row r="4366" spans="20:25">
      <c r="T4366" s="146"/>
      <c r="V4366" s="147"/>
      <c r="W4366" s="146"/>
      <c r="Y4366" s="147"/>
    </row>
    <row r="4367" spans="20:25">
      <c r="T4367" s="146"/>
      <c r="V4367" s="147"/>
      <c r="W4367" s="146"/>
      <c r="Y4367" s="147"/>
    </row>
    <row r="4368" spans="20:25">
      <c r="T4368" s="146"/>
      <c r="V4368" s="147"/>
      <c r="W4368" s="146"/>
      <c r="Y4368" s="147"/>
    </row>
    <row r="4369" spans="20:25">
      <c r="T4369" s="146"/>
      <c r="V4369" s="147"/>
      <c r="W4369" s="146"/>
      <c r="Y4369" s="147"/>
    </row>
    <row r="4370" spans="20:25">
      <c r="T4370" s="146"/>
      <c r="V4370" s="147"/>
      <c r="W4370" s="146"/>
      <c r="Y4370" s="147"/>
    </row>
    <row r="4371" spans="20:25">
      <c r="T4371" s="146"/>
      <c r="V4371" s="147"/>
      <c r="W4371" s="146"/>
      <c r="Y4371" s="147"/>
    </row>
    <row r="4372" spans="20:25">
      <c r="T4372" s="146"/>
      <c r="V4372" s="147"/>
      <c r="W4372" s="146"/>
      <c r="Y4372" s="147"/>
    </row>
    <row r="4373" spans="20:25">
      <c r="T4373" s="146"/>
      <c r="V4373" s="147"/>
      <c r="W4373" s="146"/>
      <c r="Y4373" s="147"/>
    </row>
    <row r="4374" spans="20:25">
      <c r="T4374" s="146"/>
      <c r="V4374" s="147"/>
      <c r="W4374" s="146"/>
      <c r="Y4374" s="147"/>
    </row>
    <row r="4375" spans="20:25">
      <c r="T4375" s="146"/>
      <c r="V4375" s="147"/>
      <c r="W4375" s="146"/>
      <c r="Y4375" s="147"/>
    </row>
    <row r="4376" spans="20:25">
      <c r="T4376" s="146"/>
      <c r="V4376" s="147"/>
      <c r="W4376" s="146"/>
      <c r="Y4376" s="147"/>
    </row>
    <row r="4377" spans="20:25">
      <c r="T4377" s="146"/>
      <c r="V4377" s="147"/>
      <c r="W4377" s="146"/>
      <c r="Y4377" s="147"/>
    </row>
    <row r="4378" spans="20:25">
      <c r="T4378" s="146"/>
      <c r="V4378" s="147"/>
      <c r="W4378" s="146"/>
      <c r="Y4378" s="147"/>
    </row>
    <row r="4379" spans="20:25">
      <c r="T4379" s="146"/>
      <c r="V4379" s="147"/>
      <c r="W4379" s="146"/>
      <c r="Y4379" s="147"/>
    </row>
    <row r="4380" spans="20:25">
      <c r="T4380" s="146"/>
      <c r="V4380" s="147"/>
      <c r="W4380" s="146"/>
      <c r="Y4380" s="147"/>
    </row>
    <row r="4381" spans="20:25">
      <c r="T4381" s="146"/>
      <c r="V4381" s="147"/>
      <c r="W4381" s="146"/>
      <c r="Y4381" s="147"/>
    </row>
    <row r="4382" spans="20:25">
      <c r="T4382" s="146"/>
      <c r="V4382" s="147"/>
      <c r="W4382" s="146"/>
      <c r="Y4382" s="147"/>
    </row>
    <row r="4383" spans="20:25">
      <c r="T4383" s="146"/>
      <c r="V4383" s="147"/>
      <c r="W4383" s="146"/>
      <c r="Y4383" s="147"/>
    </row>
    <row r="4384" spans="20:25">
      <c r="T4384" s="146"/>
      <c r="V4384" s="147"/>
      <c r="W4384" s="146"/>
      <c r="Y4384" s="147"/>
    </row>
    <row r="4385" spans="20:25">
      <c r="T4385" s="146"/>
      <c r="V4385" s="147"/>
      <c r="W4385" s="146"/>
      <c r="Y4385" s="147"/>
    </row>
    <row r="4386" spans="20:25">
      <c r="T4386" s="146"/>
      <c r="V4386" s="147"/>
      <c r="W4386" s="146"/>
      <c r="Y4386" s="147"/>
    </row>
    <row r="4387" spans="20:25">
      <c r="T4387" s="146"/>
      <c r="V4387" s="147"/>
      <c r="W4387" s="146"/>
      <c r="Y4387" s="147"/>
    </row>
    <row r="4388" spans="20:25">
      <c r="T4388" s="146"/>
      <c r="V4388" s="147"/>
      <c r="W4388" s="146"/>
      <c r="Y4388" s="147"/>
    </row>
    <row r="4389" spans="20:25">
      <c r="T4389" s="146"/>
      <c r="V4389" s="147"/>
      <c r="W4389" s="146"/>
      <c r="Y4389" s="147"/>
    </row>
    <row r="4390" spans="20:25">
      <c r="T4390" s="146"/>
      <c r="V4390" s="147"/>
      <c r="W4390" s="146"/>
      <c r="Y4390" s="147"/>
    </row>
    <row r="4391" spans="20:25">
      <c r="T4391" s="146"/>
      <c r="V4391" s="147"/>
      <c r="W4391" s="146"/>
      <c r="Y4391" s="147"/>
    </row>
    <row r="4392" spans="20:25">
      <c r="T4392" s="146"/>
      <c r="V4392" s="147"/>
      <c r="W4392" s="146"/>
      <c r="Y4392" s="147"/>
    </row>
    <row r="4393" spans="20:25">
      <c r="T4393" s="146"/>
      <c r="V4393" s="147"/>
      <c r="W4393" s="146"/>
      <c r="Y4393" s="147"/>
    </row>
    <row r="4394" spans="20:25">
      <c r="T4394" s="146"/>
      <c r="V4394" s="147"/>
      <c r="W4394" s="146"/>
      <c r="Y4394" s="147"/>
    </row>
    <row r="4395" spans="20:25">
      <c r="T4395" s="146"/>
      <c r="V4395" s="147"/>
      <c r="W4395" s="146"/>
      <c r="Y4395" s="147"/>
    </row>
    <row r="4396" spans="20:25">
      <c r="T4396" s="146"/>
      <c r="V4396" s="147"/>
      <c r="W4396" s="146"/>
      <c r="Y4396" s="147"/>
    </row>
    <row r="4397" spans="20:25">
      <c r="T4397" s="146"/>
      <c r="V4397" s="147"/>
      <c r="W4397" s="146"/>
      <c r="Y4397" s="147"/>
    </row>
    <row r="4398" spans="20:25">
      <c r="T4398" s="146"/>
      <c r="V4398" s="147"/>
      <c r="W4398" s="146"/>
      <c r="Y4398" s="147"/>
    </row>
    <row r="4399" spans="20:25">
      <c r="T4399" s="146"/>
      <c r="V4399" s="147"/>
      <c r="W4399" s="146"/>
      <c r="Y4399" s="147"/>
    </row>
    <row r="4400" spans="20:25">
      <c r="T4400" s="146"/>
      <c r="V4400" s="147"/>
      <c r="W4400" s="146"/>
      <c r="Y4400" s="147"/>
    </row>
    <row r="4401" spans="20:25">
      <c r="T4401" s="146"/>
      <c r="V4401" s="147"/>
      <c r="W4401" s="146"/>
      <c r="Y4401" s="147"/>
    </row>
    <row r="4402" spans="20:25">
      <c r="T4402" s="146"/>
      <c r="V4402" s="147"/>
      <c r="W4402" s="146"/>
      <c r="Y4402" s="147"/>
    </row>
    <row r="4403" spans="20:25">
      <c r="T4403" s="146"/>
      <c r="V4403" s="147"/>
      <c r="W4403" s="146"/>
      <c r="Y4403" s="147"/>
    </row>
    <row r="4404" spans="20:25">
      <c r="T4404" s="146"/>
      <c r="V4404" s="147"/>
      <c r="W4404" s="146"/>
      <c r="Y4404" s="147"/>
    </row>
    <row r="4405" spans="20:25">
      <c r="T4405" s="146"/>
      <c r="V4405" s="147"/>
      <c r="W4405" s="146"/>
      <c r="Y4405" s="147"/>
    </row>
    <row r="4406" spans="20:25">
      <c r="T4406" s="146"/>
      <c r="V4406" s="147"/>
      <c r="W4406" s="146"/>
      <c r="Y4406" s="147"/>
    </row>
    <row r="4407" spans="20:25">
      <c r="T4407" s="146"/>
      <c r="V4407" s="147"/>
      <c r="W4407" s="146"/>
      <c r="Y4407" s="147"/>
    </row>
    <row r="4408" spans="20:25">
      <c r="T4408" s="146"/>
      <c r="V4408" s="147"/>
      <c r="W4408" s="146"/>
      <c r="Y4408" s="147"/>
    </row>
    <row r="4409" spans="20:25">
      <c r="T4409" s="146"/>
      <c r="V4409" s="147"/>
      <c r="W4409" s="146"/>
      <c r="Y4409" s="147"/>
    </row>
    <row r="4410" spans="20:25">
      <c r="T4410" s="146"/>
      <c r="V4410" s="147"/>
      <c r="W4410" s="146"/>
      <c r="Y4410" s="147"/>
    </row>
    <row r="4411" spans="20:25">
      <c r="T4411" s="146"/>
      <c r="V4411" s="147"/>
      <c r="W4411" s="146"/>
      <c r="Y4411" s="147"/>
    </row>
    <row r="4412" spans="20:25">
      <c r="T4412" s="146"/>
      <c r="V4412" s="147"/>
      <c r="W4412" s="146"/>
      <c r="Y4412" s="147"/>
    </row>
    <row r="4413" spans="20:25">
      <c r="T4413" s="146"/>
      <c r="V4413" s="147"/>
      <c r="W4413" s="146"/>
      <c r="Y4413" s="147"/>
    </row>
    <row r="4414" spans="20:25">
      <c r="T4414" s="146"/>
      <c r="V4414" s="147"/>
      <c r="W4414" s="146"/>
      <c r="Y4414" s="147"/>
    </row>
    <row r="4415" spans="20:25">
      <c r="T4415" s="146"/>
      <c r="V4415" s="147"/>
      <c r="W4415" s="146"/>
      <c r="Y4415" s="147"/>
    </row>
    <row r="4416" spans="20:25">
      <c r="T4416" s="146"/>
      <c r="V4416" s="147"/>
      <c r="W4416" s="146"/>
      <c r="Y4416" s="147"/>
    </row>
    <row r="4417" spans="20:25">
      <c r="T4417" s="146"/>
      <c r="V4417" s="147"/>
      <c r="W4417" s="146"/>
      <c r="Y4417" s="147"/>
    </row>
    <row r="4418" spans="20:25">
      <c r="T4418" s="146"/>
      <c r="V4418" s="147"/>
      <c r="W4418" s="146"/>
      <c r="Y4418" s="147"/>
    </row>
    <row r="4419" spans="20:25">
      <c r="T4419" s="146"/>
      <c r="V4419" s="147"/>
      <c r="W4419" s="146"/>
      <c r="Y4419" s="147"/>
    </row>
    <row r="4420" spans="20:25">
      <c r="T4420" s="146"/>
      <c r="V4420" s="147"/>
      <c r="W4420" s="146"/>
      <c r="Y4420" s="147"/>
    </row>
    <row r="4421" spans="20:25">
      <c r="T4421" s="146"/>
      <c r="V4421" s="147"/>
      <c r="W4421" s="146"/>
      <c r="Y4421" s="147"/>
    </row>
    <row r="4422" spans="20:25">
      <c r="T4422" s="146"/>
      <c r="V4422" s="147"/>
      <c r="W4422" s="146"/>
      <c r="Y4422" s="147"/>
    </row>
    <row r="4423" spans="20:25">
      <c r="T4423" s="146"/>
      <c r="V4423" s="147"/>
      <c r="W4423" s="146"/>
      <c r="Y4423" s="147"/>
    </row>
    <row r="4424" spans="20:25">
      <c r="T4424" s="146"/>
      <c r="V4424" s="147"/>
      <c r="W4424" s="146"/>
      <c r="Y4424" s="147"/>
    </row>
    <row r="4425" spans="20:25">
      <c r="T4425" s="146"/>
      <c r="V4425" s="147"/>
      <c r="W4425" s="146"/>
      <c r="Y4425" s="147"/>
    </row>
    <row r="4426" spans="20:25">
      <c r="T4426" s="146"/>
      <c r="V4426" s="147"/>
      <c r="W4426" s="146"/>
      <c r="Y4426" s="147"/>
    </row>
    <row r="4427" spans="20:25">
      <c r="T4427" s="146"/>
      <c r="V4427" s="147"/>
      <c r="W4427" s="146"/>
      <c r="Y4427" s="147"/>
    </row>
    <row r="4428" spans="20:25">
      <c r="T4428" s="146"/>
      <c r="V4428" s="147"/>
      <c r="W4428" s="146"/>
      <c r="Y4428" s="147"/>
    </row>
    <row r="4429" spans="20:25">
      <c r="T4429" s="146"/>
      <c r="V4429" s="147"/>
      <c r="W4429" s="146"/>
      <c r="Y4429" s="147"/>
    </row>
    <row r="4430" spans="20:25">
      <c r="T4430" s="146"/>
      <c r="V4430" s="147"/>
      <c r="W4430" s="146"/>
      <c r="Y4430" s="147"/>
    </row>
    <row r="4431" spans="20:25">
      <c r="T4431" s="146"/>
      <c r="V4431" s="147"/>
      <c r="W4431" s="146"/>
      <c r="Y4431" s="147"/>
    </row>
    <row r="4432" spans="20:25">
      <c r="T4432" s="146"/>
      <c r="V4432" s="147"/>
      <c r="W4432" s="146"/>
      <c r="Y4432" s="147"/>
    </row>
    <row r="4433" spans="20:25">
      <c r="T4433" s="146"/>
      <c r="V4433" s="147"/>
      <c r="W4433" s="146"/>
      <c r="Y4433" s="147"/>
    </row>
    <row r="4434" spans="20:25">
      <c r="T4434" s="146"/>
      <c r="V4434" s="147"/>
      <c r="W4434" s="146"/>
      <c r="Y4434" s="147"/>
    </row>
    <row r="4435" spans="20:25">
      <c r="T4435" s="146"/>
      <c r="V4435" s="147"/>
      <c r="W4435" s="146"/>
      <c r="Y4435" s="147"/>
    </row>
    <row r="4436" spans="20:25">
      <c r="T4436" s="146"/>
      <c r="V4436" s="147"/>
      <c r="W4436" s="146"/>
      <c r="Y4436" s="147"/>
    </row>
    <row r="4437" spans="20:25">
      <c r="T4437" s="146"/>
      <c r="V4437" s="147"/>
      <c r="W4437" s="146"/>
      <c r="Y4437" s="147"/>
    </row>
    <row r="4438" spans="20:25">
      <c r="T4438" s="146"/>
      <c r="V4438" s="147"/>
      <c r="W4438" s="146"/>
      <c r="Y4438" s="147"/>
    </row>
    <row r="4439" spans="20:25">
      <c r="T4439" s="146"/>
      <c r="V4439" s="147"/>
      <c r="W4439" s="146"/>
      <c r="Y4439" s="147"/>
    </row>
    <row r="4440" spans="20:25">
      <c r="T4440" s="146"/>
      <c r="V4440" s="147"/>
      <c r="W4440" s="146"/>
      <c r="Y4440" s="147"/>
    </row>
    <row r="4441" spans="20:25">
      <c r="T4441" s="146"/>
      <c r="V4441" s="147"/>
      <c r="W4441" s="146"/>
      <c r="Y4441" s="147"/>
    </row>
    <row r="4442" spans="20:25">
      <c r="T4442" s="146"/>
      <c r="V4442" s="147"/>
      <c r="W4442" s="146"/>
      <c r="Y4442" s="147"/>
    </row>
    <row r="4443" spans="20:25">
      <c r="T4443" s="146"/>
      <c r="V4443" s="147"/>
      <c r="W4443" s="146"/>
      <c r="Y4443" s="147"/>
    </row>
    <row r="4444" spans="20:25">
      <c r="T4444" s="146"/>
      <c r="V4444" s="147"/>
      <c r="W4444" s="146"/>
      <c r="Y4444" s="147"/>
    </row>
    <row r="4445" spans="20:25">
      <c r="T4445" s="146"/>
      <c r="V4445" s="147"/>
      <c r="W4445" s="146"/>
      <c r="Y4445" s="147"/>
    </row>
    <row r="4446" spans="20:25">
      <c r="T4446" s="146"/>
      <c r="V4446" s="147"/>
      <c r="W4446" s="146"/>
      <c r="Y4446" s="147"/>
    </row>
    <row r="4447" spans="20:25">
      <c r="T4447" s="146"/>
      <c r="V4447" s="147"/>
      <c r="W4447" s="146"/>
      <c r="Y4447" s="147"/>
    </row>
    <row r="4448" spans="20:25">
      <c r="T4448" s="146"/>
      <c r="V4448" s="147"/>
      <c r="W4448" s="146"/>
      <c r="Y4448" s="147"/>
    </row>
    <row r="4449" spans="20:25">
      <c r="T4449" s="146"/>
      <c r="V4449" s="147"/>
      <c r="W4449" s="146"/>
      <c r="Y4449" s="147"/>
    </row>
    <row r="4450" spans="20:25">
      <c r="T4450" s="146"/>
      <c r="V4450" s="147"/>
      <c r="W4450" s="146"/>
      <c r="Y4450" s="147"/>
    </row>
    <row r="4451" spans="20:25">
      <c r="T4451" s="146"/>
      <c r="V4451" s="147"/>
      <c r="W4451" s="146"/>
      <c r="Y4451" s="147"/>
    </row>
    <row r="4452" spans="20:25">
      <c r="T4452" s="146"/>
      <c r="V4452" s="147"/>
      <c r="W4452" s="146"/>
      <c r="Y4452" s="147"/>
    </row>
    <row r="4453" spans="20:25">
      <c r="T4453" s="146"/>
      <c r="V4453" s="147"/>
      <c r="W4453" s="146"/>
      <c r="Y4453" s="147"/>
    </row>
    <row r="4454" spans="20:25">
      <c r="T4454" s="146"/>
      <c r="V4454" s="147"/>
      <c r="W4454" s="146"/>
      <c r="Y4454" s="147"/>
    </row>
    <row r="4455" spans="20:25">
      <c r="T4455" s="146"/>
      <c r="V4455" s="147"/>
      <c r="W4455" s="146"/>
      <c r="Y4455" s="147"/>
    </row>
    <row r="4456" spans="20:25">
      <c r="T4456" s="146"/>
      <c r="V4456" s="147"/>
      <c r="W4456" s="146"/>
      <c r="Y4456" s="147"/>
    </row>
    <row r="4457" spans="20:25">
      <c r="T4457" s="146"/>
      <c r="V4457" s="147"/>
      <c r="W4457" s="146"/>
      <c r="Y4457" s="147"/>
    </row>
    <row r="4458" spans="20:25">
      <c r="T4458" s="146"/>
      <c r="V4458" s="147"/>
      <c r="W4458" s="146"/>
      <c r="Y4458" s="147"/>
    </row>
    <row r="4459" spans="20:25">
      <c r="T4459" s="146"/>
      <c r="V4459" s="147"/>
      <c r="W4459" s="146"/>
      <c r="Y4459" s="147"/>
    </row>
    <row r="4460" spans="20:25">
      <c r="T4460" s="146"/>
      <c r="V4460" s="147"/>
      <c r="W4460" s="146"/>
      <c r="Y4460" s="147"/>
    </row>
    <row r="4461" spans="20:25">
      <c r="T4461" s="146"/>
      <c r="V4461" s="147"/>
      <c r="W4461" s="146"/>
      <c r="Y4461" s="147"/>
    </row>
    <row r="4462" spans="20:25">
      <c r="T4462" s="146"/>
      <c r="V4462" s="147"/>
      <c r="W4462" s="146"/>
      <c r="Y4462" s="147"/>
    </row>
    <row r="4463" spans="20:25">
      <c r="T4463" s="146"/>
      <c r="V4463" s="147"/>
      <c r="W4463" s="146"/>
      <c r="Y4463" s="147"/>
    </row>
    <row r="4464" spans="20:25">
      <c r="T4464" s="146"/>
      <c r="V4464" s="147"/>
      <c r="W4464" s="146"/>
      <c r="Y4464" s="147"/>
    </row>
    <row r="4465" spans="20:25">
      <c r="T4465" s="146"/>
      <c r="V4465" s="147"/>
      <c r="W4465" s="146"/>
      <c r="Y4465" s="147"/>
    </row>
    <row r="4466" spans="20:25">
      <c r="T4466" s="146"/>
      <c r="V4466" s="147"/>
      <c r="W4466" s="146"/>
      <c r="Y4466" s="147"/>
    </row>
    <row r="4467" spans="20:25">
      <c r="T4467" s="146"/>
      <c r="V4467" s="147"/>
      <c r="W4467" s="146"/>
      <c r="Y4467" s="147"/>
    </row>
    <row r="4468" spans="20:25">
      <c r="T4468" s="146"/>
      <c r="V4468" s="147"/>
      <c r="W4468" s="146"/>
      <c r="Y4468" s="147"/>
    </row>
    <row r="4469" spans="20:25">
      <c r="T4469" s="146"/>
      <c r="V4469" s="147"/>
      <c r="W4469" s="146"/>
      <c r="Y4469" s="147"/>
    </row>
    <row r="4470" spans="20:25">
      <c r="T4470" s="146"/>
      <c r="V4470" s="147"/>
      <c r="W4470" s="146"/>
      <c r="Y4470" s="147"/>
    </row>
    <row r="4471" spans="20:25">
      <c r="T4471" s="146"/>
      <c r="V4471" s="147"/>
      <c r="W4471" s="146"/>
      <c r="Y4471" s="147"/>
    </row>
    <row r="4472" spans="20:25">
      <c r="T4472" s="146"/>
      <c r="V4472" s="147"/>
      <c r="W4472" s="146"/>
      <c r="Y4472" s="147"/>
    </row>
    <row r="4473" spans="20:25">
      <c r="T4473" s="146"/>
      <c r="V4473" s="147"/>
      <c r="W4473" s="146"/>
      <c r="Y4473" s="147"/>
    </row>
    <row r="4474" spans="20:25">
      <c r="T4474" s="146"/>
      <c r="V4474" s="147"/>
      <c r="W4474" s="146"/>
      <c r="Y4474" s="147"/>
    </row>
    <row r="4475" spans="20:25">
      <c r="T4475" s="146"/>
      <c r="V4475" s="147"/>
      <c r="W4475" s="146"/>
      <c r="Y4475" s="147"/>
    </row>
    <row r="4476" spans="20:25">
      <c r="T4476" s="146"/>
      <c r="V4476" s="147"/>
      <c r="W4476" s="146"/>
      <c r="Y4476" s="147"/>
    </row>
    <row r="4477" spans="20:25">
      <c r="T4477" s="146"/>
      <c r="V4477" s="147"/>
      <c r="W4477" s="146"/>
      <c r="Y4477" s="147"/>
    </row>
    <row r="4478" spans="20:25">
      <c r="T4478" s="146"/>
      <c r="V4478" s="147"/>
      <c r="W4478" s="146"/>
      <c r="Y4478" s="147"/>
    </row>
    <row r="4479" spans="20:25">
      <c r="T4479" s="146"/>
      <c r="V4479" s="147"/>
      <c r="W4479" s="146"/>
      <c r="Y4479" s="147"/>
    </row>
    <row r="4480" spans="20:25">
      <c r="T4480" s="146"/>
      <c r="V4480" s="147"/>
      <c r="W4480" s="146"/>
      <c r="Y4480" s="147"/>
    </row>
    <row r="4481" spans="20:25">
      <c r="T4481" s="146"/>
      <c r="V4481" s="147"/>
      <c r="W4481" s="146"/>
      <c r="Y4481" s="147"/>
    </row>
    <row r="4482" spans="20:25">
      <c r="T4482" s="146"/>
      <c r="V4482" s="147"/>
      <c r="W4482" s="146"/>
      <c r="Y4482" s="147"/>
    </row>
    <row r="4483" spans="20:25">
      <c r="T4483" s="146"/>
      <c r="V4483" s="147"/>
      <c r="W4483" s="146"/>
      <c r="Y4483" s="147"/>
    </row>
    <row r="4484" spans="20:25">
      <c r="T4484" s="146"/>
      <c r="V4484" s="147"/>
      <c r="W4484" s="146"/>
      <c r="Y4484" s="147"/>
    </row>
    <row r="4485" spans="20:25">
      <c r="T4485" s="146"/>
      <c r="V4485" s="147"/>
      <c r="W4485" s="146"/>
      <c r="Y4485" s="147"/>
    </row>
    <row r="4486" spans="20:25">
      <c r="T4486" s="146"/>
      <c r="V4486" s="147"/>
      <c r="W4486" s="146"/>
      <c r="Y4486" s="147"/>
    </row>
    <row r="4487" spans="20:25">
      <c r="T4487" s="146"/>
      <c r="V4487" s="147"/>
      <c r="W4487" s="146"/>
      <c r="Y4487" s="147"/>
    </row>
    <row r="4488" spans="20:25">
      <c r="T4488" s="146"/>
      <c r="V4488" s="147"/>
      <c r="W4488" s="146"/>
      <c r="Y4488" s="147"/>
    </row>
    <row r="4489" spans="20:25">
      <c r="T4489" s="146"/>
      <c r="V4489" s="147"/>
      <c r="W4489" s="146"/>
      <c r="Y4489" s="147"/>
    </row>
    <row r="4490" spans="20:25">
      <c r="T4490" s="146"/>
      <c r="V4490" s="147"/>
      <c r="W4490" s="146"/>
      <c r="Y4490" s="147"/>
    </row>
    <row r="4491" spans="20:25">
      <c r="T4491" s="146"/>
      <c r="V4491" s="147"/>
      <c r="W4491" s="146"/>
      <c r="Y4491" s="147"/>
    </row>
    <row r="4492" spans="20:25">
      <c r="T4492" s="146"/>
      <c r="V4492" s="147"/>
      <c r="W4492" s="146"/>
      <c r="Y4492" s="147"/>
    </row>
    <row r="4493" spans="20:25">
      <c r="T4493" s="146"/>
      <c r="V4493" s="147"/>
      <c r="W4493" s="146"/>
      <c r="Y4493" s="147"/>
    </row>
    <row r="4494" spans="20:25">
      <c r="T4494" s="146"/>
      <c r="V4494" s="147"/>
      <c r="W4494" s="146"/>
      <c r="Y4494" s="147"/>
    </row>
    <row r="4495" spans="20:25">
      <c r="T4495" s="146"/>
      <c r="V4495" s="147"/>
      <c r="W4495" s="146"/>
      <c r="Y4495" s="147"/>
    </row>
    <row r="4496" spans="20:25">
      <c r="T4496" s="146"/>
      <c r="V4496" s="147"/>
      <c r="W4496" s="146"/>
      <c r="Y4496" s="147"/>
    </row>
    <row r="4497" spans="20:25">
      <c r="T4497" s="146"/>
      <c r="V4497" s="147"/>
      <c r="W4497" s="146"/>
      <c r="Y4497" s="147"/>
    </row>
    <row r="4498" spans="20:25">
      <c r="T4498" s="146"/>
      <c r="V4498" s="147"/>
      <c r="W4498" s="146"/>
      <c r="Y4498" s="147"/>
    </row>
    <row r="4499" spans="20:25">
      <c r="T4499" s="146"/>
      <c r="V4499" s="147"/>
      <c r="W4499" s="146"/>
      <c r="Y4499" s="147"/>
    </row>
    <row r="4500" spans="20:25">
      <c r="T4500" s="146"/>
      <c r="V4500" s="147"/>
      <c r="W4500" s="146"/>
      <c r="Y4500" s="147"/>
    </row>
    <row r="4501" spans="20:25">
      <c r="T4501" s="146"/>
      <c r="V4501" s="147"/>
      <c r="W4501" s="146"/>
      <c r="Y4501" s="147"/>
    </row>
    <row r="4502" spans="20:25">
      <c r="T4502" s="146"/>
      <c r="V4502" s="147"/>
      <c r="W4502" s="146"/>
      <c r="Y4502" s="147"/>
    </row>
    <row r="4503" spans="20:25">
      <c r="T4503" s="146"/>
      <c r="V4503" s="147"/>
      <c r="W4503" s="146"/>
      <c r="Y4503" s="147"/>
    </row>
    <row r="4504" spans="20:25">
      <c r="T4504" s="146"/>
      <c r="V4504" s="147"/>
      <c r="W4504" s="146"/>
      <c r="Y4504" s="147"/>
    </row>
    <row r="4505" spans="20:25">
      <c r="T4505" s="146"/>
      <c r="V4505" s="147"/>
      <c r="W4505" s="146"/>
      <c r="Y4505" s="147"/>
    </row>
    <row r="4506" spans="20:25">
      <c r="T4506" s="146"/>
      <c r="V4506" s="147"/>
      <c r="W4506" s="146"/>
      <c r="Y4506" s="147"/>
    </row>
    <row r="4507" spans="20:25">
      <c r="T4507" s="146"/>
      <c r="V4507" s="147"/>
      <c r="W4507" s="146"/>
      <c r="Y4507" s="147"/>
    </row>
    <row r="4508" spans="20:25">
      <c r="T4508" s="146"/>
      <c r="V4508" s="147"/>
      <c r="W4508" s="146"/>
      <c r="Y4508" s="147"/>
    </row>
    <row r="4509" spans="20:25">
      <c r="T4509" s="146"/>
      <c r="V4509" s="147"/>
      <c r="W4509" s="146"/>
      <c r="Y4509" s="147"/>
    </row>
    <row r="4510" spans="20:25">
      <c r="T4510" s="146"/>
      <c r="V4510" s="147"/>
      <c r="W4510" s="146"/>
      <c r="Y4510" s="147"/>
    </row>
    <row r="4511" spans="20:25">
      <c r="T4511" s="146"/>
      <c r="V4511" s="147"/>
      <c r="W4511" s="146"/>
      <c r="Y4511" s="147"/>
    </row>
    <row r="4512" spans="20:25">
      <c r="T4512" s="146"/>
      <c r="V4512" s="147"/>
      <c r="W4512" s="146"/>
      <c r="Y4512" s="147"/>
    </row>
    <row r="4513" spans="20:25">
      <c r="T4513" s="146"/>
      <c r="V4513" s="147"/>
      <c r="W4513" s="146"/>
      <c r="Y4513" s="147"/>
    </row>
    <row r="4514" spans="20:25">
      <c r="T4514" s="146"/>
      <c r="V4514" s="147"/>
      <c r="W4514" s="146"/>
      <c r="Y4514" s="147"/>
    </row>
    <row r="4515" spans="20:25">
      <c r="T4515" s="146"/>
      <c r="V4515" s="147"/>
      <c r="W4515" s="146"/>
      <c r="Y4515" s="147"/>
    </row>
    <row r="4516" spans="20:25">
      <c r="T4516" s="146"/>
      <c r="V4516" s="147"/>
      <c r="W4516" s="146"/>
      <c r="Y4516" s="147"/>
    </row>
    <row r="4517" spans="20:25">
      <c r="T4517" s="146"/>
      <c r="V4517" s="147"/>
      <c r="W4517" s="146"/>
      <c r="Y4517" s="147"/>
    </row>
    <row r="4518" spans="20:25">
      <c r="T4518" s="146"/>
      <c r="V4518" s="147"/>
      <c r="W4518" s="146"/>
      <c r="Y4518" s="147"/>
    </row>
    <row r="4519" spans="20:25">
      <c r="T4519" s="146"/>
      <c r="V4519" s="147"/>
      <c r="W4519" s="146"/>
      <c r="Y4519" s="147"/>
    </row>
    <row r="4520" spans="20:25">
      <c r="T4520" s="146"/>
      <c r="V4520" s="147"/>
      <c r="W4520" s="146"/>
      <c r="Y4520" s="147"/>
    </row>
    <row r="4521" spans="20:25">
      <c r="T4521" s="146"/>
      <c r="V4521" s="147"/>
      <c r="W4521" s="146"/>
      <c r="Y4521" s="147"/>
    </row>
    <row r="4522" spans="20:25">
      <c r="T4522" s="146"/>
      <c r="V4522" s="147"/>
      <c r="W4522" s="146"/>
      <c r="Y4522" s="147"/>
    </row>
    <row r="4523" spans="20:25">
      <c r="T4523" s="146"/>
      <c r="V4523" s="147"/>
      <c r="W4523" s="146"/>
      <c r="Y4523" s="147"/>
    </row>
    <row r="4524" spans="20:25">
      <c r="T4524" s="146"/>
      <c r="V4524" s="147"/>
      <c r="W4524" s="146"/>
      <c r="Y4524" s="147"/>
    </row>
    <row r="4525" spans="20:25">
      <c r="T4525" s="146"/>
      <c r="V4525" s="147"/>
      <c r="W4525" s="146"/>
      <c r="Y4525" s="147"/>
    </row>
    <row r="4526" spans="20:25">
      <c r="T4526" s="146"/>
      <c r="V4526" s="147"/>
      <c r="W4526" s="146"/>
      <c r="Y4526" s="147"/>
    </row>
    <row r="4527" spans="20:25">
      <c r="T4527" s="146"/>
      <c r="V4527" s="147"/>
      <c r="W4527" s="146"/>
      <c r="Y4527" s="147"/>
    </row>
    <row r="4528" spans="20:25">
      <c r="T4528" s="146"/>
      <c r="V4528" s="147"/>
      <c r="W4528" s="146"/>
      <c r="Y4528" s="147"/>
    </row>
    <row r="4529" spans="20:25">
      <c r="T4529" s="146"/>
      <c r="V4529" s="147"/>
      <c r="W4529" s="146"/>
      <c r="Y4529" s="147"/>
    </row>
    <row r="4530" spans="20:25">
      <c r="T4530" s="146"/>
      <c r="V4530" s="147"/>
      <c r="W4530" s="146"/>
      <c r="Y4530" s="147"/>
    </row>
    <row r="4531" spans="20:25">
      <c r="T4531" s="146"/>
      <c r="V4531" s="147"/>
      <c r="W4531" s="146"/>
      <c r="Y4531" s="147"/>
    </row>
    <row r="4532" spans="20:25">
      <c r="T4532" s="146"/>
      <c r="V4532" s="147"/>
      <c r="W4532" s="146"/>
      <c r="Y4532" s="147"/>
    </row>
    <row r="4533" spans="20:25">
      <c r="T4533" s="146"/>
      <c r="V4533" s="147"/>
      <c r="W4533" s="146"/>
      <c r="Y4533" s="147"/>
    </row>
    <row r="4534" spans="20:25">
      <c r="T4534" s="146"/>
      <c r="V4534" s="147"/>
      <c r="W4534" s="146"/>
      <c r="Y4534" s="147"/>
    </row>
    <row r="4535" spans="20:25">
      <c r="T4535" s="146"/>
      <c r="V4535" s="147"/>
      <c r="W4535" s="146"/>
      <c r="Y4535" s="147"/>
    </row>
    <row r="4536" spans="20:25">
      <c r="T4536" s="146"/>
      <c r="V4536" s="147"/>
      <c r="W4536" s="146"/>
      <c r="Y4536" s="147"/>
    </row>
    <row r="4537" spans="20:25">
      <c r="T4537" s="146"/>
      <c r="V4537" s="147"/>
      <c r="W4537" s="146"/>
      <c r="Y4537" s="147"/>
    </row>
    <row r="4538" spans="20:25">
      <c r="T4538" s="146"/>
      <c r="V4538" s="147"/>
      <c r="W4538" s="146"/>
      <c r="Y4538" s="147"/>
    </row>
    <row r="4539" spans="20:25">
      <c r="T4539" s="146"/>
      <c r="V4539" s="147"/>
      <c r="W4539" s="146"/>
      <c r="Y4539" s="147"/>
    </row>
    <row r="4540" spans="20:25">
      <c r="T4540" s="146"/>
      <c r="V4540" s="147"/>
      <c r="W4540" s="146"/>
      <c r="Y4540" s="147"/>
    </row>
    <row r="4541" spans="20:25">
      <c r="T4541" s="146"/>
      <c r="V4541" s="147"/>
      <c r="W4541" s="146"/>
      <c r="Y4541" s="147"/>
    </row>
    <row r="4542" spans="20:25">
      <c r="T4542" s="146"/>
      <c r="V4542" s="147"/>
      <c r="W4542" s="146"/>
      <c r="Y4542" s="147"/>
    </row>
    <row r="4543" spans="20:25">
      <c r="T4543" s="146"/>
      <c r="V4543" s="147"/>
      <c r="W4543" s="146"/>
      <c r="Y4543" s="147"/>
    </row>
    <row r="4544" spans="20:25">
      <c r="T4544" s="146"/>
      <c r="V4544" s="147"/>
      <c r="W4544" s="146"/>
      <c r="Y4544" s="147"/>
    </row>
    <row r="4545" spans="20:25">
      <c r="T4545" s="146"/>
      <c r="V4545" s="147"/>
      <c r="W4545" s="146"/>
      <c r="Y4545" s="147"/>
    </row>
    <row r="4546" spans="20:25">
      <c r="T4546" s="146"/>
      <c r="V4546" s="147"/>
      <c r="W4546" s="146"/>
      <c r="Y4546" s="147"/>
    </row>
    <row r="4547" spans="20:25">
      <c r="T4547" s="146"/>
      <c r="V4547" s="147"/>
      <c r="W4547" s="146"/>
      <c r="Y4547" s="147"/>
    </row>
    <row r="4548" spans="20:25">
      <c r="T4548" s="146"/>
      <c r="V4548" s="147"/>
      <c r="W4548" s="146"/>
      <c r="Y4548" s="147"/>
    </row>
    <row r="4549" spans="20:25">
      <c r="T4549" s="146"/>
      <c r="V4549" s="147"/>
      <c r="W4549" s="146"/>
      <c r="Y4549" s="147"/>
    </row>
    <row r="4550" spans="20:25">
      <c r="T4550" s="146"/>
      <c r="V4550" s="147"/>
      <c r="W4550" s="146"/>
      <c r="Y4550" s="147"/>
    </row>
    <row r="4551" spans="20:25">
      <c r="T4551" s="146"/>
      <c r="V4551" s="147"/>
      <c r="W4551" s="146"/>
      <c r="Y4551" s="147"/>
    </row>
    <row r="4552" spans="20:25">
      <c r="T4552" s="146"/>
      <c r="V4552" s="147"/>
      <c r="W4552" s="146"/>
      <c r="Y4552" s="147"/>
    </row>
    <row r="4553" spans="20:25">
      <c r="T4553" s="146"/>
      <c r="V4553" s="147"/>
      <c r="W4553" s="146"/>
      <c r="Y4553" s="147"/>
    </row>
    <row r="4554" spans="20:25">
      <c r="T4554" s="146"/>
      <c r="V4554" s="147"/>
      <c r="W4554" s="146"/>
      <c r="Y4554" s="147"/>
    </row>
    <row r="4555" spans="20:25">
      <c r="T4555" s="146"/>
      <c r="V4555" s="147"/>
      <c r="W4555" s="146"/>
      <c r="Y4555" s="147"/>
    </row>
    <row r="4556" spans="20:25">
      <c r="T4556" s="146"/>
      <c r="V4556" s="147"/>
      <c r="W4556" s="146"/>
      <c r="Y4556" s="147"/>
    </row>
    <row r="4557" spans="20:25">
      <c r="T4557" s="146"/>
      <c r="V4557" s="147"/>
      <c r="W4557" s="146"/>
      <c r="Y4557" s="147"/>
    </row>
    <row r="4558" spans="20:25">
      <c r="T4558" s="146"/>
      <c r="V4558" s="147"/>
      <c r="W4558" s="146"/>
      <c r="Y4558" s="147"/>
    </row>
    <row r="4559" spans="20:25">
      <c r="T4559" s="146"/>
      <c r="V4559" s="147"/>
      <c r="W4559" s="146"/>
      <c r="Y4559" s="147"/>
    </row>
    <row r="4560" spans="20:25">
      <c r="T4560" s="146"/>
      <c r="V4560" s="147"/>
      <c r="W4560" s="146"/>
      <c r="Y4560" s="147"/>
    </row>
    <row r="4561" spans="20:25">
      <c r="T4561" s="146"/>
      <c r="V4561" s="147"/>
      <c r="W4561" s="146"/>
      <c r="Y4561" s="147"/>
    </row>
    <row r="4562" spans="20:25">
      <c r="T4562" s="146"/>
      <c r="V4562" s="147"/>
      <c r="W4562" s="146"/>
      <c r="Y4562" s="147"/>
    </row>
    <row r="4563" spans="20:25">
      <c r="T4563" s="146"/>
      <c r="V4563" s="147"/>
      <c r="W4563" s="146"/>
      <c r="Y4563" s="147"/>
    </row>
    <row r="4564" spans="20:25">
      <c r="T4564" s="146"/>
      <c r="V4564" s="147"/>
      <c r="W4564" s="146"/>
      <c r="Y4564" s="147"/>
    </row>
    <row r="4565" spans="20:25">
      <c r="T4565" s="146"/>
      <c r="V4565" s="147"/>
      <c r="W4565" s="146"/>
      <c r="Y4565" s="147"/>
    </row>
    <row r="4566" spans="20:25">
      <c r="T4566" s="146"/>
      <c r="V4566" s="147"/>
      <c r="W4566" s="146"/>
      <c r="Y4566" s="147"/>
    </row>
    <row r="4567" spans="20:25">
      <c r="T4567" s="146"/>
      <c r="V4567" s="147"/>
      <c r="W4567" s="146"/>
      <c r="Y4567" s="147"/>
    </row>
    <row r="4568" spans="20:25">
      <c r="T4568" s="146"/>
      <c r="V4568" s="147"/>
      <c r="W4568" s="146"/>
      <c r="Y4568" s="147"/>
    </row>
    <row r="4569" spans="20:25">
      <c r="T4569" s="146"/>
      <c r="V4569" s="147"/>
      <c r="W4569" s="146"/>
      <c r="Y4569" s="147"/>
    </row>
    <row r="4570" spans="20:25">
      <c r="T4570" s="146"/>
      <c r="V4570" s="147"/>
      <c r="W4570" s="146"/>
      <c r="Y4570" s="147"/>
    </row>
    <row r="4571" spans="20:25">
      <c r="T4571" s="146"/>
      <c r="V4571" s="147"/>
      <c r="W4571" s="146"/>
      <c r="Y4571" s="147"/>
    </row>
    <row r="4572" spans="20:25">
      <c r="T4572" s="146"/>
      <c r="V4572" s="147"/>
      <c r="W4572" s="146"/>
      <c r="Y4572" s="147"/>
    </row>
    <row r="4573" spans="20:25">
      <c r="T4573" s="146"/>
      <c r="V4573" s="147"/>
      <c r="W4573" s="146"/>
      <c r="Y4573" s="147"/>
    </row>
    <row r="4574" spans="20:25">
      <c r="T4574" s="146"/>
      <c r="V4574" s="147"/>
      <c r="W4574" s="146"/>
      <c r="Y4574" s="147"/>
    </row>
    <row r="4575" spans="20:25">
      <c r="T4575" s="146"/>
      <c r="V4575" s="147"/>
      <c r="W4575" s="146"/>
      <c r="Y4575" s="147"/>
    </row>
    <row r="4576" spans="20:25">
      <c r="T4576" s="146"/>
      <c r="V4576" s="147"/>
      <c r="W4576" s="146"/>
      <c r="Y4576" s="147"/>
    </row>
    <row r="4577" spans="20:25">
      <c r="T4577" s="146"/>
      <c r="V4577" s="147"/>
      <c r="W4577" s="146"/>
      <c r="Y4577" s="147"/>
    </row>
    <row r="4578" spans="20:25">
      <c r="T4578" s="146"/>
      <c r="V4578" s="147"/>
      <c r="W4578" s="146"/>
      <c r="Y4578" s="147"/>
    </row>
    <row r="4579" spans="20:25">
      <c r="T4579" s="146"/>
      <c r="V4579" s="147"/>
      <c r="W4579" s="146"/>
      <c r="Y4579" s="147"/>
    </row>
    <row r="4580" spans="20:25">
      <c r="T4580" s="146"/>
      <c r="V4580" s="147"/>
      <c r="W4580" s="146"/>
      <c r="Y4580" s="147"/>
    </row>
    <row r="4581" spans="20:25">
      <c r="T4581" s="146"/>
      <c r="V4581" s="147"/>
      <c r="W4581" s="146"/>
      <c r="Y4581" s="147"/>
    </row>
    <row r="4582" spans="20:25">
      <c r="T4582" s="146"/>
      <c r="V4582" s="147"/>
      <c r="W4582" s="146"/>
      <c r="Y4582" s="147"/>
    </row>
    <row r="4583" spans="20:25">
      <c r="T4583" s="146"/>
      <c r="V4583" s="147"/>
      <c r="W4583" s="146"/>
      <c r="Y4583" s="147"/>
    </row>
    <row r="4584" spans="20:25">
      <c r="T4584" s="146"/>
      <c r="V4584" s="147"/>
      <c r="W4584" s="146"/>
      <c r="Y4584" s="147"/>
    </row>
    <row r="4585" spans="20:25">
      <c r="T4585" s="146"/>
      <c r="V4585" s="147"/>
      <c r="W4585" s="146"/>
      <c r="Y4585" s="147"/>
    </row>
    <row r="4586" spans="20:25">
      <c r="T4586" s="146"/>
      <c r="V4586" s="147"/>
      <c r="W4586" s="146"/>
      <c r="Y4586" s="147"/>
    </row>
    <row r="4587" spans="20:25">
      <c r="T4587" s="146"/>
      <c r="V4587" s="147"/>
      <c r="W4587" s="146"/>
      <c r="Y4587" s="147"/>
    </row>
    <row r="4588" spans="20:25">
      <c r="T4588" s="146"/>
      <c r="V4588" s="147"/>
      <c r="W4588" s="146"/>
      <c r="Y4588" s="147"/>
    </row>
    <row r="4589" spans="20:25">
      <c r="T4589" s="146"/>
      <c r="V4589" s="147"/>
      <c r="W4589" s="146"/>
      <c r="Y4589" s="147"/>
    </row>
    <row r="4590" spans="20:25">
      <c r="T4590" s="146"/>
      <c r="V4590" s="147"/>
      <c r="W4590" s="146"/>
      <c r="Y4590" s="147"/>
    </row>
    <row r="4591" spans="20:25">
      <c r="T4591" s="146"/>
      <c r="V4591" s="147"/>
      <c r="W4591" s="146"/>
      <c r="Y4591" s="147"/>
    </row>
    <row r="4592" spans="20:25">
      <c r="T4592" s="146"/>
      <c r="V4592" s="147"/>
      <c r="W4592" s="146"/>
      <c r="Y4592" s="147"/>
    </row>
    <row r="4593" spans="20:25">
      <c r="T4593" s="146"/>
      <c r="V4593" s="147"/>
      <c r="W4593" s="146"/>
      <c r="Y4593" s="147"/>
    </row>
    <row r="4594" spans="20:25">
      <c r="T4594" s="146"/>
      <c r="V4594" s="147"/>
      <c r="W4594" s="146"/>
      <c r="Y4594" s="147"/>
    </row>
    <row r="4595" spans="20:25">
      <c r="T4595" s="146"/>
      <c r="V4595" s="147"/>
      <c r="W4595" s="146"/>
      <c r="Y4595" s="147"/>
    </row>
    <row r="4596" spans="20:25">
      <c r="T4596" s="146"/>
      <c r="V4596" s="147"/>
      <c r="W4596" s="146"/>
      <c r="Y4596" s="147"/>
    </row>
    <row r="4597" spans="20:25">
      <c r="T4597" s="146"/>
      <c r="V4597" s="147"/>
      <c r="W4597" s="146"/>
      <c r="Y4597" s="147"/>
    </row>
    <row r="4598" spans="20:25">
      <c r="T4598" s="146"/>
      <c r="V4598" s="147"/>
      <c r="W4598" s="146"/>
      <c r="Y4598" s="147"/>
    </row>
    <row r="4599" spans="20:25">
      <c r="T4599" s="146"/>
      <c r="V4599" s="147"/>
      <c r="W4599" s="146"/>
      <c r="Y4599" s="147"/>
    </row>
    <row r="4600" spans="20:25">
      <c r="T4600" s="146"/>
      <c r="V4600" s="147"/>
      <c r="W4600" s="146"/>
      <c r="Y4600" s="147"/>
    </row>
    <row r="4601" spans="20:25">
      <c r="T4601" s="146"/>
      <c r="V4601" s="147"/>
      <c r="W4601" s="146"/>
      <c r="Y4601" s="147"/>
    </row>
    <row r="4602" spans="20:25">
      <c r="T4602" s="146"/>
      <c r="V4602" s="147"/>
      <c r="W4602" s="146"/>
      <c r="Y4602" s="147"/>
    </row>
    <row r="4603" spans="20:25">
      <c r="T4603" s="146"/>
      <c r="V4603" s="147"/>
      <c r="W4603" s="146"/>
      <c r="Y4603" s="147"/>
    </row>
    <row r="4604" spans="20:25">
      <c r="T4604" s="146"/>
      <c r="V4604" s="147"/>
      <c r="W4604" s="146"/>
      <c r="Y4604" s="147"/>
    </row>
    <row r="4605" spans="20:25">
      <c r="T4605" s="146"/>
      <c r="V4605" s="147"/>
      <c r="W4605" s="146"/>
      <c r="Y4605" s="147"/>
    </row>
    <row r="4606" spans="20:25">
      <c r="T4606" s="146"/>
      <c r="V4606" s="147"/>
      <c r="W4606" s="146"/>
      <c r="Y4606" s="147"/>
    </row>
    <row r="4607" spans="20:25">
      <c r="T4607" s="146"/>
      <c r="V4607" s="147"/>
      <c r="W4607" s="146"/>
      <c r="Y4607" s="147"/>
    </row>
    <row r="4608" spans="20:25">
      <c r="T4608" s="146"/>
      <c r="V4608" s="147"/>
      <c r="W4608" s="146"/>
      <c r="Y4608" s="147"/>
    </row>
    <row r="4609" spans="20:25">
      <c r="T4609" s="146"/>
      <c r="V4609" s="147"/>
      <c r="W4609" s="146"/>
      <c r="Y4609" s="147"/>
    </row>
    <row r="4610" spans="20:25">
      <c r="T4610" s="146"/>
      <c r="V4610" s="147"/>
      <c r="W4610" s="146"/>
      <c r="Y4610" s="147"/>
    </row>
    <row r="4611" spans="20:25">
      <c r="T4611" s="146"/>
      <c r="V4611" s="147"/>
      <c r="W4611" s="146"/>
      <c r="Y4611" s="147"/>
    </row>
    <row r="4612" spans="20:25">
      <c r="T4612" s="146"/>
      <c r="V4612" s="147"/>
      <c r="W4612" s="146"/>
      <c r="Y4612" s="147"/>
    </row>
    <row r="4613" spans="20:25">
      <c r="T4613" s="146"/>
      <c r="V4613" s="147"/>
      <c r="W4613" s="146"/>
      <c r="Y4613" s="147"/>
    </row>
    <row r="4614" spans="20:25">
      <c r="T4614" s="146"/>
      <c r="V4614" s="147"/>
      <c r="W4614" s="146"/>
      <c r="Y4614" s="147"/>
    </row>
    <row r="4615" spans="20:25">
      <c r="T4615" s="146"/>
      <c r="V4615" s="147"/>
      <c r="W4615" s="146"/>
      <c r="Y4615" s="147"/>
    </row>
    <row r="4616" spans="20:25">
      <c r="T4616" s="146"/>
      <c r="V4616" s="147"/>
      <c r="W4616" s="146"/>
      <c r="Y4616" s="147"/>
    </row>
    <row r="4617" spans="20:25">
      <c r="T4617" s="146"/>
      <c r="V4617" s="147"/>
      <c r="W4617" s="146"/>
      <c r="Y4617" s="147"/>
    </row>
    <row r="4618" spans="20:25">
      <c r="T4618" s="146"/>
      <c r="V4618" s="147"/>
      <c r="W4618" s="146"/>
      <c r="Y4618" s="147"/>
    </row>
    <row r="4619" spans="20:25">
      <c r="T4619" s="146"/>
      <c r="V4619" s="147"/>
      <c r="W4619" s="146"/>
      <c r="Y4619" s="147"/>
    </row>
    <row r="4620" spans="20:25">
      <c r="T4620" s="146"/>
      <c r="V4620" s="147"/>
      <c r="W4620" s="146"/>
      <c r="Y4620" s="147"/>
    </row>
    <row r="4621" spans="20:25">
      <c r="T4621" s="146"/>
      <c r="V4621" s="147"/>
      <c r="W4621" s="146"/>
      <c r="Y4621" s="147"/>
    </row>
    <row r="4622" spans="20:25">
      <c r="T4622" s="146"/>
      <c r="V4622" s="147"/>
      <c r="W4622" s="146"/>
      <c r="Y4622" s="147"/>
    </row>
    <row r="4623" spans="20:25">
      <c r="T4623" s="146"/>
      <c r="V4623" s="147"/>
      <c r="W4623" s="146"/>
      <c r="Y4623" s="147"/>
    </row>
    <row r="4624" spans="20:25">
      <c r="T4624" s="146"/>
      <c r="V4624" s="147"/>
      <c r="W4624" s="146"/>
      <c r="Y4624" s="147"/>
    </row>
    <row r="4625" spans="20:25">
      <c r="T4625" s="146"/>
      <c r="V4625" s="147"/>
      <c r="W4625" s="146"/>
      <c r="Y4625" s="147"/>
    </row>
    <row r="4626" spans="20:25">
      <c r="T4626" s="146"/>
      <c r="V4626" s="147"/>
      <c r="W4626" s="146"/>
      <c r="Y4626" s="147"/>
    </row>
    <row r="4627" spans="20:25">
      <c r="T4627" s="146"/>
      <c r="V4627" s="147"/>
      <c r="W4627" s="146"/>
      <c r="Y4627" s="147"/>
    </row>
    <row r="4628" spans="20:25">
      <c r="T4628" s="146"/>
      <c r="V4628" s="147"/>
      <c r="W4628" s="146"/>
      <c r="Y4628" s="147"/>
    </row>
    <row r="4629" spans="20:25">
      <c r="T4629" s="146"/>
      <c r="V4629" s="147"/>
      <c r="W4629" s="146"/>
      <c r="Y4629" s="147"/>
    </row>
    <row r="4630" spans="20:25">
      <c r="T4630" s="146"/>
      <c r="V4630" s="147"/>
      <c r="W4630" s="146"/>
      <c r="Y4630" s="147"/>
    </row>
    <row r="4631" spans="20:25">
      <c r="T4631" s="146"/>
      <c r="V4631" s="147"/>
      <c r="W4631" s="146"/>
      <c r="Y4631" s="147"/>
    </row>
    <row r="4632" spans="20:25">
      <c r="T4632" s="146"/>
      <c r="V4632" s="147"/>
      <c r="W4632" s="146"/>
      <c r="Y4632" s="147"/>
    </row>
    <row r="4633" spans="20:25">
      <c r="T4633" s="146"/>
      <c r="V4633" s="147"/>
      <c r="W4633" s="146"/>
      <c r="Y4633" s="147"/>
    </row>
    <row r="4634" spans="20:25">
      <c r="T4634" s="146"/>
      <c r="V4634" s="147"/>
      <c r="W4634" s="146"/>
      <c r="Y4634" s="147"/>
    </row>
    <row r="4635" spans="20:25">
      <c r="T4635" s="146"/>
      <c r="V4635" s="147"/>
      <c r="W4635" s="146"/>
      <c r="Y4635" s="147"/>
    </row>
    <row r="4636" spans="20:25">
      <c r="T4636" s="146"/>
      <c r="V4636" s="147"/>
      <c r="W4636" s="146"/>
      <c r="Y4636" s="147"/>
    </row>
    <row r="4637" spans="20:25">
      <c r="T4637" s="146"/>
      <c r="V4637" s="147"/>
      <c r="W4637" s="146"/>
      <c r="Y4637" s="147"/>
    </row>
    <row r="4638" spans="20:25">
      <c r="T4638" s="146"/>
      <c r="V4638" s="147"/>
      <c r="W4638" s="146"/>
      <c r="Y4638" s="147"/>
    </row>
    <row r="4639" spans="20:25">
      <c r="T4639" s="146"/>
      <c r="V4639" s="147"/>
      <c r="W4639" s="146"/>
      <c r="Y4639" s="147"/>
    </row>
    <row r="4640" spans="20:25">
      <c r="T4640" s="146"/>
      <c r="V4640" s="147"/>
      <c r="W4640" s="146"/>
      <c r="Y4640" s="147"/>
    </row>
    <row r="4641" spans="20:25">
      <c r="T4641" s="146"/>
      <c r="V4641" s="147"/>
      <c r="W4641" s="146"/>
      <c r="Y4641" s="147"/>
    </row>
    <row r="4642" spans="20:25">
      <c r="T4642" s="146"/>
      <c r="V4642" s="147"/>
      <c r="W4642" s="146"/>
      <c r="Y4642" s="147"/>
    </row>
    <row r="4643" spans="20:25">
      <c r="T4643" s="146"/>
      <c r="V4643" s="147"/>
      <c r="W4643" s="146"/>
      <c r="Y4643" s="147"/>
    </row>
    <row r="4644" spans="20:25">
      <c r="T4644" s="146"/>
      <c r="V4644" s="147"/>
      <c r="W4644" s="146"/>
      <c r="Y4644" s="147"/>
    </row>
    <row r="4645" spans="20:25">
      <c r="T4645" s="146"/>
      <c r="V4645" s="147"/>
      <c r="W4645" s="146"/>
      <c r="Y4645" s="147"/>
    </row>
    <row r="4646" spans="20:25">
      <c r="T4646" s="146"/>
      <c r="V4646" s="147"/>
      <c r="W4646" s="146"/>
      <c r="Y4646" s="147"/>
    </row>
    <row r="4647" spans="20:25">
      <c r="T4647" s="146"/>
      <c r="V4647" s="147"/>
      <c r="W4647" s="146"/>
      <c r="Y4647" s="147"/>
    </row>
    <row r="4648" spans="20:25">
      <c r="T4648" s="146"/>
      <c r="V4648" s="147"/>
      <c r="W4648" s="146"/>
      <c r="Y4648" s="147"/>
    </row>
    <row r="4649" spans="20:25">
      <c r="T4649" s="146"/>
      <c r="V4649" s="147"/>
      <c r="W4649" s="146"/>
      <c r="Y4649" s="147"/>
    </row>
    <row r="4650" spans="20:25">
      <c r="T4650" s="146"/>
      <c r="V4650" s="147"/>
      <c r="W4650" s="146"/>
      <c r="Y4650" s="147"/>
    </row>
    <row r="4651" spans="20:25">
      <c r="T4651" s="146"/>
      <c r="V4651" s="147"/>
      <c r="W4651" s="146"/>
      <c r="Y4651" s="147"/>
    </row>
    <row r="4652" spans="20:25">
      <c r="T4652" s="146"/>
      <c r="V4652" s="147"/>
      <c r="W4652" s="146"/>
      <c r="Y4652" s="147"/>
    </row>
    <row r="4653" spans="20:25">
      <c r="T4653" s="146"/>
      <c r="V4653" s="147"/>
      <c r="W4653" s="146"/>
      <c r="Y4653" s="147"/>
    </row>
    <row r="4654" spans="20:25">
      <c r="T4654" s="146"/>
      <c r="V4654" s="147"/>
      <c r="W4654" s="146"/>
      <c r="Y4654" s="147"/>
    </row>
    <row r="4655" spans="20:25">
      <c r="T4655" s="146"/>
      <c r="V4655" s="147"/>
      <c r="W4655" s="146"/>
      <c r="Y4655" s="147"/>
    </row>
    <row r="4656" spans="20:25">
      <c r="T4656" s="146"/>
      <c r="V4656" s="147"/>
      <c r="W4656" s="146"/>
      <c r="Y4656" s="147"/>
    </row>
    <row r="4657" spans="20:25">
      <c r="T4657" s="146"/>
      <c r="V4657" s="147"/>
      <c r="W4657" s="146"/>
      <c r="Y4657" s="147"/>
    </row>
    <row r="4658" spans="20:25">
      <c r="T4658" s="146"/>
      <c r="V4658" s="147"/>
      <c r="W4658" s="146"/>
      <c r="Y4658" s="147"/>
    </row>
    <row r="4659" spans="20:25">
      <c r="T4659" s="146"/>
      <c r="V4659" s="147"/>
      <c r="W4659" s="146"/>
      <c r="Y4659" s="147"/>
    </row>
    <row r="4660" spans="20:25">
      <c r="T4660" s="146"/>
      <c r="V4660" s="147"/>
      <c r="W4660" s="146"/>
      <c r="Y4660" s="147"/>
    </row>
    <row r="4661" spans="20:25">
      <c r="T4661" s="146"/>
      <c r="V4661" s="147"/>
      <c r="W4661" s="146"/>
      <c r="Y4661" s="147"/>
    </row>
    <row r="4662" spans="20:25">
      <c r="T4662" s="146"/>
      <c r="V4662" s="147"/>
      <c r="W4662" s="146"/>
      <c r="Y4662" s="147"/>
    </row>
    <row r="4663" spans="20:25">
      <c r="T4663" s="146"/>
      <c r="V4663" s="147"/>
      <c r="W4663" s="146"/>
      <c r="Y4663" s="147"/>
    </row>
    <row r="4664" spans="20:25">
      <c r="T4664" s="146"/>
      <c r="V4664" s="147"/>
      <c r="W4664" s="146"/>
      <c r="Y4664" s="147"/>
    </row>
    <row r="4665" spans="20:25">
      <c r="T4665" s="146"/>
      <c r="V4665" s="147"/>
      <c r="W4665" s="146"/>
      <c r="Y4665" s="147"/>
    </row>
    <row r="4666" spans="20:25">
      <c r="T4666" s="146"/>
      <c r="V4666" s="147"/>
      <c r="W4666" s="146"/>
      <c r="Y4666" s="147"/>
    </row>
    <row r="4667" spans="20:25">
      <c r="T4667" s="146"/>
      <c r="V4667" s="147"/>
      <c r="W4667" s="146"/>
      <c r="Y4667" s="147"/>
    </row>
    <row r="4668" spans="20:25">
      <c r="T4668" s="146"/>
      <c r="V4668" s="147"/>
      <c r="W4668" s="146"/>
      <c r="Y4668" s="147"/>
    </row>
    <row r="4669" spans="20:25">
      <c r="T4669" s="146"/>
      <c r="V4669" s="147"/>
      <c r="W4669" s="146"/>
      <c r="Y4669" s="147"/>
    </row>
    <row r="4670" spans="20:25">
      <c r="T4670" s="146"/>
      <c r="V4670" s="147"/>
      <c r="W4670" s="146"/>
      <c r="Y4670" s="147"/>
    </row>
    <row r="4671" spans="20:25">
      <c r="T4671" s="146"/>
      <c r="V4671" s="147"/>
      <c r="W4671" s="146"/>
      <c r="Y4671" s="147"/>
    </row>
    <row r="4672" spans="20:25">
      <c r="T4672" s="146"/>
      <c r="V4672" s="147"/>
      <c r="W4672" s="146"/>
      <c r="Y4672" s="147"/>
    </row>
    <row r="4673" spans="20:25">
      <c r="T4673" s="146"/>
      <c r="V4673" s="147"/>
      <c r="W4673" s="146"/>
      <c r="Y4673" s="147"/>
    </row>
    <row r="4674" spans="20:25">
      <c r="T4674" s="146"/>
      <c r="V4674" s="147"/>
      <c r="W4674" s="146"/>
      <c r="Y4674" s="147"/>
    </row>
    <row r="4675" spans="20:25">
      <c r="T4675" s="146"/>
      <c r="V4675" s="147"/>
      <c r="W4675" s="146"/>
      <c r="Y4675" s="147"/>
    </row>
    <row r="4676" spans="20:25">
      <c r="T4676" s="146"/>
      <c r="V4676" s="147"/>
      <c r="W4676" s="146"/>
      <c r="Y4676" s="147"/>
    </row>
    <row r="4677" spans="20:25">
      <c r="T4677" s="146"/>
      <c r="V4677" s="147"/>
      <c r="W4677" s="146"/>
      <c r="Y4677" s="147"/>
    </row>
    <row r="4678" spans="20:25">
      <c r="T4678" s="146"/>
      <c r="V4678" s="147"/>
      <c r="W4678" s="146"/>
      <c r="Y4678" s="147"/>
    </row>
    <row r="4679" spans="20:25">
      <c r="T4679" s="146"/>
      <c r="V4679" s="147"/>
      <c r="W4679" s="146"/>
      <c r="Y4679" s="147"/>
    </row>
    <row r="4680" spans="20:25">
      <c r="T4680" s="146"/>
      <c r="V4680" s="147"/>
      <c r="W4680" s="146"/>
      <c r="Y4680" s="147"/>
    </row>
    <row r="4681" spans="20:25">
      <c r="T4681" s="146"/>
      <c r="V4681" s="147"/>
      <c r="W4681" s="146"/>
      <c r="Y4681" s="147"/>
    </row>
    <row r="4682" spans="20:25">
      <c r="T4682" s="146"/>
      <c r="V4682" s="147"/>
      <c r="W4682" s="146"/>
      <c r="Y4682" s="147"/>
    </row>
    <row r="4683" spans="20:25">
      <c r="T4683" s="146"/>
      <c r="V4683" s="147"/>
      <c r="W4683" s="146"/>
      <c r="Y4683" s="147"/>
    </row>
    <row r="4684" spans="20:25">
      <c r="T4684" s="146"/>
      <c r="V4684" s="147"/>
      <c r="W4684" s="146"/>
      <c r="Y4684" s="147"/>
    </row>
    <row r="4685" spans="20:25">
      <c r="T4685" s="146"/>
      <c r="V4685" s="147"/>
      <c r="W4685" s="146"/>
      <c r="Y4685" s="147"/>
    </row>
    <row r="4686" spans="20:25">
      <c r="T4686" s="146"/>
      <c r="V4686" s="147"/>
      <c r="W4686" s="146"/>
      <c r="Y4686" s="147"/>
    </row>
    <row r="4687" spans="20:25">
      <c r="T4687" s="146"/>
      <c r="V4687" s="147"/>
      <c r="W4687" s="146"/>
      <c r="Y4687" s="147"/>
    </row>
    <row r="4688" spans="20:25">
      <c r="T4688" s="146"/>
      <c r="V4688" s="147"/>
      <c r="W4688" s="146"/>
      <c r="Y4688" s="147"/>
    </row>
    <row r="4689" spans="20:25">
      <c r="T4689" s="146"/>
      <c r="V4689" s="147"/>
      <c r="W4689" s="146"/>
      <c r="Y4689" s="147"/>
    </row>
    <row r="4690" spans="20:25">
      <c r="T4690" s="146"/>
      <c r="V4690" s="147"/>
      <c r="W4690" s="146"/>
      <c r="Y4690" s="147"/>
    </row>
    <row r="4691" spans="20:25">
      <c r="T4691" s="146"/>
      <c r="V4691" s="147"/>
      <c r="W4691" s="146"/>
      <c r="Y4691" s="147"/>
    </row>
    <row r="4692" spans="20:25">
      <c r="T4692" s="146"/>
      <c r="V4692" s="147"/>
      <c r="W4692" s="146"/>
      <c r="Y4692" s="147"/>
    </row>
    <row r="4693" spans="20:25">
      <c r="T4693" s="146"/>
      <c r="V4693" s="147"/>
      <c r="W4693" s="146"/>
      <c r="Y4693" s="147"/>
    </row>
    <row r="4694" spans="20:25">
      <c r="T4694" s="146"/>
      <c r="V4694" s="147"/>
      <c r="W4694" s="146"/>
      <c r="Y4694" s="147"/>
    </row>
    <row r="4695" spans="20:25">
      <c r="T4695" s="146"/>
      <c r="V4695" s="147"/>
      <c r="W4695" s="146"/>
      <c r="Y4695" s="147"/>
    </row>
    <row r="4696" spans="20:25">
      <c r="T4696" s="146"/>
      <c r="V4696" s="147"/>
      <c r="W4696" s="146"/>
      <c r="Y4696" s="147"/>
    </row>
    <row r="4697" spans="20:25">
      <c r="T4697" s="146"/>
      <c r="V4697" s="147"/>
      <c r="W4697" s="146"/>
      <c r="Y4697" s="147"/>
    </row>
    <row r="4698" spans="20:25">
      <c r="T4698" s="146"/>
      <c r="V4698" s="147"/>
      <c r="W4698" s="146"/>
      <c r="Y4698" s="147"/>
    </row>
    <row r="4699" spans="20:25">
      <c r="T4699" s="146"/>
      <c r="V4699" s="147"/>
      <c r="W4699" s="146"/>
      <c r="Y4699" s="147"/>
    </row>
    <row r="4700" spans="20:25">
      <c r="T4700" s="146"/>
      <c r="V4700" s="147"/>
      <c r="W4700" s="146"/>
      <c r="Y4700" s="147"/>
    </row>
    <row r="4701" spans="20:25">
      <c r="T4701" s="146"/>
      <c r="V4701" s="147"/>
      <c r="W4701" s="146"/>
      <c r="Y4701" s="147"/>
    </row>
    <row r="4702" spans="20:25">
      <c r="T4702" s="146"/>
      <c r="V4702" s="147"/>
      <c r="W4702" s="146"/>
      <c r="Y4702" s="147"/>
    </row>
    <row r="4703" spans="20:25">
      <c r="T4703" s="146"/>
      <c r="V4703" s="147"/>
      <c r="W4703" s="146"/>
      <c r="Y4703" s="147"/>
    </row>
    <row r="4704" spans="20:25">
      <c r="T4704" s="146"/>
      <c r="V4704" s="147"/>
      <c r="W4704" s="146"/>
      <c r="Y4704" s="147"/>
    </row>
    <row r="4705" spans="20:25">
      <c r="T4705" s="146"/>
      <c r="V4705" s="147"/>
      <c r="W4705" s="146"/>
      <c r="Y4705" s="147"/>
    </row>
    <row r="4706" spans="20:25">
      <c r="T4706" s="146"/>
      <c r="V4706" s="147"/>
      <c r="W4706" s="146"/>
      <c r="Y4706" s="147"/>
    </row>
    <row r="4707" spans="20:25">
      <c r="T4707" s="146"/>
      <c r="V4707" s="147"/>
      <c r="W4707" s="146"/>
      <c r="Y4707" s="147"/>
    </row>
    <row r="4708" spans="20:25">
      <c r="T4708" s="146"/>
      <c r="V4708" s="147"/>
      <c r="W4708" s="146"/>
      <c r="Y4708" s="147"/>
    </row>
    <row r="4709" spans="20:25">
      <c r="T4709" s="146"/>
      <c r="V4709" s="147"/>
      <c r="W4709" s="146"/>
      <c r="Y4709" s="147"/>
    </row>
    <row r="4710" spans="20:25">
      <c r="T4710" s="146"/>
      <c r="V4710" s="147"/>
      <c r="W4710" s="146"/>
      <c r="Y4710" s="147"/>
    </row>
    <row r="4711" spans="20:25">
      <c r="T4711" s="146"/>
      <c r="V4711" s="147"/>
      <c r="W4711" s="146"/>
      <c r="Y4711" s="147"/>
    </row>
    <row r="4712" spans="20:25">
      <c r="T4712" s="146"/>
      <c r="V4712" s="147"/>
      <c r="W4712" s="146"/>
      <c r="Y4712" s="147"/>
    </row>
    <row r="4713" spans="20:25">
      <c r="T4713" s="146"/>
      <c r="V4713" s="147"/>
      <c r="W4713" s="146"/>
      <c r="Y4713" s="147"/>
    </row>
    <row r="4714" spans="20:25">
      <c r="T4714" s="146"/>
      <c r="V4714" s="147"/>
      <c r="W4714" s="146"/>
      <c r="Y4714" s="147"/>
    </row>
    <row r="4715" spans="20:25">
      <c r="T4715" s="146"/>
      <c r="V4715" s="147"/>
      <c r="W4715" s="146"/>
      <c r="Y4715" s="147"/>
    </row>
    <row r="4716" spans="20:25">
      <c r="T4716" s="146"/>
      <c r="V4716" s="147"/>
      <c r="W4716" s="146"/>
      <c r="Y4716" s="147"/>
    </row>
    <row r="4717" spans="20:25">
      <c r="T4717" s="146"/>
      <c r="V4717" s="147"/>
      <c r="W4717" s="146"/>
      <c r="Y4717" s="147"/>
    </row>
    <row r="4718" spans="20:25">
      <c r="T4718" s="146"/>
      <c r="V4718" s="147"/>
      <c r="W4718" s="146"/>
      <c r="Y4718" s="147"/>
    </row>
    <row r="4719" spans="20:25">
      <c r="T4719" s="146"/>
      <c r="V4719" s="147"/>
      <c r="W4719" s="146"/>
      <c r="Y4719" s="147"/>
    </row>
    <row r="4720" spans="20:25">
      <c r="T4720" s="146"/>
      <c r="V4720" s="147"/>
      <c r="W4720" s="146"/>
      <c r="Y4720" s="147"/>
    </row>
    <row r="4721" spans="20:25">
      <c r="T4721" s="146"/>
      <c r="V4721" s="147"/>
      <c r="W4721" s="146"/>
      <c r="Y4721" s="147"/>
    </row>
    <row r="4722" spans="20:25">
      <c r="T4722" s="146"/>
      <c r="V4722" s="147"/>
      <c r="W4722" s="146"/>
      <c r="Y4722" s="147"/>
    </row>
    <row r="4723" spans="20:25">
      <c r="T4723" s="146"/>
      <c r="V4723" s="147"/>
      <c r="W4723" s="146"/>
      <c r="Y4723" s="147"/>
    </row>
    <row r="4724" spans="20:25">
      <c r="T4724" s="146"/>
      <c r="V4724" s="147"/>
      <c r="W4724" s="146"/>
      <c r="Y4724" s="147"/>
    </row>
    <row r="4725" spans="20:25">
      <c r="T4725" s="146"/>
      <c r="V4725" s="147"/>
      <c r="W4725" s="146"/>
      <c r="Y4725" s="147"/>
    </row>
    <row r="4726" spans="20:25">
      <c r="T4726" s="146"/>
      <c r="V4726" s="147"/>
      <c r="W4726" s="146"/>
      <c r="Y4726" s="147"/>
    </row>
    <row r="4727" spans="20:25">
      <c r="T4727" s="146"/>
      <c r="V4727" s="147"/>
      <c r="W4727" s="146"/>
      <c r="Y4727" s="147"/>
    </row>
    <row r="4728" spans="20:25">
      <c r="T4728" s="146"/>
      <c r="V4728" s="147"/>
      <c r="W4728" s="146"/>
      <c r="Y4728" s="147"/>
    </row>
    <row r="4729" spans="20:25">
      <c r="T4729" s="146"/>
      <c r="V4729" s="147"/>
      <c r="W4729" s="146"/>
      <c r="Y4729" s="147"/>
    </row>
    <row r="4730" spans="20:25">
      <c r="T4730" s="146"/>
      <c r="V4730" s="147"/>
      <c r="W4730" s="146"/>
      <c r="Y4730" s="147"/>
    </row>
    <row r="4731" spans="20:25">
      <c r="T4731" s="146"/>
      <c r="V4731" s="147"/>
      <c r="W4731" s="146"/>
      <c r="Y4731" s="147"/>
    </row>
    <row r="4732" spans="20:25">
      <c r="T4732" s="146"/>
      <c r="V4732" s="147"/>
      <c r="W4732" s="146"/>
      <c r="Y4732" s="147"/>
    </row>
    <row r="4733" spans="20:25">
      <c r="T4733" s="146"/>
      <c r="V4733" s="147"/>
      <c r="W4733" s="146"/>
      <c r="Y4733" s="147"/>
    </row>
    <row r="4734" spans="20:25">
      <c r="T4734" s="146"/>
      <c r="V4734" s="147"/>
      <c r="W4734" s="146"/>
      <c r="Y4734" s="147"/>
    </row>
    <row r="4735" spans="20:25">
      <c r="T4735" s="146"/>
      <c r="V4735" s="147"/>
      <c r="W4735" s="146"/>
      <c r="Y4735" s="147"/>
    </row>
    <row r="4736" spans="20:25">
      <c r="T4736" s="146"/>
      <c r="V4736" s="147"/>
      <c r="W4736" s="146"/>
      <c r="Y4736" s="147"/>
    </row>
    <row r="4737" spans="20:25">
      <c r="T4737" s="146"/>
      <c r="V4737" s="147"/>
      <c r="W4737" s="146"/>
      <c r="Y4737" s="147"/>
    </row>
    <row r="4738" spans="20:25">
      <c r="T4738" s="146"/>
      <c r="V4738" s="147"/>
      <c r="W4738" s="146"/>
      <c r="Y4738" s="147"/>
    </row>
    <row r="4739" spans="20:25">
      <c r="T4739" s="146"/>
      <c r="V4739" s="147"/>
      <c r="W4739" s="146"/>
      <c r="Y4739" s="147"/>
    </row>
    <row r="4740" spans="20:25">
      <c r="T4740" s="146"/>
      <c r="V4740" s="147"/>
      <c r="W4740" s="146"/>
      <c r="Y4740" s="147"/>
    </row>
    <row r="4741" spans="20:25">
      <c r="T4741" s="146"/>
      <c r="V4741" s="147"/>
      <c r="W4741" s="146"/>
      <c r="Y4741" s="147"/>
    </row>
    <row r="4742" spans="20:25">
      <c r="T4742" s="146"/>
      <c r="V4742" s="147"/>
      <c r="W4742" s="146"/>
      <c r="Y4742" s="147"/>
    </row>
    <row r="4743" spans="20:25">
      <c r="T4743" s="146"/>
      <c r="V4743" s="147"/>
      <c r="W4743" s="146"/>
      <c r="Y4743" s="147"/>
    </row>
    <row r="4744" spans="20:25">
      <c r="T4744" s="146"/>
      <c r="V4744" s="147"/>
      <c r="W4744" s="146"/>
      <c r="Y4744" s="147"/>
    </row>
    <row r="4745" spans="20:25">
      <c r="T4745" s="146"/>
      <c r="V4745" s="147"/>
      <c r="W4745" s="146"/>
      <c r="Y4745" s="147"/>
    </row>
    <row r="4746" spans="20:25">
      <c r="T4746" s="146"/>
      <c r="V4746" s="147"/>
      <c r="W4746" s="146"/>
      <c r="Y4746" s="147"/>
    </row>
    <row r="4747" spans="20:25">
      <c r="T4747" s="146"/>
      <c r="V4747" s="147"/>
      <c r="W4747" s="146"/>
      <c r="Y4747" s="147"/>
    </row>
    <row r="4748" spans="20:25">
      <c r="T4748" s="146"/>
      <c r="V4748" s="147"/>
      <c r="W4748" s="146"/>
      <c r="Y4748" s="147"/>
    </row>
    <row r="4749" spans="20:25">
      <c r="T4749" s="146"/>
      <c r="V4749" s="147"/>
      <c r="W4749" s="146"/>
      <c r="Y4749" s="147"/>
    </row>
    <row r="4750" spans="20:25">
      <c r="T4750" s="146"/>
      <c r="V4750" s="147"/>
      <c r="W4750" s="146"/>
      <c r="Y4750" s="147"/>
    </row>
    <row r="4751" spans="20:25">
      <c r="T4751" s="146"/>
      <c r="V4751" s="147"/>
      <c r="W4751" s="146"/>
      <c r="Y4751" s="147"/>
    </row>
    <row r="4752" spans="20:25">
      <c r="T4752" s="146"/>
      <c r="V4752" s="147"/>
      <c r="W4752" s="146"/>
      <c r="Y4752" s="147"/>
    </row>
    <row r="4753" spans="20:25">
      <c r="T4753" s="146"/>
      <c r="V4753" s="147"/>
      <c r="W4753" s="146"/>
      <c r="Y4753" s="147"/>
    </row>
    <row r="4754" spans="20:25">
      <c r="T4754" s="146"/>
      <c r="V4754" s="147"/>
      <c r="W4754" s="146"/>
      <c r="Y4754" s="147"/>
    </row>
    <row r="4755" spans="20:25">
      <c r="T4755" s="146"/>
      <c r="V4755" s="147"/>
      <c r="W4755" s="146"/>
      <c r="Y4755" s="147"/>
    </row>
    <row r="4756" spans="20:25">
      <c r="T4756" s="146"/>
      <c r="V4756" s="147"/>
      <c r="W4756" s="146"/>
      <c r="Y4756" s="147"/>
    </row>
    <row r="4757" spans="20:25">
      <c r="T4757" s="146"/>
      <c r="V4757" s="147"/>
      <c r="W4757" s="146"/>
      <c r="Y4757" s="147"/>
    </row>
    <row r="4758" spans="20:25">
      <c r="T4758" s="146"/>
      <c r="V4758" s="147"/>
      <c r="W4758" s="146"/>
      <c r="Y4758" s="147"/>
    </row>
    <row r="4759" spans="20:25">
      <c r="T4759" s="146"/>
      <c r="V4759" s="147"/>
      <c r="W4759" s="146"/>
      <c r="Y4759" s="147"/>
    </row>
    <row r="4760" spans="20:25">
      <c r="T4760" s="146"/>
      <c r="V4760" s="147"/>
      <c r="W4760" s="146"/>
      <c r="Y4760" s="147"/>
    </row>
    <row r="4761" spans="20:25">
      <c r="T4761" s="146"/>
      <c r="V4761" s="147"/>
      <c r="W4761" s="146"/>
      <c r="Y4761" s="147"/>
    </row>
    <row r="4762" spans="20:25">
      <c r="T4762" s="146"/>
      <c r="V4762" s="147"/>
      <c r="W4762" s="146"/>
      <c r="Y4762" s="147"/>
    </row>
    <row r="4763" spans="20:25">
      <c r="T4763" s="146"/>
      <c r="V4763" s="147"/>
      <c r="W4763" s="146"/>
      <c r="Y4763" s="147"/>
    </row>
    <row r="4764" spans="20:25">
      <c r="T4764" s="146"/>
      <c r="V4764" s="147"/>
      <c r="W4764" s="146"/>
      <c r="Y4764" s="147"/>
    </row>
    <row r="4765" spans="20:25">
      <c r="T4765" s="146"/>
      <c r="V4765" s="147"/>
      <c r="W4765" s="146"/>
      <c r="Y4765" s="147"/>
    </row>
    <row r="4766" spans="20:25">
      <c r="T4766" s="146"/>
      <c r="V4766" s="147"/>
      <c r="W4766" s="146"/>
      <c r="Y4766" s="147"/>
    </row>
    <row r="4767" spans="20:25">
      <c r="T4767" s="146"/>
      <c r="V4767" s="147"/>
      <c r="W4767" s="146"/>
      <c r="Y4767" s="147"/>
    </row>
    <row r="4768" spans="20:25">
      <c r="T4768" s="146"/>
      <c r="V4768" s="147"/>
      <c r="W4768" s="146"/>
      <c r="Y4768" s="147"/>
    </row>
    <row r="4769" spans="20:25">
      <c r="T4769" s="146"/>
      <c r="V4769" s="147"/>
      <c r="W4769" s="146"/>
      <c r="Y4769" s="147"/>
    </row>
    <row r="4770" spans="20:25">
      <c r="T4770" s="146"/>
      <c r="V4770" s="147"/>
      <c r="W4770" s="146"/>
      <c r="Y4770" s="147"/>
    </row>
    <row r="4771" spans="20:25">
      <c r="T4771" s="146"/>
      <c r="V4771" s="147"/>
      <c r="W4771" s="146"/>
      <c r="Y4771" s="147"/>
    </row>
    <row r="4772" spans="20:25">
      <c r="T4772" s="146"/>
      <c r="V4772" s="147"/>
      <c r="W4772" s="146"/>
      <c r="Y4772" s="147"/>
    </row>
    <row r="4773" spans="20:25">
      <c r="T4773" s="146"/>
      <c r="V4773" s="147"/>
      <c r="W4773" s="146"/>
      <c r="Y4773" s="147"/>
    </row>
    <row r="4774" spans="20:25">
      <c r="T4774" s="146"/>
      <c r="V4774" s="147"/>
      <c r="W4774" s="146"/>
      <c r="Y4774" s="147"/>
    </row>
    <row r="4775" spans="20:25">
      <c r="T4775" s="146"/>
      <c r="V4775" s="147"/>
      <c r="W4775" s="146"/>
      <c r="Y4775" s="147"/>
    </row>
    <row r="4776" spans="20:25">
      <c r="T4776" s="146"/>
      <c r="V4776" s="147"/>
      <c r="W4776" s="146"/>
      <c r="Y4776" s="147"/>
    </row>
    <row r="4777" spans="20:25">
      <c r="T4777" s="146"/>
      <c r="V4777" s="147"/>
      <c r="W4777" s="146"/>
      <c r="Y4777" s="147"/>
    </row>
    <row r="4778" spans="20:25">
      <c r="T4778" s="146"/>
      <c r="V4778" s="147"/>
      <c r="W4778" s="146"/>
      <c r="Y4778" s="147"/>
    </row>
    <row r="4779" spans="20:25">
      <c r="T4779" s="146"/>
      <c r="V4779" s="147"/>
      <c r="W4779" s="146"/>
      <c r="Y4779" s="147"/>
    </row>
    <row r="4780" spans="20:25">
      <c r="T4780" s="146"/>
      <c r="V4780" s="147"/>
      <c r="W4780" s="146"/>
      <c r="Y4780" s="147"/>
    </row>
    <row r="4781" spans="20:25">
      <c r="T4781" s="146"/>
      <c r="V4781" s="147"/>
      <c r="W4781" s="146"/>
      <c r="Y4781" s="147"/>
    </row>
    <row r="4782" spans="20:25">
      <c r="T4782" s="146"/>
      <c r="V4782" s="147"/>
      <c r="W4782" s="146"/>
      <c r="Y4782" s="147"/>
    </row>
    <row r="4783" spans="20:25">
      <c r="T4783" s="146"/>
      <c r="V4783" s="147"/>
      <c r="W4783" s="146"/>
      <c r="Y4783" s="147"/>
    </row>
    <row r="4784" spans="20:25">
      <c r="T4784" s="146"/>
      <c r="V4784" s="147"/>
      <c r="W4784" s="146"/>
      <c r="Y4784" s="147"/>
    </row>
    <row r="4785" spans="20:25">
      <c r="T4785" s="146"/>
      <c r="V4785" s="147"/>
      <c r="W4785" s="146"/>
      <c r="Y4785" s="147"/>
    </row>
    <row r="4786" spans="20:25">
      <c r="T4786" s="146"/>
      <c r="V4786" s="147"/>
      <c r="W4786" s="146"/>
      <c r="Y4786" s="147"/>
    </row>
    <row r="4787" spans="20:25">
      <c r="T4787" s="146"/>
      <c r="V4787" s="147"/>
      <c r="W4787" s="146"/>
      <c r="Y4787" s="147"/>
    </row>
    <row r="4788" spans="20:25">
      <c r="T4788" s="146"/>
      <c r="V4788" s="147"/>
      <c r="W4788" s="146"/>
      <c r="Y4788" s="147"/>
    </row>
    <row r="4789" spans="20:25">
      <c r="T4789" s="146"/>
      <c r="V4789" s="147"/>
      <c r="W4789" s="146"/>
      <c r="Y4789" s="147"/>
    </row>
    <row r="4790" spans="20:25">
      <c r="T4790" s="146"/>
      <c r="V4790" s="147"/>
      <c r="W4790" s="146"/>
      <c r="Y4790" s="147"/>
    </row>
    <row r="4791" spans="20:25">
      <c r="T4791" s="146"/>
      <c r="V4791" s="147"/>
      <c r="W4791" s="146"/>
      <c r="Y4791" s="147"/>
    </row>
    <row r="4792" spans="20:25">
      <c r="T4792" s="146"/>
      <c r="V4792" s="147"/>
      <c r="W4792" s="146"/>
      <c r="Y4792" s="147"/>
    </row>
    <row r="4793" spans="20:25">
      <c r="T4793" s="146"/>
      <c r="V4793" s="147"/>
      <c r="W4793" s="146"/>
      <c r="Y4793" s="147"/>
    </row>
    <row r="4794" spans="20:25">
      <c r="T4794" s="146"/>
      <c r="V4794" s="147"/>
      <c r="W4794" s="146"/>
      <c r="Y4794" s="147"/>
    </row>
    <row r="4795" spans="20:25">
      <c r="T4795" s="146"/>
      <c r="V4795" s="147"/>
      <c r="W4795" s="146"/>
      <c r="Y4795" s="147"/>
    </row>
    <row r="4796" spans="20:25">
      <c r="T4796" s="146"/>
      <c r="V4796" s="147"/>
      <c r="W4796" s="146"/>
      <c r="Y4796" s="147"/>
    </row>
    <row r="4797" spans="20:25">
      <c r="T4797" s="146"/>
      <c r="V4797" s="147"/>
      <c r="W4797" s="146"/>
      <c r="Y4797" s="147"/>
    </row>
    <row r="4798" spans="20:25">
      <c r="T4798" s="146"/>
      <c r="V4798" s="147"/>
      <c r="W4798" s="146"/>
      <c r="Y4798" s="147"/>
    </row>
    <row r="4799" spans="20:25">
      <c r="T4799" s="146"/>
      <c r="V4799" s="147"/>
      <c r="W4799" s="146"/>
      <c r="Y4799" s="147"/>
    </row>
    <row r="4800" spans="20:25">
      <c r="T4800" s="146"/>
      <c r="V4800" s="147"/>
      <c r="W4800" s="146"/>
      <c r="Y4800" s="147"/>
    </row>
    <row r="4801" spans="20:25">
      <c r="T4801" s="146"/>
      <c r="V4801" s="147"/>
      <c r="W4801" s="146"/>
      <c r="Y4801" s="147"/>
    </row>
    <row r="4802" spans="20:25">
      <c r="T4802" s="146"/>
      <c r="V4802" s="147"/>
      <c r="W4802" s="146"/>
      <c r="Y4802" s="147"/>
    </row>
    <row r="4803" spans="20:25">
      <c r="T4803" s="146"/>
      <c r="V4803" s="147"/>
      <c r="W4803" s="146"/>
      <c r="Y4803" s="147"/>
    </row>
    <row r="4804" spans="20:25">
      <c r="T4804" s="146"/>
      <c r="V4804" s="147"/>
      <c r="W4804" s="146"/>
      <c r="Y4804" s="147"/>
    </row>
    <row r="4805" spans="20:25">
      <c r="T4805" s="146"/>
      <c r="V4805" s="147"/>
      <c r="W4805" s="146"/>
      <c r="Y4805" s="147"/>
    </row>
    <row r="4806" spans="20:25">
      <c r="T4806" s="146"/>
      <c r="V4806" s="147"/>
      <c r="W4806" s="146"/>
      <c r="Y4806" s="147"/>
    </row>
    <row r="4807" spans="20:25">
      <c r="T4807" s="146"/>
      <c r="V4807" s="147"/>
      <c r="W4807" s="146"/>
      <c r="Y4807" s="147"/>
    </row>
    <row r="4808" spans="20:25">
      <c r="T4808" s="146"/>
      <c r="V4808" s="147"/>
      <c r="W4808" s="146"/>
      <c r="Y4808" s="147"/>
    </row>
    <row r="4809" spans="20:25">
      <c r="T4809" s="146"/>
      <c r="V4809" s="147"/>
      <c r="W4809" s="146"/>
      <c r="Y4809" s="147"/>
    </row>
    <row r="4810" spans="20:25">
      <c r="T4810" s="146"/>
      <c r="V4810" s="147"/>
      <c r="W4810" s="146"/>
      <c r="Y4810" s="147"/>
    </row>
    <row r="4811" spans="20:25">
      <c r="T4811" s="146"/>
      <c r="V4811" s="147"/>
      <c r="W4811" s="146"/>
      <c r="Y4811" s="147"/>
    </row>
    <row r="4812" spans="20:25">
      <c r="T4812" s="146"/>
      <c r="V4812" s="147"/>
      <c r="W4812" s="146"/>
      <c r="Y4812" s="147"/>
    </row>
    <row r="4813" spans="20:25">
      <c r="T4813" s="146"/>
      <c r="V4813" s="147"/>
      <c r="W4813" s="146"/>
      <c r="Y4813" s="147"/>
    </row>
    <row r="4814" spans="20:25">
      <c r="T4814" s="146"/>
      <c r="V4814" s="147"/>
      <c r="W4814" s="146"/>
      <c r="Y4814" s="147"/>
    </row>
    <row r="4815" spans="20:25">
      <c r="T4815" s="146"/>
      <c r="V4815" s="147"/>
      <c r="W4815" s="146"/>
      <c r="Y4815" s="147"/>
    </row>
    <row r="4816" spans="20:25">
      <c r="T4816" s="146"/>
      <c r="V4816" s="147"/>
      <c r="W4816" s="146"/>
      <c r="Y4816" s="147"/>
    </row>
    <row r="4817" spans="20:25">
      <c r="T4817" s="146"/>
      <c r="V4817" s="147"/>
      <c r="W4817" s="146"/>
      <c r="Y4817" s="147"/>
    </row>
    <row r="4818" spans="20:25">
      <c r="T4818" s="146"/>
      <c r="V4818" s="147"/>
      <c r="W4818" s="146"/>
      <c r="Y4818" s="147"/>
    </row>
    <row r="4819" spans="20:25">
      <c r="T4819" s="146"/>
      <c r="V4819" s="147"/>
      <c r="W4819" s="146"/>
      <c r="Y4819" s="147"/>
    </row>
    <row r="4820" spans="20:25">
      <c r="T4820" s="146"/>
      <c r="V4820" s="147"/>
      <c r="W4820" s="146"/>
      <c r="Y4820" s="147"/>
    </row>
    <row r="4821" spans="20:25">
      <c r="T4821" s="146"/>
      <c r="V4821" s="147"/>
      <c r="W4821" s="146"/>
      <c r="Y4821" s="147"/>
    </row>
    <row r="4822" spans="20:25">
      <c r="T4822" s="146"/>
      <c r="V4822" s="147"/>
      <c r="W4822" s="146"/>
      <c r="Y4822" s="147"/>
    </row>
    <row r="4823" spans="20:25">
      <c r="T4823" s="146"/>
      <c r="V4823" s="147"/>
      <c r="W4823" s="146"/>
      <c r="Y4823" s="147"/>
    </row>
    <row r="4824" spans="20:25">
      <c r="T4824" s="146"/>
      <c r="V4824" s="147"/>
      <c r="W4824" s="146"/>
      <c r="Y4824" s="147"/>
    </row>
    <row r="4825" spans="20:25">
      <c r="T4825" s="146"/>
      <c r="V4825" s="147"/>
      <c r="W4825" s="146"/>
      <c r="Y4825" s="147"/>
    </row>
    <row r="4826" spans="20:25">
      <c r="T4826" s="146"/>
      <c r="V4826" s="147"/>
      <c r="W4826" s="146"/>
      <c r="Y4826" s="147"/>
    </row>
    <row r="4827" spans="20:25">
      <c r="T4827" s="146"/>
      <c r="V4827" s="147"/>
      <c r="W4827" s="146"/>
      <c r="Y4827" s="147"/>
    </row>
    <row r="4828" spans="20:25">
      <c r="T4828" s="146"/>
      <c r="V4828" s="147"/>
      <c r="W4828" s="146"/>
      <c r="Y4828" s="147"/>
    </row>
    <row r="4829" spans="20:25">
      <c r="T4829" s="146"/>
      <c r="V4829" s="147"/>
      <c r="W4829" s="146"/>
      <c r="Y4829" s="147"/>
    </row>
    <row r="4830" spans="20:25">
      <c r="T4830" s="146"/>
      <c r="V4830" s="147"/>
      <c r="W4830" s="146"/>
      <c r="Y4830" s="147"/>
    </row>
    <row r="4831" spans="20:25">
      <c r="T4831" s="146"/>
      <c r="V4831" s="147"/>
      <c r="W4831" s="146"/>
      <c r="Y4831" s="147"/>
    </row>
    <row r="4832" spans="20:25">
      <c r="T4832" s="146"/>
      <c r="V4832" s="147"/>
      <c r="W4832" s="146"/>
      <c r="Y4832" s="147"/>
    </row>
    <row r="4833" spans="20:25">
      <c r="T4833" s="146"/>
      <c r="V4833" s="147"/>
      <c r="W4833" s="146"/>
      <c r="Y4833" s="147"/>
    </row>
    <row r="4834" spans="20:25">
      <c r="T4834" s="146"/>
      <c r="V4834" s="147"/>
      <c r="W4834" s="146"/>
      <c r="Y4834" s="147"/>
    </row>
    <row r="4835" spans="20:25">
      <c r="T4835" s="146"/>
      <c r="V4835" s="147"/>
      <c r="W4835" s="146"/>
      <c r="Y4835" s="147"/>
    </row>
    <row r="4836" spans="20:25">
      <c r="T4836" s="146"/>
      <c r="V4836" s="147"/>
      <c r="W4836" s="146"/>
      <c r="Y4836" s="147"/>
    </row>
    <row r="4837" spans="20:25">
      <c r="T4837" s="146"/>
      <c r="V4837" s="147"/>
      <c r="W4837" s="146"/>
      <c r="Y4837" s="147"/>
    </row>
    <row r="4838" spans="20:25">
      <c r="T4838" s="146"/>
      <c r="V4838" s="147"/>
      <c r="W4838" s="146"/>
      <c r="Y4838" s="147"/>
    </row>
    <row r="4839" spans="20:25">
      <c r="T4839" s="146"/>
      <c r="V4839" s="147"/>
      <c r="W4839" s="146"/>
      <c r="Y4839" s="147"/>
    </row>
    <row r="4840" spans="20:25">
      <c r="T4840" s="146"/>
      <c r="V4840" s="147"/>
      <c r="W4840" s="146"/>
      <c r="Y4840" s="147"/>
    </row>
    <row r="4841" spans="20:25">
      <c r="T4841" s="146"/>
      <c r="V4841" s="147"/>
      <c r="W4841" s="146"/>
      <c r="Y4841" s="147"/>
    </row>
    <row r="4842" spans="20:25">
      <c r="T4842" s="146"/>
      <c r="V4842" s="147"/>
      <c r="W4842" s="146"/>
      <c r="Y4842" s="147"/>
    </row>
    <row r="4843" spans="20:25">
      <c r="T4843" s="146"/>
      <c r="V4843" s="147"/>
      <c r="W4843" s="146"/>
      <c r="Y4843" s="147"/>
    </row>
    <row r="4844" spans="20:25">
      <c r="T4844" s="146"/>
      <c r="V4844" s="147"/>
      <c r="W4844" s="146"/>
      <c r="Y4844" s="147"/>
    </row>
    <row r="4845" spans="20:25">
      <c r="T4845" s="146"/>
      <c r="V4845" s="147"/>
      <c r="W4845" s="146"/>
      <c r="Y4845" s="147"/>
    </row>
    <row r="4846" spans="20:25">
      <c r="T4846" s="146"/>
      <c r="V4846" s="147"/>
      <c r="W4846" s="146"/>
      <c r="Y4846" s="147"/>
    </row>
    <row r="4847" spans="20:25">
      <c r="T4847" s="146"/>
      <c r="V4847" s="147"/>
      <c r="W4847" s="146"/>
      <c r="Y4847" s="147"/>
    </row>
    <row r="4848" spans="20:25">
      <c r="T4848" s="146"/>
      <c r="V4848" s="147"/>
      <c r="W4848" s="146"/>
      <c r="Y4848" s="147"/>
    </row>
    <row r="4849" spans="20:25">
      <c r="T4849" s="146"/>
      <c r="V4849" s="147"/>
      <c r="W4849" s="146"/>
      <c r="Y4849" s="147"/>
    </row>
    <row r="4850" spans="20:25">
      <c r="T4850" s="146"/>
      <c r="V4850" s="147"/>
      <c r="W4850" s="146"/>
      <c r="Y4850" s="147"/>
    </row>
    <row r="4851" spans="20:25">
      <c r="T4851" s="146"/>
      <c r="V4851" s="147"/>
      <c r="W4851" s="146"/>
      <c r="Y4851" s="147"/>
    </row>
    <row r="4852" spans="20:25">
      <c r="T4852" s="146"/>
      <c r="V4852" s="147"/>
      <c r="W4852" s="146"/>
      <c r="Y4852" s="147"/>
    </row>
    <row r="4853" spans="20:25">
      <c r="T4853" s="146"/>
      <c r="V4853" s="147"/>
      <c r="W4853" s="146"/>
      <c r="Y4853" s="147"/>
    </row>
    <row r="4854" spans="20:25">
      <c r="T4854" s="146"/>
      <c r="V4854" s="147"/>
      <c r="W4854" s="146"/>
      <c r="Y4854" s="147"/>
    </row>
    <row r="4855" spans="20:25">
      <c r="T4855" s="146"/>
      <c r="V4855" s="147"/>
      <c r="W4855" s="146"/>
      <c r="Y4855" s="147"/>
    </row>
    <row r="4856" spans="20:25">
      <c r="T4856" s="146"/>
      <c r="V4856" s="147"/>
      <c r="W4856" s="146"/>
      <c r="Y4856" s="147"/>
    </row>
    <row r="4857" spans="20:25">
      <c r="T4857" s="146"/>
      <c r="V4857" s="147"/>
      <c r="W4857" s="146"/>
      <c r="Y4857" s="147"/>
    </row>
    <row r="4858" spans="20:25">
      <c r="T4858" s="146"/>
      <c r="V4858" s="147"/>
      <c r="W4858" s="146"/>
      <c r="Y4858" s="147"/>
    </row>
    <row r="4859" spans="20:25">
      <c r="T4859" s="146"/>
      <c r="V4859" s="147"/>
      <c r="W4859" s="146"/>
      <c r="Y4859" s="147"/>
    </row>
    <row r="4860" spans="20:25">
      <c r="T4860" s="146"/>
      <c r="V4860" s="147"/>
      <c r="W4860" s="146"/>
      <c r="Y4860" s="147"/>
    </row>
    <row r="4861" spans="20:25">
      <c r="T4861" s="146"/>
      <c r="V4861" s="147"/>
      <c r="W4861" s="146"/>
      <c r="Y4861" s="147"/>
    </row>
    <row r="4862" spans="20:25">
      <c r="T4862" s="146"/>
      <c r="V4862" s="147"/>
      <c r="W4862" s="146"/>
      <c r="Y4862" s="147"/>
    </row>
    <row r="4863" spans="20:25">
      <c r="T4863" s="146"/>
      <c r="V4863" s="147"/>
      <c r="W4863" s="146"/>
      <c r="Y4863" s="147"/>
    </row>
    <row r="4864" spans="20:25">
      <c r="T4864" s="146"/>
      <c r="V4864" s="147"/>
      <c r="W4864" s="146"/>
      <c r="Y4864" s="147"/>
    </row>
    <row r="4865" spans="20:25">
      <c r="T4865" s="146"/>
      <c r="V4865" s="147"/>
      <c r="W4865" s="146"/>
      <c r="Y4865" s="147"/>
    </row>
    <row r="4866" spans="20:25">
      <c r="T4866" s="146"/>
      <c r="V4866" s="147"/>
      <c r="W4866" s="146"/>
      <c r="Y4866" s="147"/>
    </row>
    <row r="4867" spans="20:25">
      <c r="T4867" s="146"/>
      <c r="V4867" s="147"/>
      <c r="W4867" s="146"/>
      <c r="Y4867" s="147"/>
    </row>
    <row r="4868" spans="20:25">
      <c r="T4868" s="146"/>
      <c r="V4868" s="147"/>
      <c r="W4868" s="146"/>
      <c r="Y4868" s="147"/>
    </row>
    <row r="4869" spans="20:25">
      <c r="T4869" s="146"/>
      <c r="V4869" s="147"/>
      <c r="W4869" s="146"/>
      <c r="Y4869" s="147"/>
    </row>
    <row r="4870" spans="20:25">
      <c r="T4870" s="146"/>
      <c r="V4870" s="147"/>
      <c r="W4870" s="146"/>
      <c r="Y4870" s="147"/>
    </row>
    <row r="4871" spans="20:25">
      <c r="T4871" s="146"/>
      <c r="V4871" s="147"/>
      <c r="W4871" s="146"/>
      <c r="Y4871" s="147"/>
    </row>
    <row r="4872" spans="20:25">
      <c r="T4872" s="146"/>
      <c r="V4872" s="147"/>
      <c r="W4872" s="146"/>
      <c r="Y4872" s="147"/>
    </row>
    <row r="4873" spans="20:25">
      <c r="T4873" s="146"/>
      <c r="V4873" s="147"/>
      <c r="W4873" s="146"/>
      <c r="Y4873" s="147"/>
    </row>
    <row r="4874" spans="20:25">
      <c r="T4874" s="146"/>
      <c r="V4874" s="147"/>
      <c r="W4874" s="146"/>
      <c r="Y4874" s="147"/>
    </row>
    <row r="4875" spans="20:25">
      <c r="T4875" s="146"/>
      <c r="V4875" s="147"/>
      <c r="W4875" s="146"/>
      <c r="Y4875" s="147"/>
    </row>
    <row r="4876" spans="20:25">
      <c r="T4876" s="146"/>
      <c r="V4876" s="147"/>
      <c r="W4876" s="146"/>
      <c r="Y4876" s="147"/>
    </row>
    <row r="4877" spans="20:25">
      <c r="T4877" s="146"/>
      <c r="V4877" s="147"/>
      <c r="W4877" s="146"/>
      <c r="Y4877" s="147"/>
    </row>
    <row r="4878" spans="20:25">
      <c r="T4878" s="146"/>
      <c r="V4878" s="147"/>
      <c r="W4878" s="146"/>
      <c r="Y4878" s="147"/>
    </row>
    <row r="4879" spans="20:25">
      <c r="T4879" s="146"/>
      <c r="V4879" s="147"/>
      <c r="W4879" s="146"/>
      <c r="Y4879" s="147"/>
    </row>
    <row r="4880" spans="20:25">
      <c r="T4880" s="146"/>
      <c r="V4880" s="147"/>
      <c r="W4880" s="146"/>
      <c r="Y4880" s="147"/>
    </row>
    <row r="4881" spans="20:25">
      <c r="T4881" s="146"/>
      <c r="V4881" s="147"/>
      <c r="W4881" s="146"/>
      <c r="Y4881" s="147"/>
    </row>
    <row r="4882" spans="20:25">
      <c r="T4882" s="146"/>
      <c r="V4882" s="147"/>
      <c r="W4882" s="146"/>
      <c r="Y4882" s="147"/>
    </row>
    <row r="4883" spans="20:25">
      <c r="T4883" s="146"/>
      <c r="V4883" s="147"/>
      <c r="W4883" s="146"/>
      <c r="Y4883" s="147"/>
    </row>
    <row r="4884" spans="20:25">
      <c r="T4884" s="146"/>
      <c r="V4884" s="147"/>
      <c r="W4884" s="146"/>
      <c r="Y4884" s="147"/>
    </row>
    <row r="4885" spans="20:25">
      <c r="T4885" s="146"/>
      <c r="V4885" s="147"/>
      <c r="W4885" s="146"/>
      <c r="Y4885" s="147"/>
    </row>
    <row r="4886" spans="20:25">
      <c r="T4886" s="146"/>
      <c r="V4886" s="147"/>
      <c r="W4886" s="146"/>
      <c r="Y4886" s="147"/>
    </row>
    <row r="4887" spans="20:25">
      <c r="T4887" s="146"/>
      <c r="V4887" s="147"/>
      <c r="W4887" s="146"/>
      <c r="Y4887" s="147"/>
    </row>
    <row r="4888" spans="20:25">
      <c r="T4888" s="146"/>
      <c r="V4888" s="147"/>
      <c r="W4888" s="146"/>
      <c r="Y4888" s="147"/>
    </row>
    <row r="4889" spans="20:25">
      <c r="T4889" s="146"/>
      <c r="V4889" s="147"/>
      <c r="W4889" s="146"/>
      <c r="Y4889" s="147"/>
    </row>
    <row r="4890" spans="20:25">
      <c r="T4890" s="146"/>
      <c r="V4890" s="147"/>
      <c r="W4890" s="146"/>
      <c r="Y4890" s="147"/>
    </row>
    <row r="4891" spans="20:25">
      <c r="T4891" s="146"/>
      <c r="V4891" s="147"/>
      <c r="W4891" s="146"/>
      <c r="Y4891" s="147"/>
    </row>
    <row r="4892" spans="20:25">
      <c r="T4892" s="146"/>
      <c r="V4892" s="147"/>
      <c r="W4892" s="146"/>
      <c r="Y4892" s="147"/>
    </row>
    <row r="4893" spans="20:25">
      <c r="T4893" s="146"/>
      <c r="V4893" s="147"/>
      <c r="W4893" s="146"/>
      <c r="Y4893" s="147"/>
    </row>
    <row r="4894" spans="20:25">
      <c r="T4894" s="146"/>
      <c r="V4894" s="147"/>
      <c r="W4894" s="146"/>
      <c r="Y4894" s="147"/>
    </row>
    <row r="4895" spans="20:25">
      <c r="T4895" s="146"/>
      <c r="V4895" s="147"/>
      <c r="W4895" s="146"/>
      <c r="Y4895" s="147"/>
    </row>
    <row r="4896" spans="20:25">
      <c r="T4896" s="146"/>
      <c r="V4896" s="147"/>
      <c r="W4896" s="146"/>
      <c r="Y4896" s="147"/>
    </row>
    <row r="4897" spans="20:25">
      <c r="T4897" s="146"/>
      <c r="V4897" s="147"/>
      <c r="W4897" s="146"/>
      <c r="Y4897" s="147"/>
    </row>
    <row r="4898" spans="20:25">
      <c r="T4898" s="146"/>
      <c r="V4898" s="147"/>
      <c r="W4898" s="146"/>
      <c r="Y4898" s="147"/>
    </row>
    <row r="4899" spans="20:25">
      <c r="T4899" s="146"/>
      <c r="V4899" s="147"/>
      <c r="W4899" s="146"/>
      <c r="Y4899" s="147"/>
    </row>
    <row r="4900" spans="20:25">
      <c r="T4900" s="146"/>
      <c r="V4900" s="147"/>
      <c r="W4900" s="146"/>
      <c r="Y4900" s="147"/>
    </row>
    <row r="4901" spans="20:25">
      <c r="T4901" s="146"/>
      <c r="V4901" s="147"/>
      <c r="W4901" s="146"/>
      <c r="Y4901" s="147"/>
    </row>
    <row r="4902" spans="20:25">
      <c r="T4902" s="146"/>
      <c r="V4902" s="147"/>
      <c r="W4902" s="146"/>
      <c r="Y4902" s="147"/>
    </row>
    <row r="4903" spans="20:25">
      <c r="T4903" s="146"/>
      <c r="V4903" s="147"/>
      <c r="W4903" s="146"/>
      <c r="Y4903" s="147"/>
    </row>
    <row r="4904" spans="20:25">
      <c r="T4904" s="146"/>
      <c r="V4904" s="147"/>
      <c r="W4904" s="146"/>
      <c r="Y4904" s="147"/>
    </row>
    <row r="4905" spans="20:25">
      <c r="T4905" s="146"/>
      <c r="V4905" s="147"/>
      <c r="W4905" s="146"/>
      <c r="Y4905" s="147"/>
    </row>
    <row r="4906" spans="20:25">
      <c r="T4906" s="146"/>
      <c r="V4906" s="147"/>
      <c r="W4906" s="146"/>
      <c r="Y4906" s="147"/>
    </row>
    <row r="4907" spans="20:25">
      <c r="T4907" s="146"/>
      <c r="V4907" s="147"/>
      <c r="W4907" s="146"/>
      <c r="Y4907" s="147"/>
    </row>
    <row r="4908" spans="20:25">
      <c r="T4908" s="146"/>
      <c r="V4908" s="147"/>
      <c r="W4908" s="146"/>
      <c r="Y4908" s="147"/>
    </row>
    <row r="4909" spans="20:25">
      <c r="T4909" s="146"/>
      <c r="V4909" s="147"/>
      <c r="W4909" s="146"/>
      <c r="Y4909" s="147"/>
    </row>
    <row r="4910" spans="20:25">
      <c r="T4910" s="146"/>
      <c r="V4910" s="147"/>
      <c r="W4910" s="146"/>
      <c r="Y4910" s="147"/>
    </row>
    <row r="4911" spans="20:25">
      <c r="T4911" s="146"/>
      <c r="V4911" s="147"/>
      <c r="W4911" s="146"/>
      <c r="Y4911" s="147"/>
    </row>
    <row r="4912" spans="20:25">
      <c r="T4912" s="146"/>
      <c r="V4912" s="147"/>
      <c r="W4912" s="146"/>
      <c r="Y4912" s="147"/>
    </row>
    <row r="4913" spans="20:25">
      <c r="T4913" s="146"/>
      <c r="V4913" s="147"/>
      <c r="W4913" s="146"/>
      <c r="Y4913" s="147"/>
    </row>
    <row r="4914" spans="20:25">
      <c r="T4914" s="146"/>
      <c r="V4914" s="147"/>
      <c r="W4914" s="146"/>
      <c r="Y4914" s="147"/>
    </row>
    <row r="4915" spans="20:25">
      <c r="T4915" s="146"/>
      <c r="V4915" s="147"/>
      <c r="W4915" s="146"/>
      <c r="Y4915" s="147"/>
    </row>
    <row r="4916" spans="20:25">
      <c r="T4916" s="146"/>
      <c r="V4916" s="147"/>
      <c r="W4916" s="146"/>
      <c r="Y4916" s="147"/>
    </row>
    <row r="4917" spans="20:25">
      <c r="T4917" s="146"/>
      <c r="V4917" s="147"/>
      <c r="W4917" s="146"/>
      <c r="Y4917" s="147"/>
    </row>
    <row r="4918" spans="20:25">
      <c r="T4918" s="146"/>
      <c r="V4918" s="147"/>
      <c r="W4918" s="146"/>
      <c r="Y4918" s="147"/>
    </row>
    <row r="4919" spans="20:25">
      <c r="T4919" s="146"/>
      <c r="V4919" s="147"/>
      <c r="W4919" s="146"/>
      <c r="Y4919" s="147"/>
    </row>
    <row r="4920" spans="20:25">
      <c r="T4920" s="146"/>
      <c r="V4920" s="147"/>
      <c r="W4920" s="146"/>
      <c r="Y4920" s="147"/>
    </row>
    <row r="4921" spans="20:25">
      <c r="T4921" s="146"/>
      <c r="V4921" s="147"/>
      <c r="W4921" s="146"/>
      <c r="Y4921" s="147"/>
    </row>
    <row r="4922" spans="20:25">
      <c r="T4922" s="146"/>
      <c r="V4922" s="147"/>
      <c r="W4922" s="146"/>
      <c r="Y4922" s="147"/>
    </row>
    <row r="4923" spans="20:25">
      <c r="T4923" s="146"/>
      <c r="V4923" s="147"/>
      <c r="W4923" s="146"/>
      <c r="Y4923" s="147"/>
    </row>
    <row r="4924" spans="20:25">
      <c r="T4924" s="146"/>
      <c r="V4924" s="147"/>
      <c r="W4924" s="146"/>
      <c r="Y4924" s="147"/>
    </row>
    <row r="4925" spans="20:25">
      <c r="T4925" s="146"/>
      <c r="V4925" s="147"/>
      <c r="W4925" s="146"/>
      <c r="Y4925" s="147"/>
    </row>
    <row r="4926" spans="20:25">
      <c r="T4926" s="146"/>
      <c r="V4926" s="147"/>
      <c r="W4926" s="146"/>
      <c r="Y4926" s="147"/>
    </row>
    <row r="4927" spans="20:25">
      <c r="T4927" s="146"/>
      <c r="V4927" s="147"/>
      <c r="W4927" s="146"/>
      <c r="Y4927" s="147"/>
    </row>
    <row r="4928" spans="20:25">
      <c r="T4928" s="146"/>
      <c r="V4928" s="147"/>
      <c r="W4928" s="146"/>
      <c r="Y4928" s="147"/>
    </row>
    <row r="4929" spans="20:25">
      <c r="T4929" s="146"/>
      <c r="V4929" s="147"/>
      <c r="W4929" s="146"/>
      <c r="Y4929" s="147"/>
    </row>
    <row r="4930" spans="20:25">
      <c r="T4930" s="146"/>
      <c r="V4930" s="147"/>
      <c r="W4930" s="146"/>
      <c r="Y4930" s="147"/>
    </row>
    <row r="4931" spans="20:25">
      <c r="T4931" s="146"/>
      <c r="V4931" s="147"/>
      <c r="W4931" s="146"/>
      <c r="Y4931" s="147"/>
    </row>
    <row r="4932" spans="20:25">
      <c r="T4932" s="146"/>
      <c r="V4932" s="147"/>
      <c r="W4932" s="146"/>
      <c r="Y4932" s="147"/>
    </row>
    <row r="4933" spans="20:25">
      <c r="T4933" s="146"/>
      <c r="V4933" s="147"/>
      <c r="W4933" s="146"/>
      <c r="Y4933" s="147"/>
    </row>
    <row r="4934" spans="20:25">
      <c r="T4934" s="146"/>
      <c r="V4934" s="147"/>
      <c r="W4934" s="146"/>
      <c r="Y4934" s="147"/>
    </row>
    <row r="4935" spans="20:25">
      <c r="T4935" s="146"/>
      <c r="V4935" s="147"/>
      <c r="W4935" s="146"/>
      <c r="Y4935" s="147"/>
    </row>
    <row r="4936" spans="20:25">
      <c r="T4936" s="146"/>
      <c r="V4936" s="147"/>
      <c r="W4936" s="146"/>
      <c r="Y4936" s="147"/>
    </row>
    <row r="4937" spans="20:25">
      <c r="T4937" s="146"/>
      <c r="V4937" s="147"/>
      <c r="W4937" s="146"/>
      <c r="Y4937" s="147"/>
    </row>
    <row r="4938" spans="20:25">
      <c r="T4938" s="146"/>
      <c r="V4938" s="147"/>
      <c r="W4938" s="146"/>
      <c r="Y4938" s="147"/>
    </row>
    <row r="4939" spans="20:25">
      <c r="T4939" s="146"/>
      <c r="V4939" s="147"/>
      <c r="W4939" s="146"/>
      <c r="Y4939" s="147"/>
    </row>
    <row r="4940" spans="20:25">
      <c r="T4940" s="146"/>
      <c r="V4940" s="147"/>
      <c r="W4940" s="146"/>
      <c r="Y4940" s="147"/>
    </row>
    <row r="4941" spans="20:25">
      <c r="T4941" s="146"/>
      <c r="V4941" s="147"/>
      <c r="W4941" s="146"/>
      <c r="Y4941" s="147"/>
    </row>
    <row r="4942" spans="20:25">
      <c r="T4942" s="146"/>
      <c r="V4942" s="147"/>
      <c r="W4942" s="146"/>
      <c r="Y4942" s="147"/>
    </row>
    <row r="4943" spans="20:25">
      <c r="T4943" s="146"/>
      <c r="V4943" s="147"/>
      <c r="W4943" s="146"/>
      <c r="Y4943" s="147"/>
    </row>
    <row r="4944" spans="20:25">
      <c r="T4944" s="146"/>
      <c r="V4944" s="147"/>
      <c r="W4944" s="146"/>
      <c r="Y4944" s="147"/>
    </row>
    <row r="4945" spans="20:25">
      <c r="T4945" s="146"/>
      <c r="V4945" s="147"/>
      <c r="W4945" s="146"/>
      <c r="Y4945" s="147"/>
    </row>
    <row r="4946" spans="20:25">
      <c r="T4946" s="146"/>
      <c r="V4946" s="147"/>
      <c r="W4946" s="146"/>
      <c r="Y4946" s="147"/>
    </row>
    <row r="4947" spans="20:25">
      <c r="T4947" s="146"/>
      <c r="V4947" s="147"/>
      <c r="W4947" s="146"/>
      <c r="Y4947" s="147"/>
    </row>
    <row r="4948" spans="20:25">
      <c r="T4948" s="146"/>
      <c r="V4948" s="147"/>
      <c r="W4948" s="146"/>
      <c r="Y4948" s="147"/>
    </row>
    <row r="4949" spans="20:25">
      <c r="T4949" s="146"/>
      <c r="V4949" s="147"/>
      <c r="W4949" s="146"/>
      <c r="Y4949" s="147"/>
    </row>
    <row r="4950" spans="20:25">
      <c r="T4950" s="146"/>
      <c r="V4950" s="147"/>
      <c r="W4950" s="146"/>
      <c r="Y4950" s="147"/>
    </row>
    <row r="4951" spans="20:25">
      <c r="T4951" s="146"/>
      <c r="V4951" s="147"/>
      <c r="W4951" s="146"/>
      <c r="Y4951" s="147"/>
    </row>
    <row r="4952" spans="20:25">
      <c r="T4952" s="146"/>
      <c r="V4952" s="147"/>
      <c r="W4952" s="146"/>
      <c r="Y4952" s="147"/>
    </row>
    <row r="4953" spans="20:25">
      <c r="T4953" s="146"/>
      <c r="V4953" s="147"/>
      <c r="W4953" s="146"/>
      <c r="Y4953" s="147"/>
    </row>
    <row r="4954" spans="20:25">
      <c r="T4954" s="146"/>
      <c r="V4954" s="147"/>
      <c r="W4954" s="146"/>
      <c r="Y4954" s="147"/>
    </row>
    <row r="4955" spans="20:25">
      <c r="T4955" s="146"/>
      <c r="V4955" s="147"/>
      <c r="W4955" s="146"/>
      <c r="Y4955" s="147"/>
    </row>
    <row r="4956" spans="20:25">
      <c r="T4956" s="146"/>
      <c r="V4956" s="147"/>
      <c r="W4956" s="146"/>
      <c r="Y4956" s="147"/>
    </row>
    <row r="4957" spans="20:25">
      <c r="T4957" s="146"/>
      <c r="V4957" s="147"/>
      <c r="W4957" s="146"/>
      <c r="Y4957" s="147"/>
    </row>
    <row r="4958" spans="20:25">
      <c r="T4958" s="146"/>
      <c r="V4958" s="147"/>
      <c r="W4958" s="146"/>
      <c r="Y4958" s="147"/>
    </row>
    <row r="4959" spans="20:25">
      <c r="T4959" s="146"/>
      <c r="V4959" s="147"/>
      <c r="W4959" s="146"/>
      <c r="Y4959" s="147"/>
    </row>
    <row r="4960" spans="20:25">
      <c r="T4960" s="146"/>
      <c r="V4960" s="147"/>
      <c r="W4960" s="146"/>
      <c r="Y4960" s="147"/>
    </row>
    <row r="4961" spans="20:25">
      <c r="T4961" s="146"/>
      <c r="V4961" s="147"/>
      <c r="W4961" s="146"/>
      <c r="Y4961" s="147"/>
    </row>
    <row r="4962" spans="20:25">
      <c r="T4962" s="146"/>
      <c r="V4962" s="147"/>
      <c r="W4962" s="146"/>
      <c r="Y4962" s="147"/>
    </row>
    <row r="4963" spans="20:25">
      <c r="T4963" s="146"/>
      <c r="V4963" s="147"/>
      <c r="W4963" s="146"/>
      <c r="Y4963" s="147"/>
    </row>
    <row r="4964" spans="20:25">
      <c r="T4964" s="146"/>
      <c r="V4964" s="147"/>
      <c r="W4964" s="146"/>
      <c r="Y4964" s="147"/>
    </row>
    <row r="4965" spans="20:25">
      <c r="T4965" s="146"/>
      <c r="V4965" s="147"/>
      <c r="W4965" s="146"/>
      <c r="Y4965" s="147"/>
    </row>
    <row r="4966" spans="20:25">
      <c r="T4966" s="146"/>
      <c r="V4966" s="147"/>
      <c r="W4966" s="146"/>
      <c r="Y4966" s="147"/>
    </row>
    <row r="4967" spans="20:25">
      <c r="T4967" s="146"/>
      <c r="V4967" s="147"/>
      <c r="W4967" s="146"/>
      <c r="Y4967" s="147"/>
    </row>
    <row r="4968" spans="20:25">
      <c r="T4968" s="146"/>
      <c r="V4968" s="147"/>
      <c r="W4968" s="146"/>
      <c r="Y4968" s="147"/>
    </row>
    <row r="4969" spans="20:25">
      <c r="T4969" s="146"/>
      <c r="V4969" s="147"/>
      <c r="W4969" s="146"/>
      <c r="Y4969" s="147"/>
    </row>
    <row r="4970" spans="20:25">
      <c r="T4970" s="146"/>
      <c r="V4970" s="147"/>
      <c r="W4970" s="146"/>
      <c r="Y4970" s="147"/>
    </row>
    <row r="4971" spans="20:25">
      <c r="T4971" s="146"/>
      <c r="V4971" s="147"/>
      <c r="W4971" s="146"/>
      <c r="Y4971" s="147"/>
    </row>
    <row r="4972" spans="20:25">
      <c r="T4972" s="146"/>
      <c r="V4972" s="147"/>
      <c r="W4972" s="146"/>
      <c r="Y4972" s="147"/>
    </row>
    <row r="4973" spans="20:25">
      <c r="T4973" s="146"/>
      <c r="V4973" s="147"/>
      <c r="W4973" s="146"/>
      <c r="Y4973" s="147"/>
    </row>
    <row r="4974" spans="20:25">
      <c r="T4974" s="146"/>
      <c r="V4974" s="147"/>
      <c r="W4974" s="146"/>
      <c r="Y4974" s="147"/>
    </row>
    <row r="4975" spans="20:25">
      <c r="T4975" s="146"/>
      <c r="V4975" s="147"/>
      <c r="W4975" s="146"/>
      <c r="Y4975" s="147"/>
    </row>
    <row r="4976" spans="20:25">
      <c r="T4976" s="146"/>
      <c r="V4976" s="147"/>
      <c r="W4976" s="146"/>
      <c r="Y4976" s="147"/>
    </row>
    <row r="4977" spans="20:25">
      <c r="T4977" s="146"/>
      <c r="V4977" s="147"/>
      <c r="W4977" s="146"/>
      <c r="Y4977" s="147"/>
    </row>
    <row r="4978" spans="20:25">
      <c r="T4978" s="146"/>
      <c r="V4978" s="147"/>
      <c r="W4978" s="146"/>
      <c r="Y4978" s="147"/>
    </row>
    <row r="4979" spans="20:25">
      <c r="T4979" s="146"/>
      <c r="V4979" s="147"/>
      <c r="W4979" s="146"/>
      <c r="Y4979" s="147"/>
    </row>
    <row r="4980" spans="20:25">
      <c r="T4980" s="146"/>
      <c r="V4980" s="147"/>
      <c r="W4980" s="146"/>
      <c r="Y4980" s="147"/>
    </row>
    <row r="4981" spans="20:25">
      <c r="T4981" s="146"/>
      <c r="V4981" s="147"/>
      <c r="W4981" s="146"/>
      <c r="Y4981" s="147"/>
    </row>
    <row r="4982" spans="20:25">
      <c r="T4982" s="146"/>
      <c r="V4982" s="147"/>
      <c r="W4982" s="146"/>
      <c r="Y4982" s="147"/>
    </row>
    <row r="4983" spans="20:25">
      <c r="T4983" s="146"/>
      <c r="V4983" s="147"/>
      <c r="W4983" s="146"/>
      <c r="Y4983" s="147"/>
    </row>
    <row r="4984" spans="20:25">
      <c r="T4984" s="146"/>
      <c r="V4984" s="147"/>
      <c r="W4984" s="146"/>
      <c r="Y4984" s="147"/>
    </row>
    <row r="4985" spans="20:25">
      <c r="T4985" s="146"/>
      <c r="V4985" s="147"/>
      <c r="W4985" s="146"/>
      <c r="Y4985" s="147"/>
    </row>
    <row r="4986" spans="20:25">
      <c r="T4986" s="146"/>
      <c r="V4986" s="147"/>
      <c r="W4986" s="146"/>
      <c r="Y4986" s="147"/>
    </row>
    <row r="4987" spans="20:25">
      <c r="T4987" s="146"/>
      <c r="V4987" s="147"/>
      <c r="W4987" s="146"/>
      <c r="Y4987" s="147"/>
    </row>
    <row r="4988" spans="20:25">
      <c r="T4988" s="146"/>
      <c r="V4988" s="147"/>
      <c r="W4988" s="146"/>
      <c r="Y4988" s="147"/>
    </row>
    <row r="4989" spans="20:25">
      <c r="T4989" s="146"/>
      <c r="V4989" s="147"/>
      <c r="W4989" s="146"/>
      <c r="Y4989" s="147"/>
    </row>
    <row r="4990" spans="20:25">
      <c r="T4990" s="146"/>
      <c r="V4990" s="147"/>
      <c r="W4990" s="146"/>
      <c r="Y4990" s="147"/>
    </row>
    <row r="4991" spans="20:25">
      <c r="T4991" s="146"/>
      <c r="V4991" s="147"/>
      <c r="W4991" s="146"/>
      <c r="Y4991" s="147"/>
    </row>
    <row r="4992" spans="20:25">
      <c r="T4992" s="146"/>
      <c r="V4992" s="147"/>
      <c r="W4992" s="146"/>
      <c r="Y4992" s="147"/>
    </row>
    <row r="4993" spans="20:25">
      <c r="T4993" s="146"/>
      <c r="V4993" s="147"/>
      <c r="W4993" s="146"/>
      <c r="Y4993" s="147"/>
    </row>
    <row r="4994" spans="20:25">
      <c r="T4994" s="146"/>
      <c r="V4994" s="147"/>
      <c r="W4994" s="146"/>
      <c r="Y4994" s="147"/>
    </row>
    <row r="4995" spans="20:25">
      <c r="T4995" s="146"/>
      <c r="V4995" s="147"/>
      <c r="W4995" s="146"/>
      <c r="Y4995" s="147"/>
    </row>
    <row r="4996" spans="20:25">
      <c r="T4996" s="146"/>
      <c r="V4996" s="147"/>
      <c r="W4996" s="146"/>
      <c r="Y4996" s="147"/>
    </row>
    <row r="4997" spans="20:25">
      <c r="T4997" s="146"/>
      <c r="V4997" s="147"/>
      <c r="W4997" s="146"/>
      <c r="Y4997" s="147"/>
    </row>
    <row r="4998" spans="20:25">
      <c r="T4998" s="146"/>
      <c r="V4998" s="147"/>
      <c r="W4998" s="146"/>
      <c r="Y4998" s="147"/>
    </row>
    <row r="4999" spans="20:25">
      <c r="T4999" s="146"/>
      <c r="V4999" s="147"/>
      <c r="W4999" s="146"/>
      <c r="Y4999" s="147"/>
    </row>
    <row r="5000" spans="20:25">
      <c r="T5000" s="146"/>
      <c r="V5000" s="147"/>
      <c r="W5000" s="146"/>
      <c r="Y5000" s="147"/>
    </row>
    <row r="5001" spans="20:25">
      <c r="T5001" s="146"/>
      <c r="V5001" s="147"/>
      <c r="W5001" s="146"/>
      <c r="Y5001" s="147"/>
    </row>
    <row r="5002" spans="20:25">
      <c r="T5002" s="146"/>
      <c r="V5002" s="147"/>
      <c r="W5002" s="146"/>
      <c r="Y5002" s="147"/>
    </row>
    <row r="5003" spans="20:25">
      <c r="T5003" s="146"/>
      <c r="V5003" s="147"/>
      <c r="W5003" s="146"/>
      <c r="Y5003" s="147"/>
    </row>
    <row r="5004" spans="20:25">
      <c r="T5004" s="146"/>
      <c r="V5004" s="147"/>
      <c r="W5004" s="146"/>
      <c r="Y5004" s="147"/>
    </row>
    <row r="5005" spans="20:25">
      <c r="T5005" s="146"/>
      <c r="V5005" s="147"/>
      <c r="W5005" s="146"/>
      <c r="Y5005" s="147"/>
    </row>
    <row r="5006" spans="20:25">
      <c r="T5006" s="146"/>
      <c r="V5006" s="147"/>
      <c r="W5006" s="146"/>
      <c r="Y5006" s="147"/>
    </row>
    <row r="5007" spans="20:25">
      <c r="T5007" s="146"/>
      <c r="V5007" s="147"/>
      <c r="W5007" s="146"/>
      <c r="Y5007" s="147"/>
    </row>
    <row r="5008" spans="20:25">
      <c r="T5008" s="146"/>
      <c r="V5008" s="147"/>
      <c r="W5008" s="146"/>
      <c r="Y5008" s="147"/>
    </row>
    <row r="5009" spans="20:25">
      <c r="T5009" s="146"/>
      <c r="V5009" s="147"/>
      <c r="W5009" s="146"/>
      <c r="Y5009" s="147"/>
    </row>
    <row r="5010" spans="20:25">
      <c r="T5010" s="146"/>
      <c r="V5010" s="147"/>
      <c r="W5010" s="146"/>
      <c r="Y5010" s="147"/>
    </row>
    <row r="5011" spans="20:25">
      <c r="T5011" s="146"/>
      <c r="V5011" s="147"/>
      <c r="W5011" s="146"/>
      <c r="Y5011" s="147"/>
    </row>
    <row r="5012" spans="20:25">
      <c r="T5012" s="146"/>
      <c r="V5012" s="147"/>
      <c r="W5012" s="146"/>
      <c r="Y5012" s="147"/>
    </row>
    <row r="5013" spans="20:25">
      <c r="T5013" s="146"/>
      <c r="V5013" s="147"/>
      <c r="W5013" s="146"/>
      <c r="Y5013" s="147"/>
    </row>
    <row r="5014" spans="20:25">
      <c r="T5014" s="146"/>
      <c r="V5014" s="147"/>
      <c r="W5014" s="146"/>
      <c r="Y5014" s="147"/>
    </row>
    <row r="5015" spans="20:25">
      <c r="T5015" s="146"/>
      <c r="V5015" s="147"/>
      <c r="W5015" s="146"/>
      <c r="Y5015" s="147"/>
    </row>
    <row r="5016" spans="20:25">
      <c r="T5016" s="146"/>
      <c r="V5016" s="147"/>
      <c r="W5016" s="146"/>
      <c r="Y5016" s="147"/>
    </row>
    <row r="5017" spans="20:25">
      <c r="T5017" s="146"/>
      <c r="V5017" s="147"/>
      <c r="W5017" s="146"/>
      <c r="Y5017" s="147"/>
    </row>
    <row r="5018" spans="20:25">
      <c r="T5018" s="146"/>
      <c r="V5018" s="147"/>
      <c r="W5018" s="146"/>
      <c r="Y5018" s="147"/>
    </row>
    <row r="5019" spans="20:25">
      <c r="T5019" s="146"/>
      <c r="V5019" s="147"/>
      <c r="W5019" s="146"/>
      <c r="Y5019" s="147"/>
    </row>
    <row r="5020" spans="20:25">
      <c r="T5020" s="146"/>
      <c r="V5020" s="147"/>
      <c r="W5020" s="146"/>
      <c r="Y5020" s="147"/>
    </row>
    <row r="5021" spans="20:25">
      <c r="T5021" s="146"/>
      <c r="V5021" s="147"/>
      <c r="W5021" s="146"/>
      <c r="Y5021" s="147"/>
    </row>
    <row r="5022" spans="20:25">
      <c r="T5022" s="146"/>
      <c r="V5022" s="147"/>
      <c r="W5022" s="146"/>
      <c r="Y5022" s="147"/>
    </row>
    <row r="5023" spans="20:25">
      <c r="T5023" s="146"/>
      <c r="V5023" s="147"/>
      <c r="W5023" s="146"/>
      <c r="Y5023" s="147"/>
    </row>
    <row r="5024" spans="20:25">
      <c r="T5024" s="146"/>
      <c r="V5024" s="147"/>
      <c r="W5024" s="146"/>
      <c r="Y5024" s="147"/>
    </row>
    <row r="5025" spans="20:25">
      <c r="T5025" s="146"/>
      <c r="V5025" s="147"/>
      <c r="W5025" s="146"/>
      <c r="Y5025" s="147"/>
    </row>
    <row r="5026" spans="20:25">
      <c r="T5026" s="146"/>
      <c r="V5026" s="147"/>
      <c r="W5026" s="146"/>
      <c r="Y5026" s="147"/>
    </row>
    <row r="5027" spans="20:25">
      <c r="T5027" s="146"/>
      <c r="V5027" s="147"/>
      <c r="W5027" s="146"/>
      <c r="Y5027" s="147"/>
    </row>
    <row r="5028" spans="20:25">
      <c r="T5028" s="146"/>
      <c r="V5028" s="147"/>
      <c r="W5028" s="146"/>
      <c r="Y5028" s="147"/>
    </row>
    <row r="5029" spans="20:25">
      <c r="T5029" s="146"/>
      <c r="V5029" s="147"/>
      <c r="W5029" s="146"/>
      <c r="Y5029" s="147"/>
    </row>
    <row r="5030" spans="20:25">
      <c r="T5030" s="146"/>
      <c r="V5030" s="147"/>
      <c r="W5030" s="146"/>
      <c r="Y5030" s="147"/>
    </row>
    <row r="5031" spans="20:25">
      <c r="T5031" s="146"/>
      <c r="V5031" s="147"/>
      <c r="W5031" s="146"/>
      <c r="Y5031" s="147"/>
    </row>
    <row r="5032" spans="20:25">
      <c r="T5032" s="146"/>
      <c r="V5032" s="147"/>
      <c r="W5032" s="146"/>
      <c r="Y5032" s="147"/>
    </row>
    <row r="5033" spans="20:25">
      <c r="T5033" s="146"/>
      <c r="V5033" s="147"/>
      <c r="W5033" s="146"/>
      <c r="Y5033" s="147"/>
    </row>
    <row r="5034" spans="20:25">
      <c r="T5034" s="146"/>
      <c r="V5034" s="147"/>
      <c r="W5034" s="146"/>
      <c r="Y5034" s="147"/>
    </row>
    <row r="5035" spans="20:25">
      <c r="T5035" s="146"/>
      <c r="V5035" s="147"/>
      <c r="W5035" s="146"/>
      <c r="Y5035" s="147"/>
    </row>
    <row r="5036" spans="20:25">
      <c r="T5036" s="146"/>
      <c r="V5036" s="147"/>
      <c r="W5036" s="146"/>
      <c r="Y5036" s="147"/>
    </row>
    <row r="5037" spans="20:25">
      <c r="T5037" s="146"/>
      <c r="V5037" s="147"/>
      <c r="W5037" s="146"/>
      <c r="Y5037" s="147"/>
    </row>
    <row r="5038" spans="20:25">
      <c r="T5038" s="146"/>
      <c r="V5038" s="147"/>
      <c r="W5038" s="146"/>
      <c r="Y5038" s="147"/>
    </row>
    <row r="5039" spans="20:25">
      <c r="T5039" s="146"/>
      <c r="V5039" s="147"/>
      <c r="W5039" s="146"/>
      <c r="Y5039" s="147"/>
    </row>
    <row r="5040" spans="20:25">
      <c r="T5040" s="146"/>
      <c r="V5040" s="147"/>
      <c r="W5040" s="146"/>
      <c r="Y5040" s="147"/>
    </row>
    <row r="5041" spans="20:25">
      <c r="T5041" s="146"/>
      <c r="V5041" s="147"/>
      <c r="W5041" s="146"/>
      <c r="Y5041" s="147"/>
    </row>
    <row r="5042" spans="20:25">
      <c r="T5042" s="146"/>
      <c r="V5042" s="147"/>
      <c r="W5042" s="146"/>
      <c r="Y5042" s="147"/>
    </row>
    <row r="5043" spans="20:25">
      <c r="T5043" s="146"/>
      <c r="V5043" s="147"/>
      <c r="W5043" s="146"/>
      <c r="Y5043" s="147"/>
    </row>
    <row r="5044" spans="20:25">
      <c r="T5044" s="146"/>
      <c r="V5044" s="147"/>
      <c r="W5044" s="146"/>
      <c r="Y5044" s="147"/>
    </row>
    <row r="5045" spans="20:25">
      <c r="T5045" s="146"/>
      <c r="V5045" s="147"/>
      <c r="W5045" s="146"/>
      <c r="Y5045" s="147"/>
    </row>
    <row r="5046" spans="20:25">
      <c r="T5046" s="146"/>
      <c r="V5046" s="147"/>
      <c r="W5046" s="146"/>
      <c r="Y5046" s="147"/>
    </row>
    <row r="5047" spans="20:25">
      <c r="T5047" s="146"/>
      <c r="V5047" s="147"/>
      <c r="W5047" s="146"/>
      <c r="Y5047" s="147"/>
    </row>
    <row r="5048" spans="20:25">
      <c r="T5048" s="146"/>
      <c r="V5048" s="147"/>
      <c r="W5048" s="146"/>
      <c r="Y5048" s="147"/>
    </row>
    <row r="5049" spans="20:25">
      <c r="T5049" s="146"/>
      <c r="V5049" s="147"/>
      <c r="W5049" s="146"/>
      <c r="Y5049" s="147"/>
    </row>
    <row r="5050" spans="20:25">
      <c r="T5050" s="146"/>
      <c r="V5050" s="147"/>
      <c r="W5050" s="146"/>
      <c r="Y5050" s="147"/>
    </row>
    <row r="5051" spans="20:25">
      <c r="T5051" s="146"/>
      <c r="V5051" s="147"/>
      <c r="W5051" s="146"/>
      <c r="Y5051" s="147"/>
    </row>
    <row r="5052" spans="20:25">
      <c r="T5052" s="146"/>
      <c r="V5052" s="147"/>
      <c r="W5052" s="146"/>
      <c r="Y5052" s="147"/>
    </row>
    <row r="5053" spans="20:25">
      <c r="T5053" s="146"/>
      <c r="V5053" s="147"/>
      <c r="W5053" s="146"/>
      <c r="Y5053" s="147"/>
    </row>
    <row r="5054" spans="20:25">
      <c r="T5054" s="146"/>
      <c r="V5054" s="147"/>
      <c r="W5054" s="146"/>
      <c r="Y5054" s="147"/>
    </row>
    <row r="5055" spans="20:25">
      <c r="T5055" s="146"/>
      <c r="V5055" s="147"/>
      <c r="W5055" s="146"/>
      <c r="Y5055" s="147"/>
    </row>
    <row r="5056" spans="20:25">
      <c r="T5056" s="146"/>
      <c r="V5056" s="147"/>
      <c r="W5056" s="146"/>
      <c r="Y5056" s="147"/>
    </row>
    <row r="5057" spans="20:25">
      <c r="T5057" s="146"/>
      <c r="V5057" s="147"/>
      <c r="W5057" s="146"/>
      <c r="Y5057" s="147"/>
    </row>
    <row r="5058" spans="20:25">
      <c r="T5058" s="146"/>
      <c r="V5058" s="147"/>
      <c r="W5058" s="146"/>
      <c r="Y5058" s="147"/>
    </row>
    <row r="5059" spans="20:25">
      <c r="T5059" s="146"/>
      <c r="V5059" s="147"/>
      <c r="W5059" s="146"/>
      <c r="Y5059" s="147"/>
    </row>
    <row r="5060" spans="20:25">
      <c r="T5060" s="146"/>
      <c r="V5060" s="147"/>
      <c r="W5060" s="146"/>
      <c r="Y5060" s="147"/>
    </row>
    <row r="5061" spans="20:25">
      <c r="T5061" s="146"/>
      <c r="V5061" s="147"/>
      <c r="W5061" s="146"/>
      <c r="Y5061" s="147"/>
    </row>
    <row r="5062" spans="20:25">
      <c r="T5062" s="146"/>
      <c r="V5062" s="147"/>
      <c r="W5062" s="146"/>
      <c r="Y5062" s="147"/>
    </row>
    <row r="5063" spans="20:25">
      <c r="T5063" s="146"/>
      <c r="V5063" s="147"/>
      <c r="W5063" s="146"/>
      <c r="Y5063" s="147"/>
    </row>
    <row r="5064" spans="20:25">
      <c r="T5064" s="146"/>
      <c r="V5064" s="147"/>
      <c r="W5064" s="146"/>
      <c r="Y5064" s="147"/>
    </row>
    <row r="5065" spans="20:25">
      <c r="T5065" s="146"/>
      <c r="V5065" s="147"/>
      <c r="W5065" s="146"/>
      <c r="Y5065" s="147"/>
    </row>
    <row r="5066" spans="20:25">
      <c r="T5066" s="146"/>
      <c r="V5066" s="147"/>
      <c r="W5066" s="146"/>
      <c r="Y5066" s="147"/>
    </row>
    <row r="5067" spans="20:25">
      <c r="T5067" s="146"/>
      <c r="V5067" s="147"/>
      <c r="W5067" s="146"/>
      <c r="Y5067" s="147"/>
    </row>
    <row r="5068" spans="20:25">
      <c r="T5068" s="146"/>
      <c r="V5068" s="147"/>
      <c r="W5068" s="146"/>
      <c r="Y5068" s="147"/>
    </row>
    <row r="5069" spans="20:25">
      <c r="T5069" s="146"/>
      <c r="V5069" s="147"/>
      <c r="W5069" s="146"/>
      <c r="Y5069" s="147"/>
    </row>
    <row r="5070" spans="20:25">
      <c r="T5070" s="146"/>
      <c r="V5070" s="147"/>
      <c r="W5070" s="146"/>
      <c r="Y5070" s="147"/>
    </row>
    <row r="5071" spans="20:25">
      <c r="T5071" s="146"/>
      <c r="V5071" s="147"/>
      <c r="W5071" s="146"/>
      <c r="Y5071" s="147"/>
    </row>
    <row r="5072" spans="20:25">
      <c r="T5072" s="146"/>
      <c r="V5072" s="147"/>
      <c r="W5072" s="146"/>
      <c r="Y5072" s="147"/>
    </row>
    <row r="5073" spans="20:25">
      <c r="T5073" s="146"/>
      <c r="V5073" s="147"/>
      <c r="W5073" s="146"/>
      <c r="Y5073" s="147"/>
    </row>
    <row r="5074" spans="20:25">
      <c r="T5074" s="146"/>
      <c r="V5074" s="147"/>
      <c r="W5074" s="146"/>
      <c r="Y5074" s="147"/>
    </row>
    <row r="5075" spans="20:25">
      <c r="T5075" s="146"/>
      <c r="V5075" s="147"/>
      <c r="W5075" s="146"/>
      <c r="Y5075" s="147"/>
    </row>
    <row r="5076" spans="20:25">
      <c r="T5076" s="146"/>
      <c r="V5076" s="147"/>
      <c r="W5076" s="146"/>
      <c r="Y5076" s="147"/>
    </row>
    <row r="5077" spans="20:25">
      <c r="T5077" s="146"/>
      <c r="V5077" s="147"/>
      <c r="W5077" s="146"/>
      <c r="Y5077" s="147"/>
    </row>
    <row r="5078" spans="20:25">
      <c r="T5078" s="146"/>
      <c r="V5078" s="147"/>
      <c r="W5078" s="146"/>
      <c r="Y5078" s="147"/>
    </row>
    <row r="5079" spans="20:25">
      <c r="T5079" s="146"/>
      <c r="V5079" s="147"/>
      <c r="W5079" s="146"/>
      <c r="Y5079" s="147"/>
    </row>
    <row r="5080" spans="20:25">
      <c r="T5080" s="146"/>
      <c r="V5080" s="147"/>
      <c r="W5080" s="146"/>
      <c r="Y5080" s="147"/>
    </row>
    <row r="5081" spans="20:25">
      <c r="T5081" s="146"/>
      <c r="V5081" s="147"/>
      <c r="W5081" s="146"/>
      <c r="Y5081" s="147"/>
    </row>
    <row r="5082" spans="20:25">
      <c r="T5082" s="146"/>
      <c r="V5082" s="147"/>
      <c r="W5082" s="146"/>
      <c r="Y5082" s="147"/>
    </row>
    <row r="5083" spans="20:25">
      <c r="T5083" s="146"/>
      <c r="V5083" s="147"/>
      <c r="W5083" s="146"/>
      <c r="Y5083" s="147"/>
    </row>
    <row r="5084" spans="20:25">
      <c r="T5084" s="146"/>
      <c r="V5084" s="147"/>
      <c r="W5084" s="146"/>
      <c r="Y5084" s="147"/>
    </row>
    <row r="5085" spans="20:25">
      <c r="T5085" s="146"/>
      <c r="V5085" s="147"/>
      <c r="W5085" s="146"/>
      <c r="Y5085" s="147"/>
    </row>
    <row r="5086" spans="20:25">
      <c r="T5086" s="146"/>
      <c r="V5086" s="147"/>
      <c r="W5086" s="146"/>
      <c r="Y5086" s="147"/>
    </row>
    <row r="5087" spans="20:25">
      <c r="T5087" s="146"/>
      <c r="V5087" s="147"/>
      <c r="W5087" s="146"/>
      <c r="Y5087" s="147"/>
    </row>
    <row r="5088" spans="20:25">
      <c r="T5088" s="146"/>
      <c r="V5088" s="147"/>
      <c r="W5088" s="146"/>
      <c r="Y5088" s="147"/>
    </row>
    <row r="5089" spans="20:25">
      <c r="T5089" s="146"/>
      <c r="V5089" s="147"/>
      <c r="W5089" s="146"/>
      <c r="Y5089" s="147"/>
    </row>
    <row r="5090" spans="20:25">
      <c r="T5090" s="146"/>
      <c r="V5090" s="147"/>
      <c r="W5090" s="146"/>
      <c r="Y5090" s="147"/>
    </row>
    <row r="5091" spans="20:25">
      <c r="T5091" s="146"/>
      <c r="V5091" s="147"/>
      <c r="W5091" s="146"/>
      <c r="Y5091" s="147"/>
    </row>
    <row r="5092" spans="20:25">
      <c r="T5092" s="146"/>
      <c r="V5092" s="147"/>
      <c r="W5092" s="146"/>
      <c r="Y5092" s="147"/>
    </row>
    <row r="5093" spans="20:25">
      <c r="T5093" s="146"/>
      <c r="V5093" s="147"/>
      <c r="W5093" s="146"/>
      <c r="Y5093" s="147"/>
    </row>
    <row r="5094" spans="20:25">
      <c r="T5094" s="146"/>
      <c r="V5094" s="147"/>
      <c r="W5094" s="146"/>
      <c r="Y5094" s="147"/>
    </row>
    <row r="5095" spans="20:25">
      <c r="T5095" s="146"/>
      <c r="V5095" s="147"/>
      <c r="W5095" s="146"/>
      <c r="Y5095" s="147"/>
    </row>
    <row r="5096" spans="20:25">
      <c r="T5096" s="146"/>
      <c r="V5096" s="147"/>
      <c r="W5096" s="146"/>
      <c r="Y5096" s="147"/>
    </row>
    <row r="5097" spans="20:25">
      <c r="T5097" s="146"/>
      <c r="V5097" s="147"/>
      <c r="W5097" s="146"/>
      <c r="Y5097" s="147"/>
    </row>
    <row r="5098" spans="20:25">
      <c r="T5098" s="146"/>
      <c r="V5098" s="147"/>
      <c r="W5098" s="146"/>
      <c r="Y5098" s="147"/>
    </row>
    <row r="5099" spans="20:25">
      <c r="T5099" s="146"/>
      <c r="V5099" s="147"/>
      <c r="W5099" s="146"/>
      <c r="Y5099" s="147"/>
    </row>
    <row r="5100" spans="20:25">
      <c r="T5100" s="146"/>
      <c r="V5100" s="147"/>
      <c r="W5100" s="146"/>
      <c r="Y5100" s="147"/>
    </row>
    <row r="5101" spans="20:25">
      <c r="T5101" s="146"/>
      <c r="V5101" s="147"/>
      <c r="W5101" s="146"/>
      <c r="Y5101" s="147"/>
    </row>
    <row r="5102" spans="20:25">
      <c r="T5102" s="146"/>
      <c r="V5102" s="147"/>
      <c r="W5102" s="146"/>
      <c r="Y5102" s="147"/>
    </row>
    <row r="5103" spans="20:25">
      <c r="T5103" s="146"/>
      <c r="V5103" s="147"/>
      <c r="W5103" s="146"/>
      <c r="Y5103" s="147"/>
    </row>
    <row r="5104" spans="20:25">
      <c r="T5104" s="146"/>
      <c r="V5104" s="147"/>
      <c r="W5104" s="146"/>
      <c r="Y5104" s="147"/>
    </row>
    <row r="5105" spans="20:25">
      <c r="T5105" s="146"/>
      <c r="V5105" s="147"/>
      <c r="W5105" s="146"/>
      <c r="Y5105" s="147"/>
    </row>
    <row r="5106" spans="20:25">
      <c r="T5106" s="146"/>
      <c r="V5106" s="147"/>
      <c r="W5106" s="146"/>
      <c r="Y5106" s="147"/>
    </row>
    <row r="5107" spans="20:25">
      <c r="T5107" s="146"/>
      <c r="V5107" s="147"/>
      <c r="W5107" s="146"/>
      <c r="Y5107" s="147"/>
    </row>
    <row r="5108" spans="20:25">
      <c r="T5108" s="146"/>
      <c r="V5108" s="147"/>
      <c r="W5108" s="146"/>
      <c r="Y5108" s="147"/>
    </row>
    <row r="5109" spans="20:25">
      <c r="T5109" s="146"/>
      <c r="V5109" s="147"/>
      <c r="W5109" s="146"/>
      <c r="Y5109" s="147"/>
    </row>
    <row r="5110" spans="20:25">
      <c r="T5110" s="146"/>
      <c r="V5110" s="147"/>
      <c r="W5110" s="146"/>
      <c r="Y5110" s="147"/>
    </row>
    <row r="5111" spans="20:25">
      <c r="T5111" s="146"/>
      <c r="V5111" s="147"/>
      <c r="W5111" s="146"/>
      <c r="Y5111" s="147"/>
    </row>
    <row r="5112" spans="20:25">
      <c r="T5112" s="146"/>
      <c r="V5112" s="147"/>
      <c r="W5112" s="146"/>
      <c r="Y5112" s="147"/>
    </row>
    <row r="5113" spans="20:25">
      <c r="T5113" s="146"/>
      <c r="V5113" s="147"/>
      <c r="W5113" s="146"/>
      <c r="Y5113" s="147"/>
    </row>
    <row r="5114" spans="20:25">
      <c r="T5114" s="146"/>
      <c r="V5114" s="147"/>
      <c r="W5114" s="146"/>
      <c r="Y5114" s="147"/>
    </row>
    <row r="5115" spans="20:25">
      <c r="T5115" s="146"/>
      <c r="V5115" s="147"/>
      <c r="W5115" s="146"/>
      <c r="Y5115" s="147"/>
    </row>
    <row r="5116" spans="20:25">
      <c r="T5116" s="146"/>
      <c r="V5116" s="147"/>
      <c r="W5116" s="146"/>
      <c r="Y5116" s="147"/>
    </row>
    <row r="5117" spans="20:25">
      <c r="T5117" s="146"/>
      <c r="V5117" s="147"/>
      <c r="W5117" s="146"/>
      <c r="Y5117" s="147"/>
    </row>
    <row r="5118" spans="20:25">
      <c r="T5118" s="146"/>
      <c r="V5118" s="147"/>
      <c r="W5118" s="146"/>
      <c r="Y5118" s="147"/>
    </row>
    <row r="5119" spans="20:25">
      <c r="T5119" s="146"/>
      <c r="V5119" s="147"/>
      <c r="W5119" s="146"/>
      <c r="Y5119" s="147"/>
    </row>
    <row r="5120" spans="20:25">
      <c r="T5120" s="146"/>
      <c r="V5120" s="147"/>
      <c r="W5120" s="146"/>
      <c r="Y5120" s="147"/>
    </row>
    <row r="5121" spans="20:25">
      <c r="T5121" s="146"/>
      <c r="V5121" s="147"/>
      <c r="W5121" s="146"/>
      <c r="Y5121" s="147"/>
    </row>
    <row r="5122" spans="20:25">
      <c r="T5122" s="146"/>
      <c r="V5122" s="147"/>
      <c r="W5122" s="146"/>
      <c r="Y5122" s="147"/>
    </row>
    <row r="5123" spans="20:25">
      <c r="T5123" s="146"/>
      <c r="V5123" s="147"/>
      <c r="W5123" s="146"/>
      <c r="Y5123" s="147"/>
    </row>
    <row r="5124" spans="20:25">
      <c r="T5124" s="146"/>
      <c r="V5124" s="147"/>
      <c r="W5124" s="146"/>
      <c r="Y5124" s="147"/>
    </row>
    <row r="5125" spans="20:25">
      <c r="T5125" s="146"/>
      <c r="V5125" s="147"/>
      <c r="W5125" s="146"/>
      <c r="Y5125" s="147"/>
    </row>
    <row r="5126" spans="20:25">
      <c r="T5126" s="146"/>
      <c r="V5126" s="147"/>
      <c r="W5126" s="146"/>
      <c r="Y5126" s="147"/>
    </row>
    <row r="5127" spans="20:25">
      <c r="T5127" s="146"/>
      <c r="V5127" s="147"/>
      <c r="W5127" s="146"/>
      <c r="Y5127" s="147"/>
    </row>
    <row r="5128" spans="20:25">
      <c r="T5128" s="146"/>
      <c r="V5128" s="147"/>
      <c r="W5128" s="146"/>
      <c r="Y5128" s="147"/>
    </row>
    <row r="5129" spans="20:25">
      <c r="T5129" s="146"/>
      <c r="V5129" s="147"/>
      <c r="W5129" s="146"/>
      <c r="Y5129" s="147"/>
    </row>
    <row r="5130" spans="20:25">
      <c r="T5130" s="146"/>
      <c r="V5130" s="147"/>
      <c r="W5130" s="146"/>
      <c r="Y5130" s="147"/>
    </row>
    <row r="5131" spans="20:25">
      <c r="T5131" s="146"/>
      <c r="V5131" s="147"/>
      <c r="W5131" s="146"/>
      <c r="Y5131" s="147"/>
    </row>
    <row r="5132" spans="20:25">
      <c r="T5132" s="146"/>
      <c r="V5132" s="147"/>
      <c r="W5132" s="146"/>
      <c r="Y5132" s="147"/>
    </row>
    <row r="5133" spans="20:25">
      <c r="T5133" s="146"/>
      <c r="V5133" s="147"/>
      <c r="W5133" s="146"/>
      <c r="Y5133" s="147"/>
    </row>
    <row r="5134" spans="20:25">
      <c r="T5134" s="146"/>
      <c r="V5134" s="147"/>
      <c r="W5134" s="146"/>
      <c r="Y5134" s="147"/>
    </row>
    <row r="5135" spans="20:25">
      <c r="T5135" s="146"/>
      <c r="V5135" s="147"/>
      <c r="W5135" s="146"/>
      <c r="Y5135" s="147"/>
    </row>
    <row r="5136" spans="20:25">
      <c r="T5136" s="146"/>
      <c r="V5136" s="147"/>
      <c r="W5136" s="146"/>
      <c r="Y5136" s="147"/>
    </row>
    <row r="5137" spans="20:25">
      <c r="T5137" s="146"/>
      <c r="V5137" s="147"/>
      <c r="W5137" s="146"/>
      <c r="Y5137" s="147"/>
    </row>
    <row r="5138" spans="20:25">
      <c r="T5138" s="146"/>
      <c r="V5138" s="147"/>
      <c r="W5138" s="146"/>
      <c r="Y5138" s="147"/>
    </row>
    <row r="5139" spans="20:25">
      <c r="T5139" s="146"/>
      <c r="V5139" s="147"/>
      <c r="W5139" s="146"/>
      <c r="Y5139" s="147"/>
    </row>
    <row r="5140" spans="20:25">
      <c r="T5140" s="146"/>
      <c r="V5140" s="147"/>
      <c r="W5140" s="146"/>
      <c r="Y5140" s="147"/>
    </row>
    <row r="5141" spans="20:25">
      <c r="T5141" s="146"/>
      <c r="V5141" s="147"/>
      <c r="W5141" s="146"/>
      <c r="Y5141" s="147"/>
    </row>
    <row r="5142" spans="20:25">
      <c r="T5142" s="146"/>
      <c r="V5142" s="147"/>
      <c r="W5142" s="146"/>
      <c r="Y5142" s="147"/>
    </row>
    <row r="5143" spans="20:25">
      <c r="T5143" s="146"/>
      <c r="V5143" s="147"/>
      <c r="W5143" s="146"/>
      <c r="Y5143" s="147"/>
    </row>
    <row r="5144" spans="20:25">
      <c r="T5144" s="146"/>
      <c r="V5144" s="147"/>
      <c r="W5144" s="146"/>
      <c r="Y5144" s="147"/>
    </row>
    <row r="5145" spans="20:25">
      <c r="T5145" s="146"/>
      <c r="V5145" s="147"/>
      <c r="W5145" s="146"/>
      <c r="Y5145" s="147"/>
    </row>
    <row r="5146" spans="20:25">
      <c r="T5146" s="146"/>
      <c r="V5146" s="147"/>
      <c r="W5146" s="146"/>
      <c r="Y5146" s="147"/>
    </row>
    <row r="5147" spans="20:25">
      <c r="T5147" s="146"/>
      <c r="V5147" s="147"/>
      <c r="W5147" s="146"/>
      <c r="Y5147" s="147"/>
    </row>
    <row r="5148" spans="20:25">
      <c r="T5148" s="146"/>
      <c r="V5148" s="147"/>
      <c r="W5148" s="146"/>
      <c r="Y5148" s="147"/>
    </row>
    <row r="5149" spans="20:25">
      <c r="T5149" s="146"/>
      <c r="V5149" s="147"/>
      <c r="W5149" s="146"/>
      <c r="Y5149" s="147"/>
    </row>
    <row r="5150" spans="20:25">
      <c r="T5150" s="146"/>
      <c r="V5150" s="147"/>
      <c r="W5150" s="146"/>
      <c r="Y5150" s="147"/>
    </row>
    <row r="5151" spans="20:25">
      <c r="T5151" s="146"/>
      <c r="V5151" s="147"/>
      <c r="W5151" s="146"/>
      <c r="Y5151" s="147"/>
    </row>
    <row r="5152" spans="20:25">
      <c r="T5152" s="146"/>
      <c r="V5152" s="147"/>
      <c r="W5152" s="146"/>
      <c r="Y5152" s="147"/>
    </row>
    <row r="5153" spans="20:25">
      <c r="T5153" s="146"/>
      <c r="V5153" s="147"/>
      <c r="W5153" s="146"/>
      <c r="Y5153" s="147"/>
    </row>
    <row r="5154" spans="20:25">
      <c r="T5154" s="146"/>
      <c r="V5154" s="147"/>
      <c r="W5154" s="146"/>
      <c r="Y5154" s="147"/>
    </row>
    <row r="5155" spans="20:25">
      <c r="T5155" s="146"/>
      <c r="V5155" s="147"/>
      <c r="W5155" s="146"/>
      <c r="Y5155" s="147"/>
    </row>
    <row r="5156" spans="20:25">
      <c r="T5156" s="146"/>
      <c r="V5156" s="147"/>
      <c r="W5156" s="146"/>
      <c r="Y5156" s="147"/>
    </row>
    <row r="5157" spans="20:25">
      <c r="T5157" s="146"/>
      <c r="V5157" s="147"/>
      <c r="W5157" s="146"/>
      <c r="Y5157" s="147"/>
    </row>
    <row r="5158" spans="20:25">
      <c r="T5158" s="146"/>
      <c r="V5158" s="147"/>
      <c r="W5158" s="146"/>
      <c r="Y5158" s="147"/>
    </row>
    <row r="5159" spans="20:25">
      <c r="T5159" s="146"/>
      <c r="V5159" s="147"/>
      <c r="W5159" s="146"/>
      <c r="Y5159" s="147"/>
    </row>
    <row r="5160" spans="20:25">
      <c r="T5160" s="146"/>
      <c r="V5160" s="147"/>
      <c r="W5160" s="146"/>
      <c r="Y5160" s="147"/>
    </row>
    <row r="5161" spans="20:25">
      <c r="T5161" s="146"/>
      <c r="V5161" s="147"/>
      <c r="W5161" s="146"/>
      <c r="Y5161" s="147"/>
    </row>
    <row r="5162" spans="20:25">
      <c r="T5162" s="146"/>
      <c r="V5162" s="147"/>
      <c r="W5162" s="146"/>
      <c r="Y5162" s="147"/>
    </row>
    <row r="5163" spans="20:25">
      <c r="T5163" s="146"/>
      <c r="V5163" s="147"/>
      <c r="W5163" s="146"/>
      <c r="Y5163" s="147"/>
    </row>
    <row r="5164" spans="20:25">
      <c r="T5164" s="146"/>
      <c r="V5164" s="147"/>
      <c r="W5164" s="146"/>
      <c r="Y5164" s="147"/>
    </row>
    <row r="5165" spans="20:25">
      <c r="T5165" s="146"/>
      <c r="V5165" s="147"/>
      <c r="W5165" s="146"/>
      <c r="Y5165" s="147"/>
    </row>
    <row r="5166" spans="20:25">
      <c r="T5166" s="146"/>
      <c r="V5166" s="147"/>
      <c r="W5166" s="146"/>
      <c r="Y5166" s="147"/>
    </row>
    <row r="5167" spans="20:25">
      <c r="T5167" s="146"/>
      <c r="V5167" s="147"/>
      <c r="W5167" s="146"/>
      <c r="Y5167" s="147"/>
    </row>
    <row r="5168" spans="20:25">
      <c r="T5168" s="146"/>
      <c r="V5168" s="147"/>
      <c r="W5168" s="146"/>
      <c r="Y5168" s="147"/>
    </row>
    <row r="5169" spans="20:25">
      <c r="T5169" s="146"/>
      <c r="V5169" s="147"/>
      <c r="W5169" s="146"/>
      <c r="Y5169" s="147"/>
    </row>
    <row r="5170" spans="20:25">
      <c r="T5170" s="146"/>
      <c r="V5170" s="147"/>
      <c r="W5170" s="146"/>
      <c r="Y5170" s="147"/>
    </row>
    <row r="5171" spans="20:25">
      <c r="T5171" s="146"/>
      <c r="V5171" s="147"/>
      <c r="W5171" s="146"/>
      <c r="Y5171" s="147"/>
    </row>
    <row r="5172" spans="20:25">
      <c r="T5172" s="146"/>
      <c r="V5172" s="147"/>
      <c r="W5172" s="146"/>
      <c r="Y5172" s="147"/>
    </row>
    <row r="5173" spans="20:25">
      <c r="T5173" s="146"/>
      <c r="V5173" s="147"/>
      <c r="W5173" s="146"/>
      <c r="Y5173" s="147"/>
    </row>
    <row r="5174" spans="20:25">
      <c r="T5174" s="146"/>
      <c r="V5174" s="147"/>
      <c r="W5174" s="146"/>
      <c r="Y5174" s="147"/>
    </row>
    <row r="5175" spans="20:25">
      <c r="T5175" s="146"/>
      <c r="V5175" s="147"/>
      <c r="W5175" s="146"/>
      <c r="Y5175" s="147"/>
    </row>
    <row r="5176" spans="20:25">
      <c r="T5176" s="146"/>
      <c r="V5176" s="147"/>
      <c r="W5176" s="146"/>
      <c r="Y5176" s="147"/>
    </row>
    <row r="5177" spans="20:25">
      <c r="T5177" s="146"/>
      <c r="V5177" s="147"/>
      <c r="W5177" s="146"/>
      <c r="Y5177" s="147"/>
    </row>
    <row r="5178" spans="20:25">
      <c r="T5178" s="146"/>
      <c r="V5178" s="147"/>
      <c r="W5178" s="146"/>
      <c r="Y5178" s="147"/>
    </row>
    <row r="5179" spans="20:25">
      <c r="T5179" s="146"/>
      <c r="V5179" s="147"/>
      <c r="W5179" s="146"/>
      <c r="Y5179" s="147"/>
    </row>
    <row r="5180" spans="20:25">
      <c r="T5180" s="146"/>
      <c r="V5180" s="147"/>
      <c r="W5180" s="146"/>
      <c r="Y5180" s="147"/>
    </row>
    <row r="5181" spans="20:25">
      <c r="T5181" s="146"/>
      <c r="V5181" s="147"/>
      <c r="W5181" s="146"/>
      <c r="Y5181" s="147"/>
    </row>
    <row r="5182" spans="20:25">
      <c r="T5182" s="146"/>
      <c r="V5182" s="147"/>
      <c r="W5182" s="146"/>
      <c r="Y5182" s="147"/>
    </row>
    <row r="5183" spans="20:25">
      <c r="T5183" s="146"/>
      <c r="V5183" s="147"/>
      <c r="W5183" s="146"/>
      <c r="Y5183" s="147"/>
    </row>
    <row r="5184" spans="20:25">
      <c r="T5184" s="146"/>
      <c r="V5184" s="147"/>
      <c r="W5184" s="146"/>
      <c r="Y5184" s="147"/>
    </row>
    <row r="5185" spans="20:25">
      <c r="T5185" s="146"/>
      <c r="V5185" s="147"/>
      <c r="W5185" s="146"/>
      <c r="Y5185" s="147"/>
    </row>
    <row r="5186" spans="20:25">
      <c r="T5186" s="146"/>
      <c r="V5186" s="147"/>
      <c r="W5186" s="146"/>
      <c r="Y5186" s="147"/>
    </row>
    <row r="5187" spans="20:25">
      <c r="T5187" s="146"/>
      <c r="V5187" s="147"/>
      <c r="W5187" s="146"/>
      <c r="Y5187" s="147"/>
    </row>
    <row r="5188" spans="20:25">
      <c r="T5188" s="146"/>
      <c r="V5188" s="147"/>
      <c r="W5188" s="146"/>
      <c r="Y5188" s="147"/>
    </row>
    <row r="5189" spans="20:25">
      <c r="T5189" s="146"/>
      <c r="V5189" s="147"/>
      <c r="W5189" s="146"/>
      <c r="Y5189" s="147"/>
    </row>
    <row r="5190" spans="20:25">
      <c r="T5190" s="146"/>
      <c r="V5190" s="147"/>
      <c r="W5190" s="146"/>
      <c r="Y5190" s="147"/>
    </row>
    <row r="5191" spans="20:25">
      <c r="T5191" s="146"/>
      <c r="V5191" s="147"/>
      <c r="W5191" s="146"/>
      <c r="Y5191" s="147"/>
    </row>
    <row r="5192" spans="20:25">
      <c r="T5192" s="146"/>
      <c r="V5192" s="147"/>
      <c r="W5192" s="146"/>
      <c r="Y5192" s="147"/>
    </row>
    <row r="5193" spans="20:25">
      <c r="T5193" s="146"/>
      <c r="V5193" s="147"/>
      <c r="W5193" s="146"/>
      <c r="Y5193" s="147"/>
    </row>
    <row r="5194" spans="20:25">
      <c r="T5194" s="146"/>
      <c r="V5194" s="147"/>
      <c r="W5194" s="146"/>
      <c r="Y5194" s="147"/>
    </row>
    <row r="5195" spans="20:25">
      <c r="T5195" s="146"/>
      <c r="V5195" s="147"/>
      <c r="W5195" s="146"/>
      <c r="Y5195" s="147"/>
    </row>
    <row r="5196" spans="20:25">
      <c r="T5196" s="146"/>
      <c r="V5196" s="147"/>
      <c r="W5196" s="146"/>
      <c r="Y5196" s="147"/>
    </row>
    <row r="5197" spans="20:25">
      <c r="T5197" s="146"/>
      <c r="V5197" s="147"/>
      <c r="W5197" s="146"/>
      <c r="Y5197" s="147"/>
    </row>
    <row r="5198" spans="20:25">
      <c r="T5198" s="146"/>
      <c r="V5198" s="147"/>
      <c r="W5198" s="146"/>
      <c r="Y5198" s="147"/>
    </row>
    <row r="5199" spans="20:25">
      <c r="T5199" s="146"/>
      <c r="V5199" s="147"/>
      <c r="W5199" s="146"/>
      <c r="Y5199" s="147"/>
    </row>
    <row r="5200" spans="20:25">
      <c r="T5200" s="146"/>
      <c r="V5200" s="147"/>
      <c r="W5200" s="146"/>
      <c r="Y5200" s="147"/>
    </row>
    <row r="5201" spans="20:25">
      <c r="T5201" s="146"/>
      <c r="V5201" s="147"/>
      <c r="W5201" s="146"/>
      <c r="Y5201" s="147"/>
    </row>
    <row r="5202" spans="20:25">
      <c r="T5202" s="146"/>
      <c r="V5202" s="147"/>
      <c r="W5202" s="146"/>
      <c r="Y5202" s="147"/>
    </row>
    <row r="5203" spans="20:25">
      <c r="T5203" s="146"/>
      <c r="V5203" s="147"/>
      <c r="W5203" s="146"/>
      <c r="Y5203" s="147"/>
    </row>
    <row r="5204" spans="20:25">
      <c r="T5204" s="146"/>
      <c r="V5204" s="147"/>
      <c r="W5204" s="146"/>
      <c r="Y5204" s="147"/>
    </row>
    <row r="5205" spans="20:25">
      <c r="T5205" s="146"/>
      <c r="V5205" s="147"/>
      <c r="W5205" s="146"/>
      <c r="Y5205" s="147"/>
    </row>
    <row r="5206" spans="20:25">
      <c r="T5206" s="146"/>
      <c r="V5206" s="147"/>
      <c r="W5206" s="146"/>
      <c r="Y5206" s="147"/>
    </row>
    <row r="5207" spans="20:25">
      <c r="T5207" s="146"/>
      <c r="V5207" s="147"/>
      <c r="W5207" s="146"/>
      <c r="Y5207" s="147"/>
    </row>
    <row r="5208" spans="20:25">
      <c r="T5208" s="146"/>
      <c r="V5208" s="147"/>
      <c r="W5208" s="146"/>
      <c r="Y5208" s="147"/>
    </row>
    <row r="5209" spans="20:25">
      <c r="T5209" s="146"/>
      <c r="V5209" s="147"/>
      <c r="W5209" s="146"/>
      <c r="Y5209" s="147"/>
    </row>
    <row r="5210" spans="20:25">
      <c r="T5210" s="146"/>
      <c r="V5210" s="147"/>
      <c r="W5210" s="146"/>
      <c r="Y5210" s="147"/>
    </row>
    <row r="5211" spans="20:25">
      <c r="T5211" s="146"/>
      <c r="V5211" s="147"/>
      <c r="W5211" s="146"/>
      <c r="Y5211" s="147"/>
    </row>
    <row r="5212" spans="20:25">
      <c r="T5212" s="146"/>
      <c r="V5212" s="147"/>
      <c r="W5212" s="146"/>
      <c r="Y5212" s="147"/>
    </row>
    <row r="5213" spans="20:25">
      <c r="T5213" s="146"/>
      <c r="V5213" s="147"/>
      <c r="W5213" s="146"/>
      <c r="Y5213" s="147"/>
    </row>
    <row r="5214" spans="20:25">
      <c r="T5214" s="146"/>
      <c r="V5214" s="147"/>
      <c r="W5214" s="146"/>
      <c r="Y5214" s="147"/>
    </row>
    <row r="5215" spans="20:25">
      <c r="T5215" s="146"/>
      <c r="V5215" s="147"/>
      <c r="W5215" s="146"/>
      <c r="Y5215" s="147"/>
    </row>
    <row r="5216" spans="20:25">
      <c r="T5216" s="146"/>
      <c r="V5216" s="147"/>
      <c r="W5216" s="146"/>
      <c r="Y5216" s="147"/>
    </row>
    <row r="5217" spans="20:25">
      <c r="T5217" s="146"/>
      <c r="V5217" s="147"/>
      <c r="W5217" s="146"/>
      <c r="Y5217" s="147"/>
    </row>
    <row r="5218" spans="20:25">
      <c r="T5218" s="146"/>
      <c r="V5218" s="147"/>
      <c r="W5218" s="146"/>
      <c r="Y5218" s="147"/>
    </row>
    <row r="5219" spans="20:25">
      <c r="T5219" s="146"/>
      <c r="V5219" s="147"/>
      <c r="W5219" s="146"/>
      <c r="Y5219" s="147"/>
    </row>
    <row r="5220" spans="20:25">
      <c r="T5220" s="146"/>
      <c r="V5220" s="147"/>
      <c r="W5220" s="146"/>
      <c r="Y5220" s="147"/>
    </row>
    <row r="5221" spans="20:25">
      <c r="T5221" s="146"/>
      <c r="V5221" s="147"/>
      <c r="W5221" s="146"/>
      <c r="Y5221" s="147"/>
    </row>
    <row r="5222" spans="20:25">
      <c r="T5222" s="146"/>
      <c r="V5222" s="147"/>
      <c r="W5222" s="146"/>
      <c r="Y5222" s="147"/>
    </row>
    <row r="5223" spans="20:25">
      <c r="T5223" s="146"/>
      <c r="V5223" s="147"/>
      <c r="W5223" s="146"/>
      <c r="Y5223" s="147"/>
    </row>
    <row r="5224" spans="20:25">
      <c r="T5224" s="146"/>
      <c r="V5224" s="147"/>
      <c r="W5224" s="146"/>
      <c r="Y5224" s="147"/>
    </row>
    <row r="5225" spans="20:25">
      <c r="T5225" s="146"/>
      <c r="V5225" s="147"/>
      <c r="W5225" s="146"/>
      <c r="Y5225" s="147"/>
    </row>
    <row r="5226" spans="20:25">
      <c r="T5226" s="146"/>
      <c r="V5226" s="147"/>
      <c r="W5226" s="146"/>
      <c r="Y5226" s="147"/>
    </row>
    <row r="5227" spans="20:25">
      <c r="T5227" s="146"/>
      <c r="V5227" s="147"/>
      <c r="W5227" s="146"/>
      <c r="Y5227" s="147"/>
    </row>
    <row r="5228" spans="20:25">
      <c r="T5228" s="146"/>
      <c r="V5228" s="147"/>
      <c r="W5228" s="146"/>
      <c r="Y5228" s="147"/>
    </row>
    <row r="5229" spans="20:25">
      <c r="T5229" s="146"/>
      <c r="V5229" s="147"/>
      <c r="W5229" s="146"/>
      <c r="Y5229" s="147"/>
    </row>
    <row r="5230" spans="20:25">
      <c r="T5230" s="146"/>
      <c r="V5230" s="147"/>
      <c r="W5230" s="146"/>
      <c r="Y5230" s="147"/>
    </row>
    <row r="5231" spans="20:25">
      <c r="T5231" s="146"/>
      <c r="V5231" s="147"/>
      <c r="W5231" s="146"/>
      <c r="Y5231" s="147"/>
    </row>
    <row r="5232" spans="20:25">
      <c r="T5232" s="146"/>
      <c r="V5232" s="147"/>
      <c r="W5232" s="146"/>
      <c r="Y5232" s="147"/>
    </row>
    <row r="5233" spans="20:25">
      <c r="T5233" s="146"/>
      <c r="V5233" s="147"/>
      <c r="W5233" s="146"/>
      <c r="Y5233" s="147"/>
    </row>
    <row r="5234" spans="20:25">
      <c r="T5234" s="146"/>
      <c r="V5234" s="147"/>
      <c r="W5234" s="146"/>
      <c r="Y5234" s="147"/>
    </row>
    <row r="5235" spans="20:25">
      <c r="T5235" s="146"/>
      <c r="V5235" s="147"/>
      <c r="W5235" s="146"/>
      <c r="Y5235" s="147"/>
    </row>
    <row r="5236" spans="20:25">
      <c r="T5236" s="146"/>
      <c r="V5236" s="147"/>
      <c r="W5236" s="146"/>
      <c r="Y5236" s="147"/>
    </row>
    <row r="5237" spans="20:25">
      <c r="T5237" s="146"/>
      <c r="V5237" s="147"/>
      <c r="W5237" s="146"/>
      <c r="Y5237" s="147"/>
    </row>
    <row r="5238" spans="20:25">
      <c r="T5238" s="146"/>
      <c r="V5238" s="147"/>
      <c r="W5238" s="146"/>
      <c r="Y5238" s="147"/>
    </row>
    <row r="5239" spans="20:25">
      <c r="T5239" s="146"/>
      <c r="V5239" s="147"/>
      <c r="W5239" s="146"/>
      <c r="Y5239" s="147"/>
    </row>
    <row r="5240" spans="20:25">
      <c r="T5240" s="146"/>
      <c r="V5240" s="147"/>
      <c r="W5240" s="146"/>
      <c r="Y5240" s="147"/>
    </row>
    <row r="5241" spans="20:25">
      <c r="T5241" s="146"/>
      <c r="V5241" s="147"/>
      <c r="W5241" s="146"/>
      <c r="Y5241" s="147"/>
    </row>
    <row r="5242" spans="20:25">
      <c r="T5242" s="146"/>
      <c r="V5242" s="147"/>
      <c r="W5242" s="146"/>
      <c r="Y5242" s="147"/>
    </row>
    <row r="5243" spans="20:25">
      <c r="T5243" s="146"/>
      <c r="V5243" s="147"/>
      <c r="W5243" s="146"/>
      <c r="Y5243" s="147"/>
    </row>
    <row r="5244" spans="20:25">
      <c r="T5244" s="146"/>
      <c r="V5244" s="147"/>
      <c r="W5244" s="146"/>
      <c r="Y5244" s="147"/>
    </row>
    <row r="5245" spans="20:25">
      <c r="T5245" s="146"/>
      <c r="V5245" s="147"/>
      <c r="W5245" s="146"/>
      <c r="Y5245" s="147"/>
    </row>
    <row r="5246" spans="20:25">
      <c r="T5246" s="146"/>
      <c r="V5246" s="147"/>
      <c r="W5246" s="146"/>
      <c r="Y5246" s="147"/>
    </row>
    <row r="5247" spans="20:25">
      <c r="T5247" s="146"/>
      <c r="V5247" s="147"/>
      <c r="W5247" s="146"/>
      <c r="Y5247" s="147"/>
    </row>
    <row r="5248" spans="20:25">
      <c r="T5248" s="146"/>
      <c r="V5248" s="147"/>
      <c r="W5248" s="146"/>
      <c r="Y5248" s="147"/>
    </row>
    <row r="5249" spans="20:25">
      <c r="T5249" s="146"/>
      <c r="V5249" s="147"/>
      <c r="W5249" s="146"/>
      <c r="Y5249" s="147"/>
    </row>
    <row r="5250" spans="20:25">
      <c r="T5250" s="146"/>
      <c r="V5250" s="147"/>
      <c r="W5250" s="146"/>
      <c r="Y5250" s="147"/>
    </row>
    <row r="5251" spans="20:25">
      <c r="T5251" s="146"/>
      <c r="V5251" s="147"/>
      <c r="W5251" s="146"/>
      <c r="Y5251" s="147"/>
    </row>
    <row r="5252" spans="20:25">
      <c r="T5252" s="146"/>
      <c r="V5252" s="147"/>
      <c r="W5252" s="146"/>
      <c r="Y5252" s="147"/>
    </row>
    <row r="5253" spans="20:25">
      <c r="T5253" s="146"/>
      <c r="V5253" s="147"/>
      <c r="W5253" s="146"/>
      <c r="Y5253" s="147"/>
    </row>
    <row r="5254" spans="20:25">
      <c r="T5254" s="146"/>
      <c r="V5254" s="147"/>
      <c r="W5254" s="146"/>
      <c r="Y5254" s="147"/>
    </row>
    <row r="5255" spans="20:25">
      <c r="T5255" s="146"/>
      <c r="V5255" s="147"/>
      <c r="W5255" s="146"/>
      <c r="Y5255" s="147"/>
    </row>
    <row r="5256" spans="20:25">
      <c r="T5256" s="146"/>
      <c r="V5256" s="147"/>
      <c r="W5256" s="146"/>
      <c r="Y5256" s="147"/>
    </row>
    <row r="5257" spans="20:25">
      <c r="T5257" s="146"/>
      <c r="V5257" s="147"/>
      <c r="W5257" s="146"/>
      <c r="Y5257" s="147"/>
    </row>
    <row r="5258" spans="20:25">
      <c r="T5258" s="146"/>
      <c r="V5258" s="147"/>
      <c r="W5258" s="146"/>
      <c r="Y5258" s="147"/>
    </row>
    <row r="5259" spans="20:25">
      <c r="T5259" s="146"/>
      <c r="V5259" s="147"/>
      <c r="W5259" s="146"/>
      <c r="Y5259" s="147"/>
    </row>
    <row r="5260" spans="20:25">
      <c r="T5260" s="146"/>
      <c r="V5260" s="147"/>
      <c r="W5260" s="146"/>
      <c r="Y5260" s="147"/>
    </row>
    <row r="5261" spans="20:25">
      <c r="T5261" s="146"/>
      <c r="V5261" s="147"/>
      <c r="W5261" s="146"/>
      <c r="Y5261" s="147"/>
    </row>
    <row r="5262" spans="20:25">
      <c r="T5262" s="146"/>
      <c r="V5262" s="147"/>
      <c r="W5262" s="146"/>
      <c r="Y5262" s="147"/>
    </row>
    <row r="5263" spans="20:25">
      <c r="T5263" s="146"/>
      <c r="V5263" s="147"/>
      <c r="W5263" s="146"/>
      <c r="Y5263" s="147"/>
    </row>
    <row r="5264" spans="20:25">
      <c r="T5264" s="146"/>
      <c r="V5264" s="147"/>
      <c r="W5264" s="146"/>
      <c r="Y5264" s="147"/>
    </row>
    <row r="5265" spans="20:25">
      <c r="T5265" s="146"/>
      <c r="V5265" s="147"/>
      <c r="W5265" s="146"/>
      <c r="Y5265" s="147"/>
    </row>
    <row r="5266" spans="20:25">
      <c r="T5266" s="146"/>
      <c r="V5266" s="147"/>
      <c r="W5266" s="146"/>
      <c r="Y5266" s="147"/>
    </row>
    <row r="5267" spans="20:25">
      <c r="T5267" s="146"/>
      <c r="V5267" s="147"/>
      <c r="W5267" s="146"/>
      <c r="Y5267" s="147"/>
    </row>
    <row r="5268" spans="20:25">
      <c r="T5268" s="146"/>
      <c r="V5268" s="147"/>
      <c r="W5268" s="146"/>
      <c r="Y5268" s="147"/>
    </row>
    <row r="5269" spans="20:25">
      <c r="T5269" s="146"/>
      <c r="V5269" s="147"/>
      <c r="W5269" s="146"/>
      <c r="Y5269" s="147"/>
    </row>
    <row r="5270" spans="20:25">
      <c r="T5270" s="146"/>
      <c r="V5270" s="147"/>
      <c r="W5270" s="146"/>
      <c r="Y5270" s="147"/>
    </row>
    <row r="5271" spans="20:25">
      <c r="T5271" s="146"/>
      <c r="V5271" s="147"/>
      <c r="W5271" s="146"/>
      <c r="Y5271" s="147"/>
    </row>
    <row r="5272" spans="20:25">
      <c r="T5272" s="146"/>
      <c r="V5272" s="147"/>
      <c r="W5272" s="146"/>
      <c r="Y5272" s="147"/>
    </row>
    <row r="5273" spans="20:25">
      <c r="T5273" s="146"/>
      <c r="V5273" s="147"/>
      <c r="W5273" s="146"/>
      <c r="Y5273" s="147"/>
    </row>
    <row r="5274" spans="20:25">
      <c r="T5274" s="146"/>
      <c r="V5274" s="147"/>
      <c r="W5274" s="146"/>
      <c r="Y5274" s="147"/>
    </row>
    <row r="5275" spans="20:25">
      <c r="T5275" s="146"/>
      <c r="V5275" s="147"/>
      <c r="W5275" s="146"/>
      <c r="Y5275" s="147"/>
    </row>
    <row r="5276" spans="20:25">
      <c r="T5276" s="146"/>
      <c r="V5276" s="147"/>
      <c r="W5276" s="146"/>
      <c r="Y5276" s="147"/>
    </row>
    <row r="5277" spans="20:25">
      <c r="T5277" s="146"/>
      <c r="V5277" s="147"/>
      <c r="W5277" s="146"/>
      <c r="Y5277" s="147"/>
    </row>
    <row r="5278" spans="20:25">
      <c r="T5278" s="146"/>
      <c r="V5278" s="147"/>
      <c r="W5278" s="146"/>
      <c r="Y5278" s="147"/>
    </row>
    <row r="5279" spans="20:25">
      <c r="T5279" s="146"/>
      <c r="V5279" s="147"/>
      <c r="W5279" s="146"/>
      <c r="Y5279" s="147"/>
    </row>
    <row r="5280" spans="20:25">
      <c r="T5280" s="146"/>
      <c r="V5280" s="147"/>
      <c r="W5280" s="146"/>
      <c r="Y5280" s="147"/>
    </row>
    <row r="5281" spans="20:25">
      <c r="T5281" s="146"/>
      <c r="V5281" s="147"/>
      <c r="W5281" s="146"/>
      <c r="Y5281" s="147"/>
    </row>
    <row r="5282" spans="20:25">
      <c r="T5282" s="146"/>
      <c r="V5282" s="147"/>
      <c r="W5282" s="146"/>
      <c r="Y5282" s="147"/>
    </row>
    <row r="5283" spans="20:25">
      <c r="T5283" s="146"/>
      <c r="V5283" s="147"/>
      <c r="W5283" s="146"/>
      <c r="Y5283" s="147"/>
    </row>
    <row r="5284" spans="20:25">
      <c r="T5284" s="146"/>
      <c r="V5284" s="147"/>
      <c r="W5284" s="146"/>
      <c r="Y5284" s="147"/>
    </row>
    <row r="5285" spans="20:25">
      <c r="T5285" s="146"/>
      <c r="V5285" s="147"/>
      <c r="W5285" s="146"/>
      <c r="Y5285" s="147"/>
    </row>
    <row r="5286" spans="20:25">
      <c r="T5286" s="146"/>
      <c r="V5286" s="147"/>
      <c r="W5286" s="146"/>
      <c r="Y5286" s="147"/>
    </row>
    <row r="5287" spans="20:25">
      <c r="T5287" s="146"/>
      <c r="V5287" s="147"/>
      <c r="W5287" s="146"/>
      <c r="Y5287" s="147"/>
    </row>
    <row r="5288" spans="20:25">
      <c r="T5288" s="146"/>
      <c r="V5288" s="147"/>
      <c r="W5288" s="146"/>
      <c r="Y5288" s="147"/>
    </row>
    <row r="5289" spans="20:25">
      <c r="T5289" s="146"/>
      <c r="V5289" s="147"/>
      <c r="W5289" s="146"/>
      <c r="Y5289" s="147"/>
    </row>
    <row r="5290" spans="20:25">
      <c r="T5290" s="146"/>
      <c r="V5290" s="147"/>
      <c r="W5290" s="146"/>
      <c r="Y5290" s="147"/>
    </row>
    <row r="5291" spans="20:25">
      <c r="T5291" s="146"/>
      <c r="V5291" s="147"/>
      <c r="W5291" s="146"/>
      <c r="Y5291" s="147"/>
    </row>
    <row r="5292" spans="20:25">
      <c r="T5292" s="146"/>
      <c r="V5292" s="147"/>
      <c r="W5292" s="146"/>
      <c r="Y5292" s="147"/>
    </row>
    <row r="5293" spans="20:25">
      <c r="T5293" s="146"/>
      <c r="V5293" s="147"/>
      <c r="W5293" s="146"/>
      <c r="Y5293" s="147"/>
    </row>
    <row r="5294" spans="20:25">
      <c r="T5294" s="146"/>
      <c r="V5294" s="147"/>
      <c r="W5294" s="146"/>
      <c r="Y5294" s="147"/>
    </row>
    <row r="5295" spans="20:25">
      <c r="T5295" s="146"/>
      <c r="V5295" s="147"/>
      <c r="W5295" s="146"/>
      <c r="Y5295" s="147"/>
    </row>
    <row r="5296" spans="20:25">
      <c r="T5296" s="146"/>
      <c r="V5296" s="147"/>
      <c r="W5296" s="146"/>
      <c r="Y5296" s="147"/>
    </row>
    <row r="5297" spans="20:25">
      <c r="T5297" s="146"/>
      <c r="V5297" s="147"/>
      <c r="W5297" s="146"/>
      <c r="Y5297" s="147"/>
    </row>
    <row r="5298" spans="20:25">
      <c r="T5298" s="146"/>
      <c r="V5298" s="147"/>
      <c r="W5298" s="146"/>
      <c r="Y5298" s="147"/>
    </row>
    <row r="5299" spans="20:25">
      <c r="T5299" s="146"/>
      <c r="V5299" s="147"/>
      <c r="W5299" s="146"/>
      <c r="Y5299" s="147"/>
    </row>
    <row r="5300" spans="20:25">
      <c r="T5300" s="146"/>
      <c r="V5300" s="147"/>
      <c r="W5300" s="146"/>
      <c r="Y5300" s="147"/>
    </row>
    <row r="5301" spans="20:25">
      <c r="T5301" s="146"/>
      <c r="V5301" s="147"/>
      <c r="W5301" s="146"/>
      <c r="Y5301" s="147"/>
    </row>
    <row r="5302" spans="20:25">
      <c r="T5302" s="146"/>
      <c r="V5302" s="147"/>
      <c r="W5302" s="146"/>
      <c r="Y5302" s="147"/>
    </row>
    <row r="5303" spans="20:25">
      <c r="T5303" s="146"/>
      <c r="V5303" s="147"/>
      <c r="W5303" s="146"/>
      <c r="Y5303" s="147"/>
    </row>
    <row r="5304" spans="20:25">
      <c r="T5304" s="146"/>
      <c r="V5304" s="147"/>
      <c r="W5304" s="146"/>
      <c r="Y5304" s="147"/>
    </row>
    <row r="5305" spans="20:25">
      <c r="T5305" s="146"/>
      <c r="V5305" s="147"/>
      <c r="W5305" s="146"/>
      <c r="Y5305" s="147"/>
    </row>
    <row r="5306" spans="20:25">
      <c r="T5306" s="146"/>
      <c r="V5306" s="147"/>
      <c r="W5306" s="146"/>
      <c r="Y5306" s="147"/>
    </row>
    <row r="5307" spans="20:25">
      <c r="T5307" s="146"/>
      <c r="V5307" s="147"/>
      <c r="W5307" s="146"/>
      <c r="Y5307" s="147"/>
    </row>
    <row r="5308" spans="20:25">
      <c r="T5308" s="146"/>
      <c r="V5308" s="147"/>
      <c r="W5308" s="146"/>
      <c r="Y5308" s="147"/>
    </row>
    <row r="5309" spans="20:25">
      <c r="T5309" s="146"/>
      <c r="V5309" s="147"/>
      <c r="W5309" s="146"/>
      <c r="Y5309" s="147"/>
    </row>
    <row r="5310" spans="20:25">
      <c r="T5310" s="146"/>
      <c r="V5310" s="147"/>
      <c r="W5310" s="146"/>
      <c r="Y5310" s="147"/>
    </row>
    <row r="5311" spans="20:25">
      <c r="T5311" s="146"/>
      <c r="V5311" s="147"/>
      <c r="W5311" s="146"/>
      <c r="Y5311" s="147"/>
    </row>
    <row r="5312" spans="20:25">
      <c r="T5312" s="146"/>
      <c r="V5312" s="147"/>
      <c r="W5312" s="146"/>
      <c r="Y5312" s="147"/>
    </row>
    <row r="5313" spans="20:25">
      <c r="T5313" s="146"/>
      <c r="V5313" s="147"/>
      <c r="W5313" s="146"/>
      <c r="Y5313" s="147"/>
    </row>
    <row r="5314" spans="20:25">
      <c r="T5314" s="146"/>
      <c r="V5314" s="147"/>
      <c r="W5314" s="146"/>
      <c r="Y5314" s="147"/>
    </row>
    <row r="5315" spans="20:25">
      <c r="T5315" s="146"/>
      <c r="V5315" s="147"/>
      <c r="W5315" s="146"/>
      <c r="Y5315" s="147"/>
    </row>
    <row r="5316" spans="20:25">
      <c r="T5316" s="146"/>
      <c r="V5316" s="147"/>
      <c r="W5316" s="146"/>
      <c r="Y5316" s="147"/>
    </row>
    <row r="5317" spans="20:25">
      <c r="T5317" s="146"/>
      <c r="V5317" s="147"/>
      <c r="W5317" s="146"/>
      <c r="Y5317" s="147"/>
    </row>
    <row r="5318" spans="20:25">
      <c r="T5318" s="146"/>
      <c r="V5318" s="147"/>
      <c r="W5318" s="146"/>
      <c r="Y5318" s="147"/>
    </row>
    <row r="5319" spans="20:25">
      <c r="T5319" s="146"/>
      <c r="V5319" s="147"/>
      <c r="W5319" s="146"/>
      <c r="Y5319" s="147"/>
    </row>
    <row r="5320" spans="20:25">
      <c r="T5320" s="146"/>
      <c r="V5320" s="147"/>
      <c r="W5320" s="146"/>
      <c r="Y5320" s="147"/>
    </row>
    <row r="5321" spans="20:25">
      <c r="T5321" s="146"/>
      <c r="V5321" s="147"/>
      <c r="W5321" s="146"/>
      <c r="Y5321" s="147"/>
    </row>
    <row r="5322" spans="20:25">
      <c r="T5322" s="146"/>
      <c r="V5322" s="147"/>
      <c r="W5322" s="146"/>
      <c r="Y5322" s="147"/>
    </row>
    <row r="5323" spans="20:25">
      <c r="T5323" s="146"/>
      <c r="V5323" s="147"/>
      <c r="W5323" s="146"/>
      <c r="Y5323" s="147"/>
    </row>
    <row r="5324" spans="20:25">
      <c r="T5324" s="146"/>
      <c r="V5324" s="147"/>
      <c r="W5324" s="146"/>
      <c r="Y5324" s="147"/>
    </row>
    <row r="5325" spans="20:25">
      <c r="T5325" s="146"/>
      <c r="V5325" s="147"/>
      <c r="W5325" s="146"/>
      <c r="Y5325" s="147"/>
    </row>
    <row r="5326" spans="20:25">
      <c r="T5326" s="146"/>
      <c r="V5326" s="147"/>
      <c r="W5326" s="146"/>
      <c r="Y5326" s="147"/>
    </row>
    <row r="5327" spans="20:25">
      <c r="T5327" s="146"/>
      <c r="V5327" s="147"/>
      <c r="W5327" s="146"/>
      <c r="Y5327" s="147"/>
    </row>
    <row r="5328" spans="20:25">
      <c r="T5328" s="146"/>
      <c r="V5328" s="147"/>
      <c r="W5328" s="146"/>
      <c r="Y5328" s="147"/>
    </row>
    <row r="5329" spans="20:25">
      <c r="T5329" s="146"/>
      <c r="V5329" s="147"/>
      <c r="W5329" s="146"/>
      <c r="Y5329" s="147"/>
    </row>
    <row r="5330" spans="20:25">
      <c r="T5330" s="146"/>
      <c r="V5330" s="147"/>
      <c r="W5330" s="146"/>
      <c r="Y5330" s="147"/>
    </row>
    <row r="5331" spans="20:25">
      <c r="T5331" s="146"/>
      <c r="V5331" s="147"/>
      <c r="W5331" s="146"/>
      <c r="Y5331" s="147"/>
    </row>
    <row r="5332" spans="20:25">
      <c r="T5332" s="146"/>
      <c r="V5332" s="147"/>
      <c r="W5332" s="146"/>
      <c r="Y5332" s="147"/>
    </row>
    <row r="5333" spans="20:25">
      <c r="T5333" s="146"/>
      <c r="V5333" s="147"/>
      <c r="W5333" s="146"/>
      <c r="Y5333" s="147"/>
    </row>
    <row r="5334" spans="20:25">
      <c r="T5334" s="146"/>
      <c r="V5334" s="147"/>
      <c r="W5334" s="146"/>
      <c r="Y5334" s="147"/>
    </row>
    <row r="5335" spans="20:25">
      <c r="T5335" s="146"/>
      <c r="V5335" s="147"/>
      <c r="W5335" s="146"/>
      <c r="Y5335" s="147"/>
    </row>
    <row r="5336" spans="20:25">
      <c r="T5336" s="146"/>
      <c r="V5336" s="147"/>
      <c r="W5336" s="146"/>
      <c r="Y5336" s="147"/>
    </row>
    <row r="5337" spans="20:25">
      <c r="T5337" s="146"/>
      <c r="V5337" s="147"/>
      <c r="W5337" s="146"/>
      <c r="Y5337" s="147"/>
    </row>
    <row r="5338" spans="20:25">
      <c r="T5338" s="146"/>
      <c r="V5338" s="147"/>
      <c r="W5338" s="146"/>
      <c r="Y5338" s="147"/>
    </row>
    <row r="5339" spans="20:25">
      <c r="T5339" s="146"/>
      <c r="V5339" s="147"/>
      <c r="W5339" s="146"/>
      <c r="Y5339" s="147"/>
    </row>
    <row r="5340" spans="20:25">
      <c r="T5340" s="146"/>
      <c r="V5340" s="147"/>
      <c r="W5340" s="146"/>
      <c r="Y5340" s="147"/>
    </row>
    <row r="5341" spans="20:25">
      <c r="T5341" s="146"/>
      <c r="V5341" s="147"/>
      <c r="W5341" s="146"/>
      <c r="Y5341" s="147"/>
    </row>
    <row r="5342" spans="20:25">
      <c r="T5342" s="146"/>
      <c r="V5342" s="147"/>
      <c r="W5342" s="146"/>
      <c r="Y5342" s="147"/>
    </row>
    <row r="5343" spans="20:25">
      <c r="T5343" s="146"/>
      <c r="V5343" s="147"/>
      <c r="W5343" s="146"/>
      <c r="Y5343" s="147"/>
    </row>
    <row r="5344" spans="20:25">
      <c r="T5344" s="146"/>
      <c r="V5344" s="147"/>
      <c r="W5344" s="146"/>
      <c r="Y5344" s="147"/>
    </row>
    <row r="5345" spans="20:25">
      <c r="T5345" s="146"/>
      <c r="V5345" s="147"/>
      <c r="W5345" s="146"/>
      <c r="Y5345" s="147"/>
    </row>
    <row r="5346" spans="20:25">
      <c r="T5346" s="146"/>
      <c r="V5346" s="147"/>
      <c r="W5346" s="146"/>
      <c r="Y5346" s="147"/>
    </row>
    <row r="5347" spans="20:25">
      <c r="T5347" s="146"/>
      <c r="V5347" s="147"/>
      <c r="W5347" s="146"/>
      <c r="Y5347" s="147"/>
    </row>
    <row r="5348" spans="20:25">
      <c r="T5348" s="146"/>
      <c r="V5348" s="147"/>
      <c r="W5348" s="146"/>
      <c r="Y5348" s="147"/>
    </row>
    <row r="5349" spans="20:25">
      <c r="T5349" s="146"/>
      <c r="V5349" s="147"/>
      <c r="W5349" s="146"/>
      <c r="Y5349" s="147"/>
    </row>
    <row r="5350" spans="20:25">
      <c r="T5350" s="146"/>
      <c r="V5350" s="147"/>
      <c r="W5350" s="146"/>
      <c r="Y5350" s="147"/>
    </row>
    <row r="5351" spans="20:25">
      <c r="T5351" s="146"/>
      <c r="V5351" s="147"/>
      <c r="W5351" s="146"/>
      <c r="Y5351" s="147"/>
    </row>
    <row r="5352" spans="20:25">
      <c r="T5352" s="146"/>
      <c r="V5352" s="147"/>
      <c r="W5352" s="146"/>
      <c r="Y5352" s="147"/>
    </row>
    <row r="5353" spans="20:25">
      <c r="T5353" s="146"/>
      <c r="V5353" s="147"/>
      <c r="W5353" s="146"/>
      <c r="Y5353" s="147"/>
    </row>
    <row r="5354" spans="20:25">
      <c r="T5354" s="146"/>
      <c r="V5354" s="147"/>
      <c r="W5354" s="146"/>
      <c r="Y5354" s="147"/>
    </row>
    <row r="5355" spans="20:25">
      <c r="T5355" s="146"/>
      <c r="V5355" s="147"/>
      <c r="W5355" s="146"/>
      <c r="Y5355" s="147"/>
    </row>
    <row r="5356" spans="20:25">
      <c r="T5356" s="146"/>
      <c r="V5356" s="147"/>
      <c r="W5356" s="146"/>
      <c r="Y5356" s="147"/>
    </row>
    <row r="5357" spans="20:25">
      <c r="T5357" s="146"/>
      <c r="V5357" s="147"/>
      <c r="W5357" s="146"/>
      <c r="Y5357" s="147"/>
    </row>
    <row r="5358" spans="20:25">
      <c r="T5358" s="146"/>
      <c r="V5358" s="147"/>
      <c r="W5358" s="146"/>
      <c r="Y5358" s="147"/>
    </row>
    <row r="5359" spans="20:25">
      <c r="T5359" s="146"/>
      <c r="V5359" s="147"/>
      <c r="W5359" s="146"/>
      <c r="Y5359" s="147"/>
    </row>
    <row r="5360" spans="20:25">
      <c r="T5360" s="146"/>
      <c r="V5360" s="147"/>
      <c r="W5360" s="146"/>
      <c r="Y5360" s="147"/>
    </row>
    <row r="5361" spans="20:25">
      <c r="T5361" s="146"/>
      <c r="V5361" s="147"/>
      <c r="W5361" s="146"/>
      <c r="Y5361" s="147"/>
    </row>
    <row r="5362" spans="20:25">
      <c r="T5362" s="146"/>
      <c r="V5362" s="147"/>
      <c r="W5362" s="146"/>
      <c r="Y5362" s="147"/>
    </row>
    <row r="5363" spans="20:25">
      <c r="T5363" s="146"/>
      <c r="V5363" s="147"/>
      <c r="W5363" s="146"/>
      <c r="Y5363" s="147"/>
    </row>
    <row r="5364" spans="20:25">
      <c r="T5364" s="146"/>
      <c r="V5364" s="147"/>
      <c r="W5364" s="146"/>
      <c r="Y5364" s="147"/>
    </row>
    <row r="5365" spans="20:25">
      <c r="T5365" s="146"/>
      <c r="V5365" s="147"/>
      <c r="W5365" s="146"/>
      <c r="Y5365" s="147"/>
    </row>
    <row r="5366" spans="20:25">
      <c r="T5366" s="146"/>
      <c r="V5366" s="147"/>
      <c r="W5366" s="146"/>
      <c r="Y5366" s="147"/>
    </row>
    <row r="5367" spans="20:25">
      <c r="T5367" s="146"/>
      <c r="V5367" s="147"/>
      <c r="W5367" s="146"/>
      <c r="Y5367" s="147"/>
    </row>
    <row r="5368" spans="20:25">
      <c r="T5368" s="146"/>
      <c r="V5368" s="147"/>
      <c r="W5368" s="146"/>
      <c r="Y5368" s="147"/>
    </row>
    <row r="5369" spans="20:25">
      <c r="T5369" s="146"/>
      <c r="V5369" s="147"/>
      <c r="W5369" s="146"/>
      <c r="Y5369" s="147"/>
    </row>
    <row r="5370" spans="20:25">
      <c r="T5370" s="146"/>
      <c r="V5370" s="147"/>
      <c r="W5370" s="146"/>
      <c r="Y5370" s="147"/>
    </row>
    <row r="5371" spans="20:25">
      <c r="T5371" s="146"/>
      <c r="V5371" s="147"/>
      <c r="W5371" s="146"/>
      <c r="Y5371" s="147"/>
    </row>
    <row r="5372" spans="20:25">
      <c r="T5372" s="146"/>
      <c r="V5372" s="147"/>
      <c r="W5372" s="146"/>
      <c r="Y5372" s="147"/>
    </row>
    <row r="5373" spans="20:25">
      <c r="T5373" s="146"/>
      <c r="V5373" s="147"/>
      <c r="W5373" s="146"/>
      <c r="Y5373" s="147"/>
    </row>
    <row r="5374" spans="20:25">
      <c r="T5374" s="146"/>
      <c r="V5374" s="147"/>
      <c r="W5374" s="146"/>
      <c r="Y5374" s="147"/>
    </row>
    <row r="5375" spans="20:25">
      <c r="T5375" s="146"/>
      <c r="V5375" s="147"/>
      <c r="W5375" s="146"/>
      <c r="Y5375" s="147"/>
    </row>
    <row r="5376" spans="20:25">
      <c r="T5376" s="146"/>
      <c r="V5376" s="147"/>
      <c r="W5376" s="146"/>
      <c r="Y5376" s="147"/>
    </row>
    <row r="5377" spans="20:25">
      <c r="T5377" s="146"/>
      <c r="V5377" s="147"/>
      <c r="W5377" s="146"/>
      <c r="Y5377" s="147"/>
    </row>
    <row r="5378" spans="20:25">
      <c r="T5378" s="146"/>
      <c r="V5378" s="147"/>
      <c r="W5378" s="146"/>
      <c r="Y5378" s="147"/>
    </row>
    <row r="5379" spans="20:25">
      <c r="T5379" s="146"/>
      <c r="V5379" s="147"/>
      <c r="W5379" s="146"/>
      <c r="Y5379" s="147"/>
    </row>
    <row r="5380" spans="20:25">
      <c r="T5380" s="146"/>
      <c r="V5380" s="147"/>
      <c r="W5380" s="146"/>
      <c r="Y5380" s="147"/>
    </row>
    <row r="5381" spans="20:25">
      <c r="T5381" s="146"/>
      <c r="V5381" s="147"/>
      <c r="W5381" s="146"/>
      <c r="Y5381" s="147"/>
    </row>
    <row r="5382" spans="20:25">
      <c r="T5382" s="146"/>
      <c r="V5382" s="147"/>
      <c r="W5382" s="146"/>
      <c r="Y5382" s="147"/>
    </row>
    <row r="5383" spans="20:25">
      <c r="T5383" s="146"/>
      <c r="V5383" s="147"/>
      <c r="W5383" s="146"/>
      <c r="Y5383" s="147"/>
    </row>
    <row r="5384" spans="20:25">
      <c r="T5384" s="146"/>
      <c r="V5384" s="147"/>
      <c r="W5384" s="146"/>
      <c r="Y5384" s="147"/>
    </row>
    <row r="5385" spans="20:25">
      <c r="T5385" s="146"/>
      <c r="V5385" s="147"/>
      <c r="W5385" s="146"/>
      <c r="Y5385" s="147"/>
    </row>
    <row r="5386" spans="20:25">
      <c r="T5386" s="146"/>
      <c r="V5386" s="147"/>
      <c r="W5386" s="146"/>
      <c r="Y5386" s="147"/>
    </row>
    <row r="5387" spans="20:25">
      <c r="T5387" s="146"/>
      <c r="V5387" s="147"/>
      <c r="W5387" s="146"/>
      <c r="Y5387" s="147"/>
    </row>
    <row r="5388" spans="20:25">
      <c r="T5388" s="146"/>
      <c r="V5388" s="147"/>
      <c r="W5388" s="146"/>
      <c r="Y5388" s="147"/>
    </row>
    <row r="5389" spans="20:25">
      <c r="T5389" s="146"/>
      <c r="V5389" s="147"/>
      <c r="W5389" s="146"/>
      <c r="Y5389" s="147"/>
    </row>
    <row r="5390" spans="20:25">
      <c r="T5390" s="146"/>
      <c r="V5390" s="147"/>
      <c r="W5390" s="146"/>
      <c r="Y5390" s="147"/>
    </row>
    <row r="5391" spans="20:25">
      <c r="T5391" s="146"/>
      <c r="V5391" s="147"/>
      <c r="W5391" s="146"/>
      <c r="Y5391" s="147"/>
    </row>
    <row r="5392" spans="20:25">
      <c r="T5392" s="146"/>
      <c r="V5392" s="147"/>
      <c r="W5392" s="146"/>
      <c r="Y5392" s="147"/>
    </row>
    <row r="5393" spans="20:25">
      <c r="T5393" s="146"/>
      <c r="V5393" s="147"/>
      <c r="W5393" s="146"/>
      <c r="Y5393" s="147"/>
    </row>
    <row r="5394" spans="20:25">
      <c r="T5394" s="146"/>
      <c r="V5394" s="147"/>
      <c r="W5394" s="146"/>
      <c r="Y5394" s="147"/>
    </row>
    <row r="5395" spans="20:25">
      <c r="T5395" s="146"/>
      <c r="V5395" s="147"/>
      <c r="W5395" s="146"/>
      <c r="Y5395" s="147"/>
    </row>
    <row r="5396" spans="20:25">
      <c r="T5396" s="146"/>
      <c r="V5396" s="147"/>
      <c r="W5396" s="146"/>
      <c r="Y5396" s="147"/>
    </row>
    <row r="5397" spans="20:25">
      <c r="T5397" s="146"/>
      <c r="V5397" s="147"/>
      <c r="W5397" s="146"/>
      <c r="Y5397" s="147"/>
    </row>
    <row r="5398" spans="20:25">
      <c r="T5398" s="146"/>
      <c r="V5398" s="147"/>
      <c r="W5398" s="146"/>
      <c r="Y5398" s="147"/>
    </row>
    <row r="5399" spans="20:25">
      <c r="T5399" s="146"/>
      <c r="V5399" s="147"/>
      <c r="W5399" s="146"/>
      <c r="Y5399" s="147"/>
    </row>
    <row r="5400" spans="20:25">
      <c r="T5400" s="146"/>
      <c r="V5400" s="147"/>
      <c r="W5400" s="146"/>
      <c r="Y5400" s="147"/>
    </row>
    <row r="5401" spans="20:25">
      <c r="T5401" s="146"/>
      <c r="V5401" s="147"/>
      <c r="W5401" s="146"/>
      <c r="Y5401" s="147"/>
    </row>
    <row r="5402" spans="20:25">
      <c r="T5402" s="146"/>
      <c r="V5402" s="147"/>
      <c r="W5402" s="146"/>
      <c r="Y5402" s="147"/>
    </row>
    <row r="5403" spans="20:25">
      <c r="T5403" s="146"/>
      <c r="V5403" s="147"/>
      <c r="W5403" s="146"/>
      <c r="Y5403" s="147"/>
    </row>
    <row r="5404" spans="20:25">
      <c r="T5404" s="146"/>
      <c r="V5404" s="147"/>
      <c r="W5404" s="146"/>
      <c r="Y5404" s="147"/>
    </row>
    <row r="5405" spans="20:25">
      <c r="T5405" s="146"/>
      <c r="V5405" s="147"/>
      <c r="W5405" s="146"/>
      <c r="Y5405" s="147"/>
    </row>
    <row r="5406" spans="20:25">
      <c r="T5406" s="146"/>
      <c r="V5406" s="147"/>
      <c r="W5406" s="146"/>
      <c r="Y5406" s="147"/>
    </row>
    <row r="5407" spans="20:25">
      <c r="T5407" s="146"/>
      <c r="V5407" s="147"/>
      <c r="W5407" s="146"/>
      <c r="Y5407" s="147"/>
    </row>
    <row r="5408" spans="20:25">
      <c r="T5408" s="146"/>
      <c r="V5408" s="147"/>
      <c r="W5408" s="146"/>
      <c r="Y5408" s="147"/>
    </row>
    <row r="5409" spans="20:25">
      <c r="T5409" s="146"/>
      <c r="V5409" s="147"/>
      <c r="W5409" s="146"/>
      <c r="Y5409" s="147"/>
    </row>
    <row r="5410" spans="20:25">
      <c r="T5410" s="146"/>
      <c r="V5410" s="147"/>
      <c r="W5410" s="146"/>
      <c r="Y5410" s="147"/>
    </row>
    <row r="5411" spans="20:25">
      <c r="T5411" s="146"/>
      <c r="V5411" s="147"/>
      <c r="W5411" s="146"/>
      <c r="Y5411" s="147"/>
    </row>
    <row r="5412" spans="20:25">
      <c r="T5412" s="146"/>
      <c r="V5412" s="147"/>
      <c r="W5412" s="146"/>
      <c r="Y5412" s="147"/>
    </row>
    <row r="5413" spans="20:25">
      <c r="T5413" s="146"/>
      <c r="V5413" s="147"/>
      <c r="W5413" s="146"/>
      <c r="Y5413" s="147"/>
    </row>
    <row r="5414" spans="20:25">
      <c r="T5414" s="146"/>
      <c r="V5414" s="147"/>
      <c r="W5414" s="146"/>
      <c r="Y5414" s="147"/>
    </row>
    <row r="5415" spans="20:25">
      <c r="T5415" s="146"/>
      <c r="V5415" s="147"/>
      <c r="W5415" s="146"/>
      <c r="Y5415" s="147"/>
    </row>
    <row r="5416" spans="20:25">
      <c r="T5416" s="146"/>
      <c r="V5416" s="147"/>
      <c r="W5416" s="146"/>
      <c r="Y5416" s="147"/>
    </row>
    <row r="5417" spans="20:25">
      <c r="T5417" s="146"/>
      <c r="V5417" s="147"/>
      <c r="W5417" s="146"/>
      <c r="Y5417" s="147"/>
    </row>
    <row r="5418" spans="20:25">
      <c r="T5418" s="146"/>
      <c r="V5418" s="147"/>
      <c r="W5418" s="146"/>
      <c r="Y5418" s="147"/>
    </row>
    <row r="5419" spans="20:25">
      <c r="T5419" s="146"/>
      <c r="V5419" s="147"/>
      <c r="W5419" s="146"/>
      <c r="Y5419" s="147"/>
    </row>
    <row r="5420" spans="20:25">
      <c r="T5420" s="146"/>
      <c r="V5420" s="147"/>
      <c r="W5420" s="146"/>
      <c r="Y5420" s="147"/>
    </row>
    <row r="5421" spans="20:25">
      <c r="T5421" s="146"/>
      <c r="V5421" s="147"/>
      <c r="W5421" s="146"/>
      <c r="Y5421" s="147"/>
    </row>
    <row r="5422" spans="20:25">
      <c r="T5422" s="146"/>
      <c r="V5422" s="147"/>
      <c r="W5422" s="146"/>
      <c r="Y5422" s="147"/>
    </row>
    <row r="5423" spans="20:25">
      <c r="T5423" s="146"/>
      <c r="V5423" s="147"/>
      <c r="W5423" s="146"/>
      <c r="Y5423" s="147"/>
    </row>
    <row r="5424" spans="20:25">
      <c r="T5424" s="146"/>
      <c r="V5424" s="147"/>
      <c r="W5424" s="146"/>
      <c r="Y5424" s="147"/>
    </row>
    <row r="5425" spans="20:25">
      <c r="T5425" s="146"/>
      <c r="V5425" s="147"/>
      <c r="W5425" s="146"/>
      <c r="Y5425" s="147"/>
    </row>
    <row r="5426" spans="20:25">
      <c r="T5426" s="146"/>
      <c r="V5426" s="147"/>
      <c r="W5426" s="146"/>
      <c r="Y5426" s="147"/>
    </row>
    <row r="5427" spans="20:25">
      <c r="T5427" s="146"/>
      <c r="V5427" s="147"/>
      <c r="W5427" s="146"/>
      <c r="Y5427" s="147"/>
    </row>
    <row r="5428" spans="20:25">
      <c r="T5428" s="146"/>
      <c r="V5428" s="147"/>
      <c r="W5428" s="146"/>
      <c r="Y5428" s="147"/>
    </row>
    <row r="5429" spans="20:25">
      <c r="T5429" s="146"/>
      <c r="V5429" s="147"/>
      <c r="W5429" s="146"/>
      <c r="Y5429" s="147"/>
    </row>
    <row r="5430" spans="20:25">
      <c r="T5430" s="146"/>
      <c r="V5430" s="147"/>
      <c r="W5430" s="146"/>
      <c r="Y5430" s="147"/>
    </row>
    <row r="5431" spans="20:25">
      <c r="T5431" s="146"/>
      <c r="V5431" s="147"/>
      <c r="W5431" s="146"/>
      <c r="Y5431" s="147"/>
    </row>
    <row r="5432" spans="20:25">
      <c r="T5432" s="146"/>
      <c r="V5432" s="147"/>
      <c r="W5432" s="146"/>
      <c r="Y5432" s="147"/>
    </row>
    <row r="5433" spans="20:25">
      <c r="T5433" s="146"/>
      <c r="V5433" s="147"/>
      <c r="W5433" s="146"/>
      <c r="Y5433" s="147"/>
    </row>
    <row r="5434" spans="20:25">
      <c r="T5434" s="146"/>
      <c r="V5434" s="147"/>
      <c r="W5434" s="146"/>
      <c r="Y5434" s="147"/>
    </row>
    <row r="5435" spans="20:25">
      <c r="T5435" s="146"/>
      <c r="V5435" s="147"/>
      <c r="W5435" s="146"/>
      <c r="Y5435" s="147"/>
    </row>
    <row r="5436" spans="20:25">
      <c r="T5436" s="146"/>
      <c r="V5436" s="147"/>
      <c r="W5436" s="146"/>
      <c r="Y5436" s="147"/>
    </row>
    <row r="5437" spans="20:25">
      <c r="T5437" s="146"/>
      <c r="V5437" s="147"/>
      <c r="W5437" s="146"/>
      <c r="Y5437" s="147"/>
    </row>
    <row r="5438" spans="20:25">
      <c r="T5438" s="146"/>
      <c r="V5438" s="147"/>
      <c r="W5438" s="146"/>
      <c r="Y5438" s="147"/>
    </row>
    <row r="5439" spans="20:25">
      <c r="T5439" s="146"/>
      <c r="V5439" s="147"/>
      <c r="W5439" s="146"/>
      <c r="Y5439" s="147"/>
    </row>
    <row r="5440" spans="20:25">
      <c r="T5440" s="146"/>
      <c r="V5440" s="147"/>
      <c r="W5440" s="146"/>
      <c r="Y5440" s="147"/>
    </row>
    <row r="5441" spans="20:25">
      <c r="T5441" s="146"/>
      <c r="V5441" s="147"/>
      <c r="W5441" s="146"/>
      <c r="Y5441" s="147"/>
    </row>
    <row r="5442" spans="20:25">
      <c r="T5442" s="146"/>
      <c r="V5442" s="147"/>
      <c r="W5442" s="146"/>
      <c r="Y5442" s="147"/>
    </row>
    <row r="5443" spans="20:25">
      <c r="T5443" s="146"/>
      <c r="V5443" s="147"/>
      <c r="W5443" s="146"/>
      <c r="Y5443" s="147"/>
    </row>
    <row r="5444" spans="20:25">
      <c r="T5444" s="146"/>
      <c r="V5444" s="147"/>
      <c r="W5444" s="146"/>
      <c r="Y5444" s="147"/>
    </row>
    <row r="5445" spans="20:25">
      <c r="T5445" s="146"/>
      <c r="V5445" s="147"/>
      <c r="W5445" s="146"/>
      <c r="Y5445" s="147"/>
    </row>
    <row r="5446" spans="20:25">
      <c r="T5446" s="146"/>
      <c r="V5446" s="147"/>
      <c r="W5446" s="146"/>
      <c r="Y5446" s="147"/>
    </row>
    <row r="5447" spans="20:25">
      <c r="T5447" s="146"/>
      <c r="V5447" s="147"/>
      <c r="W5447" s="146"/>
      <c r="Y5447" s="147"/>
    </row>
    <row r="5448" spans="20:25">
      <c r="T5448" s="146"/>
      <c r="V5448" s="147"/>
      <c r="W5448" s="146"/>
      <c r="Y5448" s="147"/>
    </row>
    <row r="5449" spans="20:25">
      <c r="T5449" s="146"/>
      <c r="V5449" s="147"/>
      <c r="W5449" s="146"/>
      <c r="Y5449" s="147"/>
    </row>
    <row r="5450" spans="20:25">
      <c r="T5450" s="146"/>
      <c r="V5450" s="147"/>
      <c r="W5450" s="146"/>
      <c r="Y5450" s="147"/>
    </row>
    <row r="5451" spans="20:25">
      <c r="T5451" s="146"/>
      <c r="V5451" s="147"/>
      <c r="W5451" s="146"/>
      <c r="Y5451" s="147"/>
    </row>
    <row r="5452" spans="20:25">
      <c r="T5452" s="146"/>
      <c r="V5452" s="147"/>
      <c r="W5452" s="146"/>
      <c r="Y5452" s="147"/>
    </row>
    <row r="5453" spans="20:25">
      <c r="T5453" s="146"/>
      <c r="V5453" s="147"/>
      <c r="W5453" s="146"/>
      <c r="Y5453" s="147"/>
    </row>
    <row r="5454" spans="20:25">
      <c r="T5454" s="146"/>
      <c r="V5454" s="147"/>
      <c r="W5454" s="146"/>
      <c r="Y5454" s="147"/>
    </row>
    <row r="5455" spans="20:25">
      <c r="T5455" s="146"/>
      <c r="V5455" s="147"/>
      <c r="W5455" s="146"/>
      <c r="Y5455" s="147"/>
    </row>
    <row r="5456" spans="20:25">
      <c r="T5456" s="146"/>
      <c r="V5456" s="147"/>
      <c r="W5456" s="146"/>
      <c r="Y5456" s="147"/>
    </row>
    <row r="5457" spans="20:25">
      <c r="T5457" s="146"/>
      <c r="V5457" s="147"/>
      <c r="W5457" s="146"/>
      <c r="Y5457" s="147"/>
    </row>
    <row r="5458" spans="20:25">
      <c r="T5458" s="146"/>
      <c r="V5458" s="147"/>
      <c r="W5458" s="146"/>
      <c r="Y5458" s="147"/>
    </row>
    <row r="5459" spans="20:25">
      <c r="T5459" s="146"/>
      <c r="V5459" s="147"/>
      <c r="W5459" s="146"/>
      <c r="Y5459" s="147"/>
    </row>
    <row r="5460" spans="20:25">
      <c r="T5460" s="146"/>
      <c r="V5460" s="147"/>
      <c r="W5460" s="146"/>
      <c r="Y5460" s="147"/>
    </row>
    <row r="5461" spans="20:25">
      <c r="T5461" s="146"/>
      <c r="V5461" s="147"/>
      <c r="W5461" s="146"/>
      <c r="Y5461" s="147"/>
    </row>
    <row r="5462" spans="20:25">
      <c r="T5462" s="146"/>
      <c r="V5462" s="147"/>
      <c r="W5462" s="146"/>
      <c r="Y5462" s="147"/>
    </row>
    <row r="5463" spans="20:25">
      <c r="T5463" s="146"/>
      <c r="V5463" s="147"/>
      <c r="W5463" s="146"/>
      <c r="Y5463" s="147"/>
    </row>
    <row r="5464" spans="20:25">
      <c r="T5464" s="146"/>
      <c r="V5464" s="147"/>
      <c r="W5464" s="146"/>
      <c r="Y5464" s="147"/>
    </row>
    <row r="5465" spans="20:25">
      <c r="T5465" s="146"/>
      <c r="V5465" s="147"/>
      <c r="W5465" s="146"/>
      <c r="Y5465" s="147"/>
    </row>
    <row r="5466" spans="20:25">
      <c r="T5466" s="146"/>
      <c r="V5466" s="147"/>
      <c r="W5466" s="146"/>
      <c r="Y5466" s="147"/>
    </row>
    <row r="5467" spans="20:25">
      <c r="T5467" s="146"/>
      <c r="V5467" s="147"/>
      <c r="W5467" s="146"/>
      <c r="Y5467" s="147"/>
    </row>
    <row r="5468" spans="20:25">
      <c r="T5468" s="146"/>
      <c r="V5468" s="147"/>
      <c r="W5468" s="146"/>
      <c r="Y5468" s="147"/>
    </row>
    <row r="5469" spans="20:25">
      <c r="T5469" s="146"/>
      <c r="V5469" s="147"/>
      <c r="W5469" s="146"/>
      <c r="Y5469" s="147"/>
    </row>
    <row r="5470" spans="20:25">
      <c r="T5470" s="146"/>
      <c r="V5470" s="147"/>
      <c r="W5470" s="146"/>
      <c r="Y5470" s="147"/>
    </row>
    <row r="5471" spans="20:25">
      <c r="T5471" s="146"/>
      <c r="V5471" s="147"/>
      <c r="W5471" s="146"/>
      <c r="Y5471" s="147"/>
    </row>
    <row r="5472" spans="20:25">
      <c r="T5472" s="146"/>
      <c r="V5472" s="147"/>
      <c r="W5472" s="146"/>
      <c r="Y5472" s="147"/>
    </row>
    <row r="5473" spans="20:25">
      <c r="T5473" s="146"/>
      <c r="V5473" s="147"/>
      <c r="W5473" s="146"/>
      <c r="Y5473" s="147"/>
    </row>
    <row r="5474" spans="20:25">
      <c r="T5474" s="146"/>
      <c r="V5474" s="147"/>
      <c r="W5474" s="146"/>
      <c r="Y5474" s="147"/>
    </row>
    <row r="5475" spans="20:25">
      <c r="T5475" s="146"/>
      <c r="V5475" s="147"/>
      <c r="W5475" s="146"/>
      <c r="Y5475" s="147"/>
    </row>
    <row r="5476" spans="20:25">
      <c r="T5476" s="146"/>
      <c r="V5476" s="147"/>
      <c r="W5476" s="146"/>
      <c r="Y5476" s="147"/>
    </row>
    <row r="5477" spans="20:25">
      <c r="T5477" s="146"/>
      <c r="V5477" s="147"/>
      <c r="W5477" s="146"/>
      <c r="Y5477" s="147"/>
    </row>
    <row r="5478" spans="20:25">
      <c r="T5478" s="146"/>
      <c r="V5478" s="147"/>
      <c r="W5478" s="146"/>
      <c r="Y5478" s="147"/>
    </row>
    <row r="5479" spans="20:25">
      <c r="T5479" s="146"/>
      <c r="V5479" s="147"/>
      <c r="W5479" s="146"/>
      <c r="Y5479" s="147"/>
    </row>
    <row r="5480" spans="20:25">
      <c r="T5480" s="146"/>
      <c r="V5480" s="147"/>
      <c r="W5480" s="146"/>
      <c r="Y5480" s="147"/>
    </row>
    <row r="5481" spans="20:25">
      <c r="T5481" s="146"/>
      <c r="V5481" s="147"/>
      <c r="W5481" s="146"/>
      <c r="Y5481" s="147"/>
    </row>
    <row r="5482" spans="20:25">
      <c r="T5482" s="146"/>
      <c r="V5482" s="147"/>
      <c r="W5482" s="146"/>
      <c r="Y5482" s="147"/>
    </row>
    <row r="5483" spans="20:25">
      <c r="T5483" s="146"/>
      <c r="V5483" s="147"/>
      <c r="W5483" s="146"/>
      <c r="Y5483" s="147"/>
    </row>
    <row r="5484" spans="20:25">
      <c r="T5484" s="146"/>
      <c r="V5484" s="147"/>
      <c r="W5484" s="146"/>
      <c r="Y5484" s="147"/>
    </row>
    <row r="5485" spans="20:25">
      <c r="T5485" s="146"/>
      <c r="V5485" s="147"/>
      <c r="W5485" s="146"/>
      <c r="Y5485" s="147"/>
    </row>
    <row r="5486" spans="20:25">
      <c r="T5486" s="146"/>
      <c r="V5486" s="147"/>
      <c r="W5486" s="146"/>
      <c r="Y5486" s="147"/>
    </row>
    <row r="5487" spans="20:25">
      <c r="T5487" s="146"/>
      <c r="V5487" s="147"/>
      <c r="W5487" s="146"/>
      <c r="Y5487" s="147"/>
    </row>
    <row r="5488" spans="20:25">
      <c r="T5488" s="146"/>
      <c r="V5488" s="147"/>
      <c r="W5488" s="146"/>
      <c r="Y5488" s="147"/>
    </row>
    <row r="5489" spans="20:25">
      <c r="T5489" s="146"/>
      <c r="V5489" s="147"/>
      <c r="W5489" s="146"/>
      <c r="Y5489" s="147"/>
    </row>
    <row r="5490" spans="20:25">
      <c r="T5490" s="146"/>
      <c r="V5490" s="147"/>
      <c r="W5490" s="146"/>
      <c r="Y5490" s="147"/>
    </row>
    <row r="5491" spans="20:25">
      <c r="T5491" s="146"/>
      <c r="V5491" s="147"/>
      <c r="W5491" s="146"/>
      <c r="Y5491" s="147"/>
    </row>
    <row r="5492" spans="20:25">
      <c r="T5492" s="146"/>
      <c r="V5492" s="147"/>
      <c r="W5492" s="146"/>
      <c r="Y5492" s="147"/>
    </row>
    <row r="5493" spans="20:25">
      <c r="T5493" s="146"/>
      <c r="V5493" s="147"/>
      <c r="W5493" s="146"/>
      <c r="Y5493" s="147"/>
    </row>
    <row r="5494" spans="20:25">
      <c r="T5494" s="146"/>
      <c r="V5494" s="147"/>
      <c r="W5494" s="146"/>
      <c r="Y5494" s="147"/>
    </row>
    <row r="5495" spans="20:25">
      <c r="T5495" s="146"/>
      <c r="V5495" s="147"/>
      <c r="W5495" s="146"/>
      <c r="Y5495" s="147"/>
    </row>
    <row r="5496" spans="20:25">
      <c r="T5496" s="146"/>
      <c r="V5496" s="147"/>
      <c r="W5496" s="146"/>
      <c r="Y5496" s="147"/>
    </row>
    <row r="5497" spans="20:25">
      <c r="T5497" s="146"/>
      <c r="V5497" s="147"/>
      <c r="W5497" s="146"/>
      <c r="Y5497" s="147"/>
    </row>
    <row r="5498" spans="20:25">
      <c r="T5498" s="146"/>
      <c r="V5498" s="147"/>
      <c r="W5498" s="146"/>
      <c r="Y5498" s="147"/>
    </row>
    <row r="5499" spans="20:25">
      <c r="T5499" s="146"/>
      <c r="V5499" s="147"/>
      <c r="W5499" s="146"/>
      <c r="Y5499" s="147"/>
    </row>
    <row r="5500" spans="20:25">
      <c r="T5500" s="146"/>
      <c r="V5500" s="147"/>
      <c r="W5500" s="146"/>
      <c r="Y5500" s="147"/>
    </row>
    <row r="5501" spans="20:25">
      <c r="T5501" s="146"/>
      <c r="V5501" s="147"/>
      <c r="W5501" s="146"/>
      <c r="Y5501" s="147"/>
    </row>
    <row r="5502" spans="20:25">
      <c r="T5502" s="146"/>
      <c r="V5502" s="147"/>
      <c r="W5502" s="146"/>
      <c r="Y5502" s="147"/>
    </row>
    <row r="5503" spans="20:25">
      <c r="T5503" s="146"/>
      <c r="V5503" s="147"/>
      <c r="W5503" s="146"/>
      <c r="Y5503" s="147"/>
    </row>
    <row r="5504" spans="20:25">
      <c r="T5504" s="146"/>
      <c r="V5504" s="147"/>
      <c r="W5504" s="146"/>
      <c r="Y5504" s="147"/>
    </row>
    <row r="5505" spans="20:25">
      <c r="T5505" s="146"/>
      <c r="V5505" s="147"/>
      <c r="W5505" s="146"/>
      <c r="Y5505" s="147"/>
    </row>
    <row r="5506" spans="20:25">
      <c r="T5506" s="146"/>
      <c r="V5506" s="147"/>
      <c r="W5506" s="146"/>
      <c r="Y5506" s="147"/>
    </row>
    <row r="5507" spans="20:25">
      <c r="T5507" s="146"/>
      <c r="V5507" s="147"/>
      <c r="W5507" s="146"/>
      <c r="Y5507" s="147"/>
    </row>
    <row r="5508" spans="20:25">
      <c r="T5508" s="146"/>
      <c r="V5508" s="147"/>
      <c r="W5508" s="146"/>
      <c r="Y5508" s="147"/>
    </row>
    <row r="5509" spans="20:25">
      <c r="T5509" s="146"/>
      <c r="V5509" s="147"/>
      <c r="W5509" s="146"/>
      <c r="Y5509" s="147"/>
    </row>
    <row r="5510" spans="20:25">
      <c r="T5510" s="146"/>
      <c r="V5510" s="147"/>
      <c r="W5510" s="146"/>
      <c r="Y5510" s="147"/>
    </row>
    <row r="5511" spans="20:25">
      <c r="T5511" s="146"/>
      <c r="V5511" s="147"/>
      <c r="W5511" s="146"/>
      <c r="Y5511" s="147"/>
    </row>
    <row r="5512" spans="20:25">
      <c r="T5512" s="146"/>
      <c r="V5512" s="147"/>
      <c r="W5512" s="146"/>
      <c r="Y5512" s="147"/>
    </row>
    <row r="5513" spans="20:25">
      <c r="T5513" s="146"/>
      <c r="V5513" s="147"/>
      <c r="W5513" s="146"/>
      <c r="Y5513" s="147"/>
    </row>
    <row r="5514" spans="20:25">
      <c r="T5514" s="146"/>
      <c r="V5514" s="147"/>
      <c r="W5514" s="146"/>
      <c r="Y5514" s="147"/>
    </row>
    <row r="5515" spans="20:25">
      <c r="T5515" s="146"/>
      <c r="V5515" s="147"/>
      <c r="W5515" s="146"/>
      <c r="Y5515" s="147"/>
    </row>
    <row r="5516" spans="20:25">
      <c r="T5516" s="146"/>
      <c r="V5516" s="147"/>
      <c r="W5516" s="146"/>
      <c r="Y5516" s="147"/>
    </row>
    <row r="5517" spans="20:25">
      <c r="T5517" s="146"/>
      <c r="V5517" s="147"/>
      <c r="W5517" s="146"/>
      <c r="Y5517" s="147"/>
    </row>
    <row r="5518" spans="20:25">
      <c r="T5518" s="146"/>
      <c r="V5518" s="147"/>
      <c r="W5518" s="146"/>
      <c r="Y5518" s="147"/>
    </row>
    <row r="5519" spans="20:25">
      <c r="T5519" s="146"/>
      <c r="V5519" s="147"/>
      <c r="W5519" s="146"/>
      <c r="Y5519" s="147"/>
    </row>
    <row r="5520" spans="20:25">
      <c r="T5520" s="146"/>
      <c r="V5520" s="147"/>
      <c r="W5520" s="146"/>
      <c r="Y5520" s="147"/>
    </row>
    <row r="5521" spans="20:25">
      <c r="T5521" s="146"/>
      <c r="V5521" s="147"/>
      <c r="W5521" s="146"/>
      <c r="Y5521" s="147"/>
    </row>
    <row r="5522" spans="20:25">
      <c r="T5522" s="146"/>
      <c r="V5522" s="147"/>
      <c r="W5522" s="146"/>
      <c r="Y5522" s="147"/>
    </row>
    <row r="5523" spans="20:25">
      <c r="T5523" s="146"/>
      <c r="V5523" s="147"/>
      <c r="W5523" s="146"/>
      <c r="Y5523" s="147"/>
    </row>
    <row r="5524" spans="20:25">
      <c r="T5524" s="146"/>
      <c r="V5524" s="147"/>
      <c r="W5524" s="146"/>
      <c r="Y5524" s="147"/>
    </row>
    <row r="5525" spans="20:25">
      <c r="T5525" s="146"/>
      <c r="V5525" s="147"/>
      <c r="W5525" s="146"/>
      <c r="Y5525" s="147"/>
    </row>
    <row r="5526" spans="20:25">
      <c r="T5526" s="146"/>
      <c r="V5526" s="147"/>
      <c r="W5526" s="146"/>
      <c r="Y5526" s="147"/>
    </row>
    <row r="5527" spans="20:25">
      <c r="T5527" s="146"/>
      <c r="V5527" s="147"/>
      <c r="W5527" s="146"/>
      <c r="Y5527" s="147"/>
    </row>
    <row r="5528" spans="20:25">
      <c r="T5528" s="146"/>
      <c r="V5528" s="147"/>
      <c r="W5528" s="146"/>
      <c r="Y5528" s="147"/>
    </row>
    <row r="5529" spans="20:25">
      <c r="T5529" s="146"/>
      <c r="V5529" s="147"/>
      <c r="W5529" s="146"/>
      <c r="Y5529" s="147"/>
    </row>
    <row r="5530" spans="20:25">
      <c r="T5530" s="146"/>
      <c r="V5530" s="147"/>
      <c r="W5530" s="146"/>
      <c r="Y5530" s="147"/>
    </row>
    <row r="5531" spans="20:25">
      <c r="T5531" s="146"/>
      <c r="V5531" s="147"/>
      <c r="W5531" s="146"/>
      <c r="Y5531" s="147"/>
    </row>
    <row r="5532" spans="20:25">
      <c r="T5532" s="146"/>
      <c r="V5532" s="147"/>
      <c r="W5532" s="146"/>
      <c r="Y5532" s="147"/>
    </row>
    <row r="5533" spans="20:25">
      <c r="T5533" s="146"/>
      <c r="V5533" s="147"/>
      <c r="W5533" s="146"/>
      <c r="Y5533" s="147"/>
    </row>
    <row r="5534" spans="20:25">
      <c r="T5534" s="146"/>
      <c r="V5534" s="147"/>
      <c r="W5534" s="146"/>
      <c r="Y5534" s="147"/>
    </row>
    <row r="5535" spans="20:25">
      <c r="T5535" s="146"/>
      <c r="V5535" s="147"/>
      <c r="W5535" s="146"/>
      <c r="Y5535" s="147"/>
    </row>
    <row r="5536" spans="20:25">
      <c r="T5536" s="146"/>
      <c r="V5536" s="147"/>
      <c r="W5536" s="146"/>
      <c r="Y5536" s="147"/>
    </row>
    <row r="5537" spans="20:25">
      <c r="T5537" s="146"/>
      <c r="V5537" s="147"/>
      <c r="W5537" s="146"/>
      <c r="Y5537" s="147"/>
    </row>
    <row r="5538" spans="20:25">
      <c r="T5538" s="146"/>
      <c r="V5538" s="147"/>
      <c r="W5538" s="146"/>
      <c r="Y5538" s="147"/>
    </row>
    <row r="5539" spans="20:25">
      <c r="T5539" s="146"/>
      <c r="V5539" s="147"/>
      <c r="W5539" s="146"/>
      <c r="Y5539" s="147"/>
    </row>
    <row r="5540" spans="20:25">
      <c r="T5540" s="146"/>
      <c r="V5540" s="147"/>
      <c r="W5540" s="146"/>
      <c r="Y5540" s="147"/>
    </row>
    <row r="5541" spans="20:25">
      <c r="T5541" s="146"/>
      <c r="V5541" s="147"/>
      <c r="W5541" s="146"/>
      <c r="Y5541" s="147"/>
    </row>
    <row r="5542" spans="20:25">
      <c r="T5542" s="146"/>
      <c r="V5542" s="147"/>
      <c r="W5542" s="146"/>
      <c r="Y5542" s="147"/>
    </row>
    <row r="5543" spans="20:25">
      <c r="T5543" s="146"/>
      <c r="V5543" s="147"/>
      <c r="W5543" s="146"/>
      <c r="Y5543" s="147"/>
    </row>
    <row r="5544" spans="20:25">
      <c r="T5544" s="146"/>
      <c r="V5544" s="147"/>
      <c r="W5544" s="146"/>
      <c r="Y5544" s="147"/>
    </row>
    <row r="5545" spans="20:25">
      <c r="T5545" s="146"/>
      <c r="V5545" s="147"/>
      <c r="W5545" s="146"/>
      <c r="Y5545" s="147"/>
    </row>
    <row r="5546" spans="20:25">
      <c r="T5546" s="146"/>
      <c r="V5546" s="147"/>
      <c r="W5546" s="146"/>
      <c r="Y5546" s="147"/>
    </row>
    <row r="5547" spans="20:25">
      <c r="T5547" s="146"/>
      <c r="V5547" s="147"/>
      <c r="W5547" s="146"/>
      <c r="Y5547" s="147"/>
    </row>
    <row r="5548" spans="20:25">
      <c r="T5548" s="146"/>
      <c r="V5548" s="147"/>
      <c r="W5548" s="146"/>
      <c r="Y5548" s="147"/>
    </row>
    <row r="5549" spans="20:25">
      <c r="T5549" s="146"/>
      <c r="V5549" s="147"/>
      <c r="W5549" s="146"/>
      <c r="Y5549" s="147"/>
    </row>
    <row r="5550" spans="20:25">
      <c r="T5550" s="146"/>
      <c r="V5550" s="147"/>
      <c r="W5550" s="146"/>
      <c r="Y5550" s="147"/>
    </row>
    <row r="5551" spans="20:25">
      <c r="T5551" s="146"/>
      <c r="V5551" s="147"/>
      <c r="W5551" s="146"/>
      <c r="Y5551" s="147"/>
    </row>
    <row r="5552" spans="20:25">
      <c r="T5552" s="146"/>
      <c r="V5552" s="147"/>
      <c r="W5552" s="146"/>
      <c r="Y5552" s="147"/>
    </row>
    <row r="5553" spans="20:25">
      <c r="T5553" s="146"/>
      <c r="V5553" s="147"/>
      <c r="W5553" s="146"/>
      <c r="Y5553" s="147"/>
    </row>
    <row r="5554" spans="20:25">
      <c r="T5554" s="146"/>
      <c r="V5554" s="147"/>
      <c r="W5554" s="146"/>
      <c r="Y5554" s="147"/>
    </row>
    <row r="5555" spans="20:25">
      <c r="T5555" s="146"/>
      <c r="V5555" s="147"/>
      <c r="W5555" s="146"/>
      <c r="Y5555" s="147"/>
    </row>
    <row r="5556" spans="20:25">
      <c r="T5556" s="146"/>
      <c r="V5556" s="147"/>
      <c r="W5556" s="146"/>
      <c r="Y5556" s="147"/>
    </row>
    <row r="5557" spans="20:25">
      <c r="T5557" s="146"/>
      <c r="V5557" s="147"/>
      <c r="W5557" s="146"/>
      <c r="Y5557" s="147"/>
    </row>
    <row r="5558" spans="20:25">
      <c r="T5558" s="146"/>
      <c r="V5558" s="147"/>
      <c r="W5558" s="146"/>
      <c r="Y5558" s="147"/>
    </row>
    <row r="5559" spans="20:25">
      <c r="T5559" s="146"/>
      <c r="V5559" s="147"/>
      <c r="W5559" s="146"/>
      <c r="Y5559" s="147"/>
    </row>
    <row r="5560" spans="20:25">
      <c r="T5560" s="146"/>
      <c r="V5560" s="147"/>
      <c r="W5560" s="146"/>
      <c r="Y5560" s="147"/>
    </row>
    <row r="5561" spans="20:25">
      <c r="T5561" s="146"/>
      <c r="V5561" s="147"/>
      <c r="W5561" s="146"/>
      <c r="Y5561" s="147"/>
    </row>
    <row r="5562" spans="20:25">
      <c r="T5562" s="146"/>
      <c r="V5562" s="147"/>
      <c r="W5562" s="146"/>
      <c r="Y5562" s="147"/>
    </row>
    <row r="5563" spans="20:25">
      <c r="T5563" s="146"/>
      <c r="V5563" s="147"/>
      <c r="W5563" s="146"/>
      <c r="Y5563" s="147"/>
    </row>
    <row r="5564" spans="20:25">
      <c r="T5564" s="146"/>
      <c r="V5564" s="147"/>
      <c r="W5564" s="146"/>
      <c r="Y5564" s="147"/>
    </row>
    <row r="5565" spans="20:25">
      <c r="T5565" s="146"/>
      <c r="V5565" s="147"/>
      <c r="W5565" s="146"/>
      <c r="Y5565" s="147"/>
    </row>
    <row r="5566" spans="20:25">
      <c r="T5566" s="146"/>
      <c r="V5566" s="147"/>
      <c r="W5566" s="146"/>
      <c r="Y5566" s="147"/>
    </row>
    <row r="5567" spans="20:25">
      <c r="T5567" s="146"/>
      <c r="V5567" s="147"/>
      <c r="W5567" s="146"/>
      <c r="Y5567" s="147"/>
    </row>
    <row r="5568" spans="20:25">
      <c r="T5568" s="146"/>
      <c r="V5568" s="147"/>
      <c r="W5568" s="146"/>
      <c r="Y5568" s="147"/>
    </row>
    <row r="5569" spans="20:25">
      <c r="T5569" s="146"/>
      <c r="V5569" s="147"/>
      <c r="W5569" s="146"/>
      <c r="Y5569" s="147"/>
    </row>
    <row r="5570" spans="20:25">
      <c r="T5570" s="146"/>
      <c r="V5570" s="147"/>
      <c r="W5570" s="146"/>
      <c r="Y5570" s="147"/>
    </row>
    <row r="5571" spans="20:25">
      <c r="T5571" s="146"/>
      <c r="V5571" s="147"/>
      <c r="W5571" s="146"/>
      <c r="Y5571" s="147"/>
    </row>
    <row r="5572" spans="20:25">
      <c r="T5572" s="146"/>
      <c r="V5572" s="147"/>
      <c r="W5572" s="146"/>
      <c r="Y5572" s="147"/>
    </row>
    <row r="5573" spans="20:25">
      <c r="T5573" s="146"/>
      <c r="V5573" s="147"/>
      <c r="W5573" s="146"/>
      <c r="Y5573" s="147"/>
    </row>
    <row r="5574" spans="20:25">
      <c r="T5574" s="146"/>
      <c r="V5574" s="147"/>
      <c r="W5574" s="146"/>
      <c r="Y5574" s="147"/>
    </row>
    <row r="5575" spans="20:25">
      <c r="T5575" s="146"/>
      <c r="V5575" s="147"/>
      <c r="W5575" s="146"/>
      <c r="Y5575" s="147"/>
    </row>
    <row r="5576" spans="20:25">
      <c r="T5576" s="146"/>
      <c r="V5576" s="147"/>
      <c r="W5576" s="146"/>
      <c r="Y5576" s="147"/>
    </row>
    <row r="5577" spans="20:25">
      <c r="T5577" s="146"/>
      <c r="V5577" s="147"/>
      <c r="W5577" s="146"/>
      <c r="Y5577" s="147"/>
    </row>
    <row r="5578" spans="20:25">
      <c r="T5578" s="146"/>
      <c r="V5578" s="147"/>
      <c r="W5578" s="146"/>
      <c r="Y5578" s="147"/>
    </row>
    <row r="5579" spans="20:25">
      <c r="T5579" s="146"/>
      <c r="V5579" s="147"/>
      <c r="W5579" s="146"/>
      <c r="Y5579" s="147"/>
    </row>
    <row r="5580" spans="20:25">
      <c r="T5580" s="146"/>
      <c r="V5580" s="147"/>
      <c r="W5580" s="146"/>
      <c r="Y5580" s="147"/>
    </row>
    <row r="5581" spans="20:25">
      <c r="T5581" s="146"/>
      <c r="V5581" s="147"/>
      <c r="W5581" s="146"/>
      <c r="Y5581" s="147"/>
    </row>
    <row r="5582" spans="20:25">
      <c r="T5582" s="146"/>
      <c r="V5582" s="147"/>
      <c r="W5582" s="146"/>
      <c r="Y5582" s="147"/>
    </row>
    <row r="5583" spans="20:25">
      <c r="T5583" s="146"/>
      <c r="V5583" s="147"/>
      <c r="W5583" s="146"/>
      <c r="Y5583" s="147"/>
    </row>
    <row r="5584" spans="20:25">
      <c r="T5584" s="146"/>
      <c r="V5584" s="147"/>
      <c r="W5584" s="146"/>
      <c r="Y5584" s="147"/>
    </row>
    <row r="5585" spans="20:25">
      <c r="T5585" s="146"/>
      <c r="V5585" s="147"/>
      <c r="W5585" s="146"/>
      <c r="Y5585" s="147"/>
    </row>
    <row r="5586" spans="20:25">
      <c r="T5586" s="146"/>
      <c r="V5586" s="147"/>
      <c r="W5586" s="146"/>
      <c r="Y5586" s="147"/>
    </row>
    <row r="5587" spans="20:25">
      <c r="T5587" s="146"/>
      <c r="V5587" s="147"/>
      <c r="W5587" s="146"/>
      <c r="Y5587" s="147"/>
    </row>
    <row r="5588" spans="20:25">
      <c r="T5588" s="146"/>
      <c r="V5588" s="147"/>
      <c r="W5588" s="146"/>
      <c r="Y5588" s="147"/>
    </row>
    <row r="5589" spans="20:25">
      <c r="T5589" s="146"/>
      <c r="V5589" s="147"/>
      <c r="W5589" s="146"/>
      <c r="Y5589" s="147"/>
    </row>
    <row r="5590" spans="20:25">
      <c r="T5590" s="146"/>
      <c r="V5590" s="147"/>
      <c r="W5590" s="146"/>
      <c r="Y5590" s="147"/>
    </row>
    <row r="5591" spans="20:25">
      <c r="T5591" s="146"/>
      <c r="V5591" s="147"/>
      <c r="W5591" s="146"/>
      <c r="Y5591" s="147"/>
    </row>
    <row r="5592" spans="20:25">
      <c r="T5592" s="146"/>
      <c r="V5592" s="147"/>
      <c r="W5592" s="146"/>
      <c r="Y5592" s="147"/>
    </row>
    <row r="5593" spans="20:25">
      <c r="T5593" s="146"/>
      <c r="V5593" s="147"/>
      <c r="W5593" s="146"/>
      <c r="Y5593" s="147"/>
    </row>
    <row r="5594" spans="20:25">
      <c r="T5594" s="146"/>
      <c r="V5594" s="147"/>
      <c r="W5594" s="146"/>
      <c r="Y5594" s="147"/>
    </row>
    <row r="5595" spans="20:25">
      <c r="T5595" s="146"/>
      <c r="V5595" s="147"/>
      <c r="W5595" s="146"/>
      <c r="Y5595" s="147"/>
    </row>
    <row r="5596" spans="20:25">
      <c r="T5596" s="146"/>
      <c r="V5596" s="147"/>
      <c r="W5596" s="146"/>
      <c r="Y5596" s="147"/>
    </row>
    <row r="5597" spans="20:25">
      <c r="T5597" s="146"/>
      <c r="V5597" s="147"/>
      <c r="W5597" s="146"/>
      <c r="Y5597" s="147"/>
    </row>
    <row r="5598" spans="20:25">
      <c r="T5598" s="146"/>
      <c r="V5598" s="147"/>
      <c r="W5598" s="146"/>
      <c r="Y5598" s="147"/>
    </row>
    <row r="5599" spans="20:25">
      <c r="T5599" s="146"/>
      <c r="V5599" s="147"/>
      <c r="W5599" s="146"/>
      <c r="Y5599" s="147"/>
    </row>
    <row r="5600" spans="20:25">
      <c r="T5600" s="146"/>
      <c r="V5600" s="147"/>
      <c r="W5600" s="146"/>
      <c r="Y5600" s="147"/>
    </row>
    <row r="5601" spans="20:25">
      <c r="T5601" s="146"/>
      <c r="V5601" s="147"/>
      <c r="W5601" s="146"/>
      <c r="Y5601" s="147"/>
    </row>
    <row r="5602" spans="20:25">
      <c r="T5602" s="146"/>
      <c r="V5602" s="147"/>
      <c r="W5602" s="146"/>
      <c r="Y5602" s="147"/>
    </row>
    <row r="5603" spans="20:25">
      <c r="T5603" s="146"/>
      <c r="V5603" s="147"/>
      <c r="W5603" s="146"/>
      <c r="Y5603" s="147"/>
    </row>
    <row r="5604" spans="20:25">
      <c r="T5604" s="146"/>
      <c r="V5604" s="147"/>
      <c r="W5604" s="146"/>
      <c r="Y5604" s="147"/>
    </row>
    <row r="5605" spans="20:25">
      <c r="T5605" s="146"/>
      <c r="V5605" s="147"/>
      <c r="W5605" s="146"/>
      <c r="Y5605" s="147"/>
    </row>
    <row r="5606" spans="20:25">
      <c r="T5606" s="146"/>
      <c r="V5606" s="147"/>
      <c r="W5606" s="146"/>
      <c r="Y5606" s="147"/>
    </row>
    <row r="5607" spans="20:25">
      <c r="T5607" s="146"/>
      <c r="V5607" s="147"/>
      <c r="W5607" s="146"/>
      <c r="Y5607" s="147"/>
    </row>
    <row r="5608" spans="20:25">
      <c r="T5608" s="146"/>
      <c r="V5608" s="147"/>
      <c r="W5608" s="146"/>
      <c r="Y5608" s="147"/>
    </row>
    <row r="5609" spans="20:25">
      <c r="T5609" s="146"/>
      <c r="V5609" s="147"/>
      <c r="W5609" s="146"/>
      <c r="Y5609" s="147"/>
    </row>
    <row r="5610" spans="20:25">
      <c r="T5610" s="146"/>
      <c r="V5610" s="147"/>
      <c r="W5610" s="146"/>
      <c r="Y5610" s="147"/>
    </row>
    <row r="5611" spans="20:25">
      <c r="T5611" s="146"/>
      <c r="V5611" s="147"/>
      <c r="W5611" s="146"/>
      <c r="Y5611" s="147"/>
    </row>
    <row r="5612" spans="20:25">
      <c r="T5612" s="146"/>
      <c r="V5612" s="147"/>
      <c r="W5612" s="146"/>
      <c r="Y5612" s="147"/>
    </row>
    <row r="5613" spans="20:25">
      <c r="T5613" s="146"/>
      <c r="V5613" s="147"/>
      <c r="W5613" s="146"/>
      <c r="Y5613" s="147"/>
    </row>
    <row r="5614" spans="20:25">
      <c r="T5614" s="146"/>
      <c r="V5614" s="147"/>
      <c r="W5614" s="146"/>
      <c r="Y5614" s="147"/>
    </row>
    <row r="5615" spans="20:25">
      <c r="T5615" s="146"/>
      <c r="V5615" s="147"/>
      <c r="W5615" s="146"/>
      <c r="Y5615" s="147"/>
    </row>
    <row r="5616" spans="20:25">
      <c r="T5616" s="146"/>
      <c r="V5616" s="147"/>
      <c r="W5616" s="146"/>
      <c r="Y5616" s="147"/>
    </row>
    <row r="5617" spans="20:25">
      <c r="T5617" s="146"/>
      <c r="V5617" s="147"/>
      <c r="W5617" s="146"/>
      <c r="Y5617" s="147"/>
    </row>
    <row r="5618" spans="20:25">
      <c r="T5618" s="146"/>
      <c r="V5618" s="147"/>
      <c r="W5618" s="146"/>
      <c r="Y5618" s="147"/>
    </row>
    <row r="5619" spans="20:25">
      <c r="T5619" s="146"/>
      <c r="V5619" s="147"/>
      <c r="W5619" s="146"/>
      <c r="Y5619" s="147"/>
    </row>
    <row r="5620" spans="20:25">
      <c r="T5620" s="146"/>
      <c r="V5620" s="147"/>
      <c r="W5620" s="146"/>
      <c r="Y5620" s="147"/>
    </row>
    <row r="5621" spans="20:25">
      <c r="T5621" s="146"/>
      <c r="V5621" s="147"/>
      <c r="W5621" s="146"/>
      <c r="Y5621" s="147"/>
    </row>
    <row r="5622" spans="20:25">
      <c r="T5622" s="146"/>
      <c r="V5622" s="147"/>
      <c r="W5622" s="146"/>
      <c r="Y5622" s="147"/>
    </row>
    <row r="5623" spans="20:25">
      <c r="T5623" s="146"/>
      <c r="V5623" s="147"/>
      <c r="W5623" s="146"/>
      <c r="Y5623" s="147"/>
    </row>
    <row r="5624" spans="20:25">
      <c r="T5624" s="146"/>
      <c r="V5624" s="147"/>
      <c r="W5624" s="146"/>
      <c r="Y5624" s="147"/>
    </row>
    <row r="5625" spans="20:25">
      <c r="T5625" s="146"/>
      <c r="V5625" s="147"/>
      <c r="W5625" s="146"/>
      <c r="Y5625" s="147"/>
    </row>
    <row r="5626" spans="20:25">
      <c r="T5626" s="146"/>
      <c r="V5626" s="147"/>
      <c r="W5626" s="146"/>
      <c r="Y5626" s="147"/>
    </row>
    <row r="5627" spans="20:25">
      <c r="T5627" s="146"/>
      <c r="V5627" s="147"/>
      <c r="W5627" s="146"/>
      <c r="Y5627" s="147"/>
    </row>
    <row r="5628" spans="20:25">
      <c r="T5628" s="146"/>
      <c r="V5628" s="147"/>
      <c r="W5628" s="146"/>
      <c r="Y5628" s="147"/>
    </row>
    <row r="5629" spans="20:25">
      <c r="T5629" s="146"/>
      <c r="V5629" s="147"/>
      <c r="W5629" s="146"/>
      <c r="Y5629" s="147"/>
    </row>
    <row r="5630" spans="20:25">
      <c r="T5630" s="146"/>
      <c r="V5630" s="147"/>
      <c r="W5630" s="146"/>
      <c r="Y5630" s="147"/>
    </row>
    <row r="5631" spans="20:25">
      <c r="T5631" s="146"/>
      <c r="V5631" s="147"/>
      <c r="W5631" s="146"/>
      <c r="Y5631" s="147"/>
    </row>
    <row r="5632" spans="20:25">
      <c r="T5632" s="146"/>
      <c r="V5632" s="147"/>
      <c r="W5632" s="146"/>
      <c r="Y5632" s="147"/>
    </row>
    <row r="5633" spans="20:25">
      <c r="T5633" s="146"/>
      <c r="V5633" s="147"/>
      <c r="W5633" s="146"/>
      <c r="Y5633" s="147"/>
    </row>
    <row r="5634" spans="20:25">
      <c r="T5634" s="146"/>
      <c r="V5634" s="147"/>
      <c r="W5634" s="146"/>
      <c r="Y5634" s="147"/>
    </row>
    <row r="5635" spans="20:25">
      <c r="T5635" s="146"/>
      <c r="V5635" s="147"/>
      <c r="W5635" s="146"/>
      <c r="Y5635" s="147"/>
    </row>
    <row r="5636" spans="20:25">
      <c r="T5636" s="146"/>
      <c r="V5636" s="147"/>
      <c r="W5636" s="146"/>
      <c r="Y5636" s="147"/>
    </row>
    <row r="5637" spans="20:25">
      <c r="T5637" s="146"/>
      <c r="V5637" s="147"/>
      <c r="W5637" s="146"/>
      <c r="Y5637" s="147"/>
    </row>
    <row r="5638" spans="20:25">
      <c r="T5638" s="146"/>
      <c r="V5638" s="147"/>
      <c r="W5638" s="146"/>
      <c r="Y5638" s="147"/>
    </row>
    <row r="5639" spans="20:25">
      <c r="T5639" s="146"/>
      <c r="V5639" s="147"/>
      <c r="W5639" s="146"/>
      <c r="Y5639" s="147"/>
    </row>
    <row r="5640" spans="20:25">
      <c r="T5640" s="146"/>
      <c r="V5640" s="147"/>
      <c r="W5640" s="146"/>
      <c r="Y5640" s="147"/>
    </row>
    <row r="5641" spans="20:25">
      <c r="T5641" s="146"/>
      <c r="V5641" s="147"/>
      <c r="W5641" s="146"/>
      <c r="Y5641" s="147"/>
    </row>
    <row r="5642" spans="20:25">
      <c r="T5642" s="146"/>
      <c r="V5642" s="147"/>
      <c r="W5642" s="146"/>
      <c r="Y5642" s="147"/>
    </row>
    <row r="5643" spans="20:25">
      <c r="T5643" s="146"/>
      <c r="V5643" s="147"/>
      <c r="W5643" s="146"/>
      <c r="Y5643" s="147"/>
    </row>
    <row r="5644" spans="20:25">
      <c r="T5644" s="146"/>
      <c r="V5644" s="147"/>
      <c r="W5644" s="146"/>
      <c r="Y5644" s="147"/>
    </row>
    <row r="5645" spans="20:25">
      <c r="T5645" s="146"/>
      <c r="V5645" s="147"/>
      <c r="W5645" s="146"/>
      <c r="Y5645" s="147"/>
    </row>
    <row r="5646" spans="20:25">
      <c r="T5646" s="146"/>
      <c r="V5646" s="147"/>
      <c r="W5646" s="146"/>
      <c r="Y5646" s="147"/>
    </row>
    <row r="5647" spans="20:25">
      <c r="T5647" s="146"/>
      <c r="V5647" s="147"/>
      <c r="W5647" s="146"/>
      <c r="Y5647" s="147"/>
    </row>
    <row r="5648" spans="20:25">
      <c r="T5648" s="146"/>
      <c r="V5648" s="147"/>
      <c r="W5648" s="146"/>
      <c r="Y5648" s="147"/>
    </row>
    <row r="5649" spans="20:25">
      <c r="T5649" s="146"/>
      <c r="V5649" s="147"/>
      <c r="W5649" s="146"/>
      <c r="Y5649" s="147"/>
    </row>
    <row r="5650" spans="20:25">
      <c r="T5650" s="146"/>
      <c r="V5650" s="147"/>
      <c r="W5650" s="146"/>
      <c r="Y5650" s="147"/>
    </row>
    <row r="5651" spans="20:25">
      <c r="T5651" s="146"/>
      <c r="V5651" s="147"/>
      <c r="W5651" s="146"/>
      <c r="Y5651" s="147"/>
    </row>
    <row r="5652" spans="20:25">
      <c r="T5652" s="146"/>
      <c r="V5652" s="147"/>
      <c r="W5652" s="146"/>
      <c r="Y5652" s="147"/>
    </row>
    <row r="5653" spans="20:25">
      <c r="T5653" s="146"/>
      <c r="V5653" s="147"/>
      <c r="W5653" s="146"/>
      <c r="Y5653" s="147"/>
    </row>
    <row r="5654" spans="20:25">
      <c r="T5654" s="146"/>
      <c r="V5654" s="147"/>
      <c r="W5654" s="146"/>
      <c r="Y5654" s="147"/>
    </row>
    <row r="5655" spans="20:25">
      <c r="T5655" s="146"/>
      <c r="V5655" s="147"/>
      <c r="W5655" s="146"/>
      <c r="Y5655" s="147"/>
    </row>
    <row r="5656" spans="20:25">
      <c r="T5656" s="146"/>
      <c r="V5656" s="147"/>
      <c r="W5656" s="146"/>
      <c r="Y5656" s="147"/>
    </row>
    <row r="5657" spans="20:25">
      <c r="T5657" s="146"/>
      <c r="V5657" s="147"/>
      <c r="W5657" s="146"/>
      <c r="Y5657" s="147"/>
    </row>
    <row r="5658" spans="20:25">
      <c r="T5658" s="146"/>
      <c r="V5658" s="147"/>
      <c r="W5658" s="146"/>
      <c r="Y5658" s="147"/>
    </row>
    <row r="5659" spans="20:25">
      <c r="T5659" s="146"/>
      <c r="V5659" s="147"/>
      <c r="W5659" s="146"/>
      <c r="Y5659" s="147"/>
    </row>
    <row r="5660" spans="20:25">
      <c r="T5660" s="146"/>
      <c r="V5660" s="147"/>
      <c r="W5660" s="146"/>
      <c r="Y5660" s="147"/>
    </row>
    <row r="5661" spans="20:25">
      <c r="T5661" s="146"/>
      <c r="V5661" s="147"/>
      <c r="W5661" s="146"/>
      <c r="Y5661" s="147"/>
    </row>
    <row r="5662" spans="20:25">
      <c r="T5662" s="146"/>
      <c r="V5662" s="147"/>
      <c r="W5662" s="146"/>
      <c r="Y5662" s="147"/>
    </row>
    <row r="5663" spans="20:25">
      <c r="T5663" s="146"/>
      <c r="V5663" s="147"/>
      <c r="W5663" s="146"/>
      <c r="Y5663" s="147"/>
    </row>
    <row r="5664" spans="20:25">
      <c r="T5664" s="146"/>
      <c r="V5664" s="147"/>
      <c r="W5664" s="146"/>
      <c r="Y5664" s="147"/>
    </row>
    <row r="5665" spans="20:25">
      <c r="T5665" s="146"/>
      <c r="V5665" s="147"/>
      <c r="W5665" s="146"/>
      <c r="Y5665" s="147"/>
    </row>
    <row r="5666" spans="20:25">
      <c r="T5666" s="146"/>
      <c r="V5666" s="147"/>
      <c r="W5666" s="146"/>
      <c r="Y5666" s="147"/>
    </row>
    <row r="5667" spans="20:25">
      <c r="T5667" s="146"/>
      <c r="V5667" s="147"/>
      <c r="W5667" s="146"/>
      <c r="Y5667" s="147"/>
    </row>
    <row r="5668" spans="20:25">
      <c r="T5668" s="146"/>
      <c r="V5668" s="147"/>
      <c r="W5668" s="146"/>
      <c r="Y5668" s="147"/>
    </row>
    <row r="5669" spans="20:25">
      <c r="T5669" s="146"/>
      <c r="V5669" s="147"/>
      <c r="W5669" s="146"/>
      <c r="Y5669" s="147"/>
    </row>
    <row r="5670" spans="20:25">
      <c r="T5670" s="146"/>
      <c r="V5670" s="147"/>
      <c r="W5670" s="146"/>
      <c r="Y5670" s="147"/>
    </row>
    <row r="5671" spans="20:25">
      <c r="T5671" s="146"/>
      <c r="V5671" s="147"/>
      <c r="W5671" s="146"/>
      <c r="Y5671" s="147"/>
    </row>
    <row r="5672" spans="20:25">
      <c r="T5672" s="146"/>
      <c r="V5672" s="147"/>
      <c r="W5672" s="146"/>
      <c r="Y5672" s="147"/>
    </row>
    <row r="5673" spans="20:25">
      <c r="T5673" s="146"/>
      <c r="V5673" s="147"/>
      <c r="W5673" s="146"/>
      <c r="Y5673" s="147"/>
    </row>
    <row r="5674" spans="20:25">
      <c r="T5674" s="146"/>
      <c r="V5674" s="147"/>
      <c r="W5674" s="146"/>
      <c r="Y5674" s="147"/>
    </row>
    <row r="5675" spans="20:25">
      <c r="T5675" s="146"/>
      <c r="V5675" s="147"/>
      <c r="W5675" s="146"/>
      <c r="Y5675" s="147"/>
    </row>
    <row r="5676" spans="20:25">
      <c r="T5676" s="146"/>
      <c r="V5676" s="147"/>
      <c r="W5676" s="146"/>
      <c r="Y5676" s="147"/>
    </row>
    <row r="5677" spans="20:25">
      <c r="T5677" s="146"/>
      <c r="V5677" s="147"/>
      <c r="W5677" s="146"/>
      <c r="Y5677" s="147"/>
    </row>
    <row r="5678" spans="20:25">
      <c r="T5678" s="146"/>
      <c r="V5678" s="147"/>
      <c r="W5678" s="146"/>
      <c r="Y5678" s="147"/>
    </row>
    <row r="5679" spans="20:25">
      <c r="T5679" s="146"/>
      <c r="V5679" s="147"/>
      <c r="W5679" s="146"/>
      <c r="Y5679" s="147"/>
    </row>
    <row r="5680" spans="20:25">
      <c r="T5680" s="146"/>
      <c r="V5680" s="147"/>
      <c r="W5680" s="146"/>
      <c r="Y5680" s="147"/>
    </row>
    <row r="5681" spans="20:25">
      <c r="T5681" s="146"/>
      <c r="V5681" s="147"/>
      <c r="W5681" s="146"/>
      <c r="Y5681" s="147"/>
    </row>
    <row r="5682" spans="20:25">
      <c r="T5682" s="146"/>
      <c r="V5682" s="147"/>
      <c r="W5682" s="146"/>
      <c r="Y5682" s="147"/>
    </row>
    <row r="5683" spans="20:25">
      <c r="T5683" s="146"/>
      <c r="V5683" s="147"/>
      <c r="W5683" s="146"/>
      <c r="Y5683" s="147"/>
    </row>
    <row r="5684" spans="20:25">
      <c r="T5684" s="146"/>
      <c r="V5684" s="147"/>
      <c r="W5684" s="146"/>
      <c r="Y5684" s="147"/>
    </row>
    <row r="5685" spans="20:25">
      <c r="T5685" s="146"/>
      <c r="V5685" s="147"/>
      <c r="W5685" s="146"/>
      <c r="Y5685" s="147"/>
    </row>
    <row r="5686" spans="20:25">
      <c r="T5686" s="146"/>
      <c r="V5686" s="147"/>
      <c r="W5686" s="146"/>
      <c r="Y5686" s="147"/>
    </row>
    <row r="5687" spans="20:25">
      <c r="T5687" s="146"/>
      <c r="V5687" s="147"/>
      <c r="W5687" s="146"/>
      <c r="Y5687" s="147"/>
    </row>
    <row r="5688" spans="20:25">
      <c r="T5688" s="146"/>
      <c r="V5688" s="147"/>
      <c r="W5688" s="146"/>
      <c r="Y5688" s="147"/>
    </row>
    <row r="5689" spans="20:25">
      <c r="T5689" s="146"/>
      <c r="V5689" s="147"/>
      <c r="W5689" s="146"/>
      <c r="Y5689" s="147"/>
    </row>
    <row r="5690" spans="20:25">
      <c r="T5690" s="146"/>
      <c r="V5690" s="147"/>
      <c r="W5690" s="146"/>
      <c r="Y5690" s="147"/>
    </row>
    <row r="5691" spans="20:25">
      <c r="T5691" s="146"/>
      <c r="V5691" s="147"/>
      <c r="W5691" s="146"/>
      <c r="Y5691" s="147"/>
    </row>
    <row r="5692" spans="20:25">
      <c r="T5692" s="146"/>
      <c r="V5692" s="147"/>
      <c r="W5692" s="146"/>
      <c r="Y5692" s="147"/>
    </row>
    <row r="5693" spans="20:25">
      <c r="T5693" s="146"/>
      <c r="V5693" s="147"/>
      <c r="W5693" s="146"/>
      <c r="Y5693" s="147"/>
    </row>
    <row r="5694" spans="20:25">
      <c r="T5694" s="146"/>
      <c r="V5694" s="147"/>
      <c r="W5694" s="146"/>
      <c r="Y5694" s="147"/>
    </row>
    <row r="5695" spans="20:25">
      <c r="T5695" s="146"/>
      <c r="V5695" s="147"/>
      <c r="W5695" s="146"/>
      <c r="Y5695" s="147"/>
    </row>
    <row r="5696" spans="20:25">
      <c r="T5696" s="146"/>
      <c r="V5696" s="147"/>
      <c r="W5696" s="146"/>
      <c r="Y5696" s="147"/>
    </row>
    <row r="5697" spans="20:25">
      <c r="T5697" s="146"/>
      <c r="V5697" s="147"/>
      <c r="W5697" s="146"/>
      <c r="Y5697" s="147"/>
    </row>
    <row r="5698" spans="20:25">
      <c r="T5698" s="146"/>
      <c r="V5698" s="147"/>
      <c r="W5698" s="146"/>
      <c r="Y5698" s="147"/>
    </row>
    <row r="5699" spans="20:25">
      <c r="T5699" s="146"/>
      <c r="V5699" s="147"/>
      <c r="W5699" s="146"/>
      <c r="Y5699" s="147"/>
    </row>
    <row r="5700" spans="20:25">
      <c r="T5700" s="146"/>
      <c r="V5700" s="147"/>
      <c r="W5700" s="146"/>
      <c r="Y5700" s="147"/>
    </row>
    <row r="5701" spans="20:25">
      <c r="T5701" s="146"/>
      <c r="V5701" s="147"/>
      <c r="W5701" s="146"/>
      <c r="Y5701" s="147"/>
    </row>
    <row r="5702" spans="20:25">
      <c r="T5702" s="146"/>
      <c r="V5702" s="147"/>
      <c r="W5702" s="146"/>
      <c r="Y5702" s="147"/>
    </row>
    <row r="5703" spans="20:25">
      <c r="T5703" s="146"/>
      <c r="V5703" s="147"/>
      <c r="W5703" s="146"/>
      <c r="Y5703" s="147"/>
    </row>
    <row r="5704" spans="20:25">
      <c r="T5704" s="146"/>
      <c r="V5704" s="147"/>
      <c r="W5704" s="146"/>
      <c r="Y5704" s="147"/>
    </row>
    <row r="5705" spans="20:25">
      <c r="T5705" s="146"/>
      <c r="V5705" s="147"/>
      <c r="W5705" s="146"/>
      <c r="Y5705" s="147"/>
    </row>
    <row r="5706" spans="20:25">
      <c r="T5706" s="146"/>
      <c r="V5706" s="147"/>
      <c r="W5706" s="146"/>
      <c r="Y5706" s="147"/>
    </row>
    <row r="5707" spans="20:25">
      <c r="T5707" s="146"/>
      <c r="V5707" s="147"/>
      <c r="W5707" s="146"/>
      <c r="Y5707" s="147"/>
    </row>
    <row r="5708" spans="20:25">
      <c r="T5708" s="146"/>
      <c r="V5708" s="147"/>
      <c r="W5708" s="146"/>
      <c r="Y5708" s="147"/>
    </row>
    <row r="5709" spans="20:25">
      <c r="T5709" s="146"/>
      <c r="V5709" s="147"/>
      <c r="W5709" s="146"/>
      <c r="Y5709" s="147"/>
    </row>
    <row r="5710" spans="20:25">
      <c r="T5710" s="146"/>
      <c r="V5710" s="147"/>
      <c r="W5710" s="146"/>
      <c r="Y5710" s="147"/>
    </row>
    <row r="5711" spans="20:25">
      <c r="T5711" s="146"/>
      <c r="V5711" s="147"/>
      <c r="W5711" s="146"/>
      <c r="Y5711" s="147"/>
    </row>
    <row r="5712" spans="20:25">
      <c r="T5712" s="146"/>
      <c r="V5712" s="147"/>
      <c r="W5712" s="146"/>
      <c r="Y5712" s="147"/>
    </row>
    <row r="5713" spans="20:25">
      <c r="T5713" s="146"/>
      <c r="V5713" s="147"/>
      <c r="W5713" s="146"/>
      <c r="Y5713" s="147"/>
    </row>
    <row r="5714" spans="20:25">
      <c r="T5714" s="146"/>
      <c r="V5714" s="147"/>
      <c r="W5714" s="146"/>
      <c r="Y5714" s="147"/>
    </row>
    <row r="5715" spans="20:25">
      <c r="T5715" s="146"/>
      <c r="V5715" s="147"/>
      <c r="W5715" s="146"/>
      <c r="Y5715" s="147"/>
    </row>
    <row r="5716" spans="20:25">
      <c r="T5716" s="146"/>
      <c r="V5716" s="147"/>
      <c r="W5716" s="146"/>
      <c r="Y5716" s="147"/>
    </row>
    <row r="5717" spans="20:25">
      <c r="T5717" s="146"/>
      <c r="V5717" s="147"/>
      <c r="W5717" s="146"/>
      <c r="Y5717" s="147"/>
    </row>
    <row r="5718" spans="20:25">
      <c r="T5718" s="146"/>
      <c r="V5718" s="147"/>
      <c r="W5718" s="146"/>
      <c r="Y5718" s="147"/>
    </row>
    <row r="5719" spans="20:25">
      <c r="T5719" s="146"/>
      <c r="V5719" s="147"/>
      <c r="W5719" s="146"/>
      <c r="Y5719" s="147"/>
    </row>
    <row r="5720" spans="20:25">
      <c r="T5720" s="146"/>
      <c r="V5720" s="147"/>
      <c r="W5720" s="146"/>
      <c r="Y5720" s="147"/>
    </row>
    <row r="5721" spans="20:25">
      <c r="T5721" s="146"/>
      <c r="V5721" s="147"/>
      <c r="W5721" s="146"/>
      <c r="Y5721" s="147"/>
    </row>
    <row r="5722" spans="20:25">
      <c r="T5722" s="146"/>
      <c r="V5722" s="147"/>
      <c r="W5722" s="146"/>
      <c r="Y5722" s="147"/>
    </row>
    <row r="5723" spans="20:25">
      <c r="T5723" s="146"/>
      <c r="V5723" s="147"/>
      <c r="W5723" s="146"/>
      <c r="Y5723" s="147"/>
    </row>
    <row r="5724" spans="20:25">
      <c r="T5724" s="146"/>
      <c r="V5724" s="147"/>
      <c r="W5724" s="146"/>
      <c r="Y5724" s="147"/>
    </row>
    <row r="5725" spans="20:25">
      <c r="T5725" s="146"/>
      <c r="V5725" s="147"/>
      <c r="W5725" s="146"/>
      <c r="Y5725" s="147"/>
    </row>
    <row r="5726" spans="20:25">
      <c r="T5726" s="146"/>
      <c r="V5726" s="147"/>
      <c r="W5726" s="146"/>
      <c r="Y5726" s="147"/>
    </row>
    <row r="5727" spans="20:25">
      <c r="T5727" s="146"/>
      <c r="V5727" s="147"/>
      <c r="W5727" s="146"/>
      <c r="Y5727" s="147"/>
    </row>
    <row r="5728" spans="20:25">
      <c r="T5728" s="146"/>
      <c r="V5728" s="147"/>
      <c r="W5728" s="146"/>
      <c r="Y5728" s="147"/>
    </row>
    <row r="5729" spans="20:25">
      <c r="T5729" s="146"/>
      <c r="V5729" s="147"/>
      <c r="W5729" s="146"/>
      <c r="Y5729" s="147"/>
    </row>
    <row r="5730" spans="20:25">
      <c r="T5730" s="146"/>
      <c r="V5730" s="147"/>
      <c r="W5730" s="146"/>
      <c r="Y5730" s="147"/>
    </row>
    <row r="5731" spans="20:25">
      <c r="T5731" s="146"/>
      <c r="V5731" s="147"/>
      <c r="W5731" s="146"/>
      <c r="Y5731" s="147"/>
    </row>
    <row r="5732" spans="20:25">
      <c r="T5732" s="146"/>
      <c r="V5732" s="147"/>
      <c r="W5732" s="146"/>
      <c r="Y5732" s="147"/>
    </row>
    <row r="5733" spans="20:25">
      <c r="T5733" s="146"/>
      <c r="V5733" s="147"/>
      <c r="W5733" s="146"/>
      <c r="Y5733" s="147"/>
    </row>
    <row r="5734" spans="20:25">
      <c r="T5734" s="146"/>
      <c r="V5734" s="147"/>
      <c r="W5734" s="146"/>
      <c r="Y5734" s="147"/>
    </row>
    <row r="5735" spans="20:25">
      <c r="T5735" s="146"/>
      <c r="V5735" s="147"/>
      <c r="W5735" s="146"/>
      <c r="Y5735" s="147"/>
    </row>
    <row r="5736" spans="20:25">
      <c r="T5736" s="146"/>
      <c r="V5736" s="147"/>
      <c r="W5736" s="146"/>
      <c r="Y5736" s="147"/>
    </row>
    <row r="5737" spans="20:25">
      <c r="T5737" s="146"/>
      <c r="V5737" s="147"/>
      <c r="W5737" s="146"/>
      <c r="Y5737" s="147"/>
    </row>
    <row r="5738" spans="20:25">
      <c r="T5738" s="146"/>
      <c r="V5738" s="147"/>
      <c r="W5738" s="146"/>
      <c r="Y5738" s="147"/>
    </row>
    <row r="5739" spans="20:25">
      <c r="T5739" s="146"/>
      <c r="V5739" s="147"/>
      <c r="W5739" s="146"/>
      <c r="Y5739" s="147"/>
    </row>
    <row r="5740" spans="20:25">
      <c r="T5740" s="146"/>
      <c r="V5740" s="147"/>
      <c r="W5740" s="146"/>
      <c r="Y5740" s="147"/>
    </row>
    <row r="5741" spans="20:25">
      <c r="T5741" s="146"/>
      <c r="V5741" s="147"/>
      <c r="W5741" s="146"/>
      <c r="Y5741" s="147"/>
    </row>
    <row r="5742" spans="20:25">
      <c r="T5742" s="146"/>
      <c r="V5742" s="147"/>
      <c r="W5742" s="146"/>
      <c r="Y5742" s="147"/>
    </row>
    <row r="5743" spans="20:25">
      <c r="T5743" s="146"/>
      <c r="V5743" s="147"/>
      <c r="W5743" s="146"/>
      <c r="Y5743" s="147"/>
    </row>
    <row r="5744" spans="20:25">
      <c r="T5744" s="146"/>
      <c r="V5744" s="147"/>
      <c r="W5744" s="146"/>
      <c r="Y5744" s="147"/>
    </row>
    <row r="5745" spans="20:25">
      <c r="T5745" s="146"/>
      <c r="V5745" s="147"/>
      <c r="W5745" s="146"/>
      <c r="Y5745" s="147"/>
    </row>
    <row r="5746" spans="20:25">
      <c r="T5746" s="146"/>
      <c r="V5746" s="147"/>
      <c r="W5746" s="146"/>
      <c r="Y5746" s="147"/>
    </row>
    <row r="5747" spans="20:25">
      <c r="T5747" s="146"/>
      <c r="V5747" s="147"/>
      <c r="W5747" s="146"/>
      <c r="Y5747" s="147"/>
    </row>
    <row r="5748" spans="20:25">
      <c r="T5748" s="146"/>
      <c r="V5748" s="147"/>
      <c r="W5748" s="146"/>
      <c r="Y5748" s="147"/>
    </row>
    <row r="5749" spans="20:25">
      <c r="T5749" s="146"/>
      <c r="V5749" s="147"/>
      <c r="W5749" s="146"/>
      <c r="Y5749" s="147"/>
    </row>
    <row r="5750" spans="20:25">
      <c r="T5750" s="146"/>
      <c r="V5750" s="147"/>
      <c r="W5750" s="146"/>
      <c r="Y5750" s="147"/>
    </row>
    <row r="5751" spans="20:25">
      <c r="T5751" s="146"/>
      <c r="V5751" s="147"/>
      <c r="W5751" s="146"/>
      <c r="Y5751" s="147"/>
    </row>
    <row r="5752" spans="20:25">
      <c r="T5752" s="146"/>
      <c r="V5752" s="147"/>
      <c r="W5752" s="146"/>
      <c r="Y5752" s="147"/>
    </row>
    <row r="5753" spans="20:25">
      <c r="T5753" s="146"/>
      <c r="V5753" s="147"/>
      <c r="W5753" s="146"/>
      <c r="Y5753" s="147"/>
    </row>
    <row r="5754" spans="20:25">
      <c r="T5754" s="146"/>
      <c r="V5754" s="147"/>
      <c r="W5754" s="146"/>
      <c r="Y5754" s="147"/>
    </row>
    <row r="5755" spans="20:25">
      <c r="T5755" s="146"/>
      <c r="V5755" s="147"/>
      <c r="W5755" s="146"/>
      <c r="Y5755" s="147"/>
    </row>
    <row r="5756" spans="20:25">
      <c r="T5756" s="146"/>
      <c r="V5756" s="147"/>
      <c r="W5756" s="146"/>
      <c r="Y5756" s="147"/>
    </row>
    <row r="5757" spans="20:25">
      <c r="T5757" s="146"/>
      <c r="V5757" s="147"/>
      <c r="W5757" s="146"/>
      <c r="Y5757" s="147"/>
    </row>
    <row r="5758" spans="20:25">
      <c r="T5758" s="146"/>
      <c r="V5758" s="147"/>
      <c r="W5758" s="146"/>
      <c r="Y5758" s="147"/>
    </row>
    <row r="5759" spans="20:25">
      <c r="T5759" s="146"/>
      <c r="V5759" s="147"/>
      <c r="W5759" s="146"/>
      <c r="Y5759" s="147"/>
    </row>
    <row r="5760" spans="20:25">
      <c r="T5760" s="146"/>
      <c r="V5760" s="147"/>
      <c r="W5760" s="146"/>
      <c r="Y5760" s="147"/>
    </row>
    <row r="5761" spans="20:25">
      <c r="T5761" s="146"/>
      <c r="V5761" s="147"/>
      <c r="W5761" s="146"/>
      <c r="Y5761" s="147"/>
    </row>
    <row r="5762" spans="20:25">
      <c r="T5762" s="146"/>
      <c r="V5762" s="147"/>
      <c r="W5762" s="146"/>
      <c r="Y5762" s="147"/>
    </row>
    <row r="5763" spans="20:25">
      <c r="T5763" s="146"/>
      <c r="V5763" s="147"/>
      <c r="W5763" s="146"/>
      <c r="Y5763" s="147"/>
    </row>
    <row r="5764" spans="20:25">
      <c r="T5764" s="146"/>
      <c r="V5764" s="147"/>
      <c r="W5764" s="146"/>
      <c r="Y5764" s="147"/>
    </row>
    <row r="5765" spans="20:25">
      <c r="T5765" s="146"/>
      <c r="V5765" s="147"/>
      <c r="W5765" s="146"/>
      <c r="Y5765" s="147"/>
    </row>
    <row r="5766" spans="20:25">
      <c r="T5766" s="146"/>
      <c r="V5766" s="147"/>
      <c r="W5766" s="146"/>
      <c r="Y5766" s="147"/>
    </row>
    <row r="5767" spans="20:25">
      <c r="T5767" s="146"/>
      <c r="V5767" s="147"/>
      <c r="W5767" s="146"/>
      <c r="Y5767" s="147"/>
    </row>
    <row r="5768" spans="20:25">
      <c r="T5768" s="146"/>
      <c r="V5768" s="147"/>
      <c r="W5768" s="146"/>
      <c r="Y5768" s="147"/>
    </row>
    <row r="5769" spans="20:25">
      <c r="T5769" s="146"/>
      <c r="V5769" s="147"/>
      <c r="W5769" s="146"/>
      <c r="Y5769" s="147"/>
    </row>
    <row r="5770" spans="20:25">
      <c r="T5770" s="146"/>
      <c r="V5770" s="147"/>
      <c r="W5770" s="146"/>
      <c r="Y5770" s="147"/>
    </row>
    <row r="5771" spans="20:25">
      <c r="T5771" s="146"/>
      <c r="V5771" s="147"/>
      <c r="W5771" s="146"/>
      <c r="Y5771" s="147"/>
    </row>
    <row r="5772" spans="20:25">
      <c r="T5772" s="146"/>
      <c r="V5772" s="147"/>
      <c r="W5772" s="146"/>
      <c r="Y5772" s="147"/>
    </row>
    <row r="5773" spans="20:25">
      <c r="T5773" s="146"/>
      <c r="V5773" s="147"/>
      <c r="W5773" s="146"/>
      <c r="Y5773" s="147"/>
    </row>
    <row r="5774" spans="20:25">
      <c r="T5774" s="146"/>
      <c r="V5774" s="147"/>
      <c r="W5774" s="146"/>
      <c r="Y5774" s="147"/>
    </row>
    <row r="5775" spans="20:25">
      <c r="T5775" s="146"/>
      <c r="V5775" s="147"/>
      <c r="W5775" s="146"/>
      <c r="Y5775" s="147"/>
    </row>
    <row r="5776" spans="20:25">
      <c r="T5776" s="146"/>
      <c r="V5776" s="147"/>
      <c r="W5776" s="146"/>
      <c r="Y5776" s="147"/>
    </row>
    <row r="5777" spans="20:25">
      <c r="T5777" s="146"/>
      <c r="V5777" s="147"/>
      <c r="W5777" s="146"/>
      <c r="Y5777" s="147"/>
    </row>
    <row r="5778" spans="20:25">
      <c r="T5778" s="146"/>
      <c r="V5778" s="147"/>
      <c r="W5778" s="146"/>
      <c r="Y5778" s="147"/>
    </row>
    <row r="5779" spans="20:25">
      <c r="T5779" s="146"/>
      <c r="V5779" s="147"/>
      <c r="W5779" s="146"/>
      <c r="Y5779" s="147"/>
    </row>
    <row r="5780" spans="20:25">
      <c r="T5780" s="146"/>
      <c r="V5780" s="147"/>
      <c r="W5780" s="146"/>
      <c r="Y5780" s="147"/>
    </row>
    <row r="5781" spans="20:25">
      <c r="T5781" s="146"/>
      <c r="V5781" s="147"/>
      <c r="W5781" s="146"/>
      <c r="Y5781" s="147"/>
    </row>
    <row r="5782" spans="20:25">
      <c r="T5782" s="146"/>
      <c r="V5782" s="147"/>
      <c r="W5782" s="146"/>
      <c r="Y5782" s="147"/>
    </row>
    <row r="5783" spans="20:25">
      <c r="T5783" s="146"/>
      <c r="V5783" s="147"/>
      <c r="W5783" s="146"/>
      <c r="Y5783" s="147"/>
    </row>
    <row r="5784" spans="20:25">
      <c r="T5784" s="146"/>
      <c r="V5784" s="147"/>
      <c r="W5784" s="146"/>
      <c r="Y5784" s="147"/>
    </row>
    <row r="5785" spans="20:25">
      <c r="T5785" s="146"/>
      <c r="V5785" s="147"/>
      <c r="W5785" s="146"/>
      <c r="Y5785" s="147"/>
    </row>
    <row r="5786" spans="20:25">
      <c r="T5786" s="146"/>
      <c r="V5786" s="147"/>
      <c r="W5786" s="146"/>
      <c r="Y5786" s="147"/>
    </row>
    <row r="5787" spans="20:25">
      <c r="T5787" s="146"/>
      <c r="V5787" s="147"/>
      <c r="W5787" s="146"/>
      <c r="Y5787" s="147"/>
    </row>
    <row r="5788" spans="20:25">
      <c r="T5788" s="146"/>
      <c r="V5788" s="147"/>
      <c r="W5788" s="146"/>
      <c r="Y5788" s="147"/>
    </row>
    <row r="5789" spans="20:25">
      <c r="T5789" s="146"/>
      <c r="V5789" s="147"/>
      <c r="W5789" s="146"/>
      <c r="Y5789" s="147"/>
    </row>
    <row r="5790" spans="20:25">
      <c r="T5790" s="146"/>
      <c r="V5790" s="147"/>
      <c r="W5790" s="146"/>
      <c r="Y5790" s="147"/>
    </row>
    <row r="5791" spans="20:25">
      <c r="T5791" s="146"/>
      <c r="V5791" s="147"/>
      <c r="W5791" s="146"/>
      <c r="Y5791" s="147"/>
    </row>
    <row r="5792" spans="20:25">
      <c r="T5792" s="146"/>
      <c r="V5792" s="147"/>
      <c r="W5792" s="146"/>
      <c r="Y5792" s="147"/>
    </row>
    <row r="5793" spans="20:25">
      <c r="T5793" s="146"/>
      <c r="V5793" s="147"/>
      <c r="W5793" s="146"/>
      <c r="Y5793" s="147"/>
    </row>
    <row r="5794" spans="20:25">
      <c r="T5794" s="146"/>
      <c r="V5794" s="147"/>
      <c r="W5794" s="146"/>
      <c r="Y5794" s="147"/>
    </row>
    <row r="5795" spans="20:25">
      <c r="T5795" s="146"/>
      <c r="V5795" s="147"/>
      <c r="W5795" s="146"/>
      <c r="Y5795" s="147"/>
    </row>
    <row r="5796" spans="20:25">
      <c r="T5796" s="146"/>
      <c r="V5796" s="147"/>
      <c r="W5796" s="146"/>
      <c r="Y5796" s="147"/>
    </row>
    <row r="5797" spans="20:25">
      <c r="T5797" s="146"/>
      <c r="V5797" s="147"/>
      <c r="W5797" s="146"/>
      <c r="Y5797" s="147"/>
    </row>
    <row r="5798" spans="20:25">
      <c r="T5798" s="146"/>
      <c r="V5798" s="147"/>
      <c r="W5798" s="146"/>
      <c r="Y5798" s="147"/>
    </row>
    <row r="5799" spans="20:25">
      <c r="T5799" s="146"/>
      <c r="V5799" s="147"/>
      <c r="W5799" s="146"/>
      <c r="Y5799" s="147"/>
    </row>
    <row r="5800" spans="20:25">
      <c r="T5800" s="146"/>
      <c r="V5800" s="147"/>
      <c r="W5800" s="146"/>
      <c r="Y5800" s="147"/>
    </row>
    <row r="5801" spans="20:25">
      <c r="T5801" s="146"/>
      <c r="V5801" s="147"/>
      <c r="W5801" s="146"/>
      <c r="Y5801" s="147"/>
    </row>
    <row r="5802" spans="20:25">
      <c r="T5802" s="146"/>
      <c r="V5802" s="147"/>
      <c r="W5802" s="146"/>
      <c r="Y5802" s="147"/>
    </row>
    <row r="5803" spans="20:25">
      <c r="T5803" s="146"/>
      <c r="V5803" s="147"/>
      <c r="W5803" s="146"/>
      <c r="Y5803" s="147"/>
    </row>
    <row r="5804" spans="20:25">
      <c r="T5804" s="146"/>
      <c r="V5804" s="147"/>
      <c r="W5804" s="146"/>
      <c r="Y5804" s="147"/>
    </row>
    <row r="5805" spans="20:25">
      <c r="T5805" s="146"/>
      <c r="V5805" s="147"/>
      <c r="W5805" s="146"/>
      <c r="Y5805" s="147"/>
    </row>
    <row r="5806" spans="20:25">
      <c r="T5806" s="146"/>
      <c r="V5806" s="147"/>
      <c r="W5806" s="146"/>
      <c r="Y5806" s="147"/>
    </row>
    <row r="5807" spans="20:25">
      <c r="T5807" s="146"/>
      <c r="V5807" s="147"/>
      <c r="W5807" s="146"/>
      <c r="Y5807" s="147"/>
    </row>
    <row r="5808" spans="20:25">
      <c r="T5808" s="146"/>
      <c r="V5808" s="147"/>
      <c r="W5808" s="146"/>
      <c r="Y5808" s="147"/>
    </row>
    <row r="5809" spans="20:25">
      <c r="T5809" s="146"/>
      <c r="V5809" s="147"/>
      <c r="W5809" s="146"/>
      <c r="Y5809" s="147"/>
    </row>
    <row r="5810" spans="20:25">
      <c r="T5810" s="146"/>
      <c r="V5810" s="147"/>
      <c r="W5810" s="146"/>
      <c r="Y5810" s="147"/>
    </row>
    <row r="5811" spans="20:25">
      <c r="T5811" s="146"/>
      <c r="V5811" s="147"/>
      <c r="W5811" s="146"/>
      <c r="Y5811" s="147"/>
    </row>
    <row r="5812" spans="20:25">
      <c r="T5812" s="146"/>
      <c r="V5812" s="147"/>
      <c r="W5812" s="146"/>
      <c r="Y5812" s="147"/>
    </row>
    <row r="5813" spans="20:25">
      <c r="T5813" s="146"/>
      <c r="V5813" s="147"/>
      <c r="W5813" s="146"/>
      <c r="Y5813" s="147"/>
    </row>
    <row r="5814" spans="20:25">
      <c r="T5814" s="146"/>
      <c r="V5814" s="147"/>
      <c r="W5814" s="146"/>
      <c r="Y5814" s="147"/>
    </row>
    <row r="5815" spans="20:25">
      <c r="T5815" s="146"/>
      <c r="V5815" s="147"/>
      <c r="W5815" s="146"/>
      <c r="Y5815" s="147"/>
    </row>
    <row r="5816" spans="20:25">
      <c r="T5816" s="146"/>
      <c r="V5816" s="147"/>
      <c r="W5816" s="146"/>
      <c r="Y5816" s="147"/>
    </row>
    <row r="5817" spans="20:25">
      <c r="T5817" s="146"/>
      <c r="V5817" s="147"/>
      <c r="W5817" s="146"/>
      <c r="Y5817" s="147"/>
    </row>
    <row r="5818" spans="20:25">
      <c r="T5818" s="146"/>
      <c r="V5818" s="147"/>
      <c r="W5818" s="146"/>
      <c r="Y5818" s="147"/>
    </row>
    <row r="5819" spans="20:25">
      <c r="T5819" s="146"/>
      <c r="V5819" s="147"/>
      <c r="W5819" s="146"/>
      <c r="Y5819" s="147"/>
    </row>
    <row r="5820" spans="20:25">
      <c r="T5820" s="146"/>
      <c r="V5820" s="147"/>
      <c r="W5820" s="146"/>
      <c r="Y5820" s="147"/>
    </row>
    <row r="5821" spans="20:25">
      <c r="T5821" s="146"/>
      <c r="V5821" s="147"/>
      <c r="W5821" s="146"/>
      <c r="Y5821" s="147"/>
    </row>
    <row r="5822" spans="20:25">
      <c r="T5822" s="146"/>
      <c r="V5822" s="147"/>
      <c r="W5822" s="146"/>
      <c r="Y5822" s="147"/>
    </row>
    <row r="5823" spans="20:25">
      <c r="T5823" s="146"/>
      <c r="V5823" s="147"/>
      <c r="W5823" s="146"/>
      <c r="Y5823" s="147"/>
    </row>
    <row r="5824" spans="20:25">
      <c r="T5824" s="146"/>
      <c r="V5824" s="147"/>
      <c r="W5824" s="146"/>
      <c r="Y5824" s="147"/>
    </row>
    <row r="5825" spans="20:25">
      <c r="T5825" s="146"/>
      <c r="V5825" s="147"/>
      <c r="W5825" s="146"/>
      <c r="Y5825" s="147"/>
    </row>
    <row r="5826" spans="20:25">
      <c r="T5826" s="146"/>
      <c r="V5826" s="147"/>
      <c r="W5826" s="146"/>
      <c r="Y5826" s="147"/>
    </row>
    <row r="5827" spans="20:25">
      <c r="T5827" s="146"/>
      <c r="V5827" s="147"/>
      <c r="W5827" s="146"/>
      <c r="Y5827" s="147"/>
    </row>
    <row r="5828" spans="20:25">
      <c r="T5828" s="146"/>
      <c r="V5828" s="147"/>
      <c r="W5828" s="146"/>
      <c r="Y5828" s="147"/>
    </row>
    <row r="5829" spans="20:25">
      <c r="T5829" s="146"/>
      <c r="V5829" s="147"/>
      <c r="W5829" s="146"/>
      <c r="Y5829" s="147"/>
    </row>
    <row r="5830" spans="20:25">
      <c r="T5830" s="146"/>
      <c r="V5830" s="147"/>
      <c r="W5830" s="146"/>
      <c r="Y5830" s="147"/>
    </row>
    <row r="5831" spans="20:25">
      <c r="T5831" s="146"/>
      <c r="V5831" s="147"/>
      <c r="W5831" s="146"/>
      <c r="Y5831" s="147"/>
    </row>
    <row r="5832" spans="20:25">
      <c r="T5832" s="146"/>
      <c r="V5832" s="147"/>
      <c r="W5832" s="146"/>
      <c r="Y5832" s="147"/>
    </row>
    <row r="5833" spans="20:25">
      <c r="T5833" s="146"/>
      <c r="V5833" s="147"/>
      <c r="W5833" s="146"/>
      <c r="Y5833" s="147"/>
    </row>
    <row r="5834" spans="20:25">
      <c r="T5834" s="146"/>
      <c r="V5834" s="147"/>
      <c r="W5834" s="146"/>
      <c r="Y5834" s="147"/>
    </row>
    <row r="5835" spans="20:25">
      <c r="T5835" s="146"/>
      <c r="V5835" s="147"/>
      <c r="W5835" s="146"/>
      <c r="Y5835" s="147"/>
    </row>
    <row r="5836" spans="20:25">
      <c r="T5836" s="146"/>
      <c r="V5836" s="147"/>
      <c r="W5836" s="146"/>
      <c r="Y5836" s="147"/>
    </row>
    <row r="5837" spans="20:25">
      <c r="T5837" s="146"/>
      <c r="V5837" s="147"/>
      <c r="W5837" s="146"/>
      <c r="Y5837" s="147"/>
    </row>
    <row r="5838" spans="20:25">
      <c r="T5838" s="146"/>
      <c r="V5838" s="147"/>
      <c r="W5838" s="146"/>
      <c r="Y5838" s="147"/>
    </row>
    <row r="5839" spans="20:25">
      <c r="T5839" s="146"/>
      <c r="V5839" s="147"/>
      <c r="W5839" s="146"/>
      <c r="Y5839" s="147"/>
    </row>
    <row r="5840" spans="20:25">
      <c r="T5840" s="146"/>
      <c r="V5840" s="147"/>
      <c r="W5840" s="146"/>
      <c r="Y5840" s="147"/>
    </row>
    <row r="5841" spans="20:25">
      <c r="T5841" s="146"/>
      <c r="V5841" s="147"/>
      <c r="W5841" s="146"/>
      <c r="Y5841" s="147"/>
    </row>
    <row r="5842" spans="20:25">
      <c r="T5842" s="146"/>
      <c r="V5842" s="147"/>
      <c r="W5842" s="146"/>
      <c r="Y5842" s="147"/>
    </row>
    <row r="5843" spans="20:25">
      <c r="T5843" s="146"/>
      <c r="V5843" s="147"/>
      <c r="W5843" s="146"/>
      <c r="Y5843" s="147"/>
    </row>
    <row r="5844" spans="20:25">
      <c r="T5844" s="146"/>
      <c r="V5844" s="147"/>
      <c r="W5844" s="146"/>
      <c r="Y5844" s="147"/>
    </row>
    <row r="5845" spans="20:25">
      <c r="T5845" s="146"/>
      <c r="V5845" s="147"/>
      <c r="W5845" s="146"/>
      <c r="Y5845" s="147"/>
    </row>
    <row r="5846" spans="20:25">
      <c r="T5846" s="146"/>
      <c r="V5846" s="147"/>
      <c r="W5846" s="146"/>
      <c r="Y5846" s="147"/>
    </row>
    <row r="5847" spans="20:25">
      <c r="T5847" s="146"/>
      <c r="V5847" s="147"/>
      <c r="W5847" s="146"/>
      <c r="Y5847" s="147"/>
    </row>
    <row r="5848" spans="20:25">
      <c r="T5848" s="146"/>
      <c r="V5848" s="147"/>
      <c r="W5848" s="146"/>
      <c r="Y5848" s="147"/>
    </row>
    <row r="5849" spans="20:25">
      <c r="T5849" s="146"/>
      <c r="V5849" s="147"/>
      <c r="W5849" s="146"/>
      <c r="Y5849" s="147"/>
    </row>
    <row r="5850" spans="20:25">
      <c r="T5850" s="146"/>
      <c r="V5850" s="147"/>
      <c r="W5850" s="146"/>
      <c r="Y5850" s="147"/>
    </row>
    <row r="5851" spans="20:25">
      <c r="T5851" s="146"/>
      <c r="V5851" s="147"/>
      <c r="W5851" s="146"/>
      <c r="Y5851" s="147"/>
    </row>
    <row r="5852" spans="20:25">
      <c r="T5852" s="146"/>
      <c r="V5852" s="147"/>
      <c r="W5852" s="146"/>
      <c r="Y5852" s="147"/>
    </row>
    <row r="5853" spans="20:25">
      <c r="T5853" s="146"/>
      <c r="V5853" s="147"/>
      <c r="W5853" s="146"/>
      <c r="Y5853" s="147"/>
    </row>
    <row r="5854" spans="20:25">
      <c r="T5854" s="146"/>
      <c r="V5854" s="147"/>
      <c r="W5854" s="146"/>
      <c r="Y5854" s="147"/>
    </row>
    <row r="5855" spans="20:25">
      <c r="T5855" s="146"/>
      <c r="V5855" s="147"/>
      <c r="W5855" s="146"/>
      <c r="Y5855" s="147"/>
    </row>
    <row r="5856" spans="20:25">
      <c r="T5856" s="146"/>
      <c r="V5856" s="147"/>
      <c r="W5856" s="146"/>
      <c r="Y5856" s="147"/>
    </row>
    <row r="5857" spans="20:25">
      <c r="T5857" s="146"/>
      <c r="V5857" s="147"/>
      <c r="W5857" s="146"/>
      <c r="Y5857" s="147"/>
    </row>
    <row r="5858" spans="20:25">
      <c r="T5858" s="146"/>
      <c r="V5858" s="147"/>
      <c r="W5858" s="146"/>
      <c r="Y5858" s="147"/>
    </row>
    <row r="5859" spans="20:25">
      <c r="T5859" s="146"/>
      <c r="V5859" s="147"/>
      <c r="W5859" s="146"/>
      <c r="Y5859" s="147"/>
    </row>
    <row r="5860" spans="20:25">
      <c r="T5860" s="146"/>
      <c r="V5860" s="147"/>
      <c r="W5860" s="146"/>
      <c r="Y5860" s="147"/>
    </row>
    <row r="5861" spans="20:25">
      <c r="T5861" s="146"/>
      <c r="V5861" s="147"/>
      <c r="W5861" s="146"/>
      <c r="Y5861" s="147"/>
    </row>
    <row r="5862" spans="20:25">
      <c r="T5862" s="146"/>
      <c r="V5862" s="147"/>
      <c r="W5862" s="146"/>
      <c r="Y5862" s="147"/>
    </row>
    <row r="5863" spans="20:25">
      <c r="T5863" s="146"/>
      <c r="V5863" s="147"/>
      <c r="W5863" s="146"/>
      <c r="Y5863" s="147"/>
    </row>
    <row r="5864" spans="20:25">
      <c r="T5864" s="146"/>
      <c r="V5864" s="147"/>
      <c r="W5864" s="146"/>
      <c r="Y5864" s="147"/>
    </row>
    <row r="5865" spans="20:25">
      <c r="T5865" s="146"/>
      <c r="V5865" s="147"/>
      <c r="W5865" s="146"/>
      <c r="Y5865" s="147"/>
    </row>
    <row r="5866" spans="20:25">
      <c r="T5866" s="146"/>
      <c r="V5866" s="147"/>
      <c r="W5866" s="146"/>
      <c r="Y5866" s="147"/>
    </row>
    <row r="5867" spans="20:25">
      <c r="T5867" s="146"/>
      <c r="V5867" s="147"/>
      <c r="W5867" s="146"/>
      <c r="Y5867" s="147"/>
    </row>
    <row r="5868" spans="20:25">
      <c r="T5868" s="146"/>
      <c r="V5868" s="147"/>
      <c r="W5868" s="146"/>
      <c r="Y5868" s="147"/>
    </row>
    <row r="5869" spans="20:25">
      <c r="T5869" s="146"/>
      <c r="V5869" s="147"/>
      <c r="W5869" s="146"/>
      <c r="Y5869" s="147"/>
    </row>
    <row r="5870" spans="20:25">
      <c r="T5870" s="146"/>
      <c r="V5870" s="147"/>
      <c r="W5870" s="146"/>
      <c r="Y5870" s="147"/>
    </row>
    <row r="5871" spans="20:25">
      <c r="T5871" s="146"/>
      <c r="V5871" s="147"/>
      <c r="W5871" s="146"/>
      <c r="Y5871" s="147"/>
    </row>
    <row r="5872" spans="20:25">
      <c r="T5872" s="146"/>
      <c r="V5872" s="147"/>
      <c r="W5872" s="146"/>
      <c r="Y5872" s="147"/>
    </row>
    <row r="5873" spans="20:25">
      <c r="T5873" s="146"/>
      <c r="V5873" s="147"/>
      <c r="W5873" s="146"/>
      <c r="Y5873" s="147"/>
    </row>
    <row r="5874" spans="20:25">
      <c r="T5874" s="146"/>
      <c r="V5874" s="147"/>
      <c r="W5874" s="146"/>
      <c r="Y5874" s="147"/>
    </row>
    <row r="5875" spans="20:25">
      <c r="T5875" s="146"/>
      <c r="V5875" s="147"/>
      <c r="W5875" s="146"/>
      <c r="Y5875" s="147"/>
    </row>
    <row r="5876" spans="20:25">
      <c r="T5876" s="146"/>
      <c r="V5876" s="147"/>
      <c r="W5876" s="146"/>
      <c r="Y5876" s="147"/>
    </row>
    <row r="5877" spans="20:25">
      <c r="T5877" s="146"/>
      <c r="V5877" s="147"/>
      <c r="W5877" s="146"/>
      <c r="Y5877" s="147"/>
    </row>
    <row r="5878" spans="20:25">
      <c r="T5878" s="146"/>
      <c r="V5878" s="147"/>
      <c r="W5878" s="146"/>
      <c r="Y5878" s="147"/>
    </row>
    <row r="5879" spans="20:25">
      <c r="T5879" s="146"/>
      <c r="V5879" s="147"/>
      <c r="W5879" s="146"/>
      <c r="Y5879" s="147"/>
    </row>
    <row r="5880" spans="20:25">
      <c r="T5880" s="146"/>
      <c r="V5880" s="147"/>
      <c r="W5880" s="146"/>
      <c r="Y5880" s="147"/>
    </row>
    <row r="5881" spans="20:25">
      <c r="T5881" s="146"/>
      <c r="V5881" s="147"/>
      <c r="W5881" s="146"/>
      <c r="Y5881" s="147"/>
    </row>
    <row r="5882" spans="20:25">
      <c r="T5882" s="146"/>
      <c r="V5882" s="147"/>
      <c r="W5882" s="146"/>
      <c r="Y5882" s="147"/>
    </row>
    <row r="5883" spans="20:25">
      <c r="T5883" s="146"/>
      <c r="V5883" s="147"/>
      <c r="W5883" s="146"/>
      <c r="Y5883" s="147"/>
    </row>
    <row r="5884" spans="20:25">
      <c r="T5884" s="146"/>
      <c r="V5884" s="147"/>
      <c r="W5884" s="146"/>
      <c r="Y5884" s="147"/>
    </row>
    <row r="5885" spans="20:25">
      <c r="T5885" s="146"/>
      <c r="V5885" s="147"/>
      <c r="W5885" s="146"/>
      <c r="Y5885" s="147"/>
    </row>
    <row r="5886" spans="20:25">
      <c r="T5886" s="146"/>
      <c r="V5886" s="147"/>
      <c r="W5886" s="146"/>
      <c r="Y5886" s="147"/>
    </row>
    <row r="5887" spans="20:25">
      <c r="T5887" s="146"/>
      <c r="V5887" s="147"/>
      <c r="W5887" s="146"/>
      <c r="Y5887" s="147"/>
    </row>
    <row r="5888" spans="20:25">
      <c r="T5888" s="146"/>
      <c r="V5888" s="147"/>
      <c r="W5888" s="146"/>
      <c r="Y5888" s="147"/>
    </row>
    <row r="5889" spans="20:25">
      <c r="T5889" s="146"/>
      <c r="V5889" s="147"/>
      <c r="W5889" s="146"/>
      <c r="Y5889" s="147"/>
    </row>
    <row r="5890" spans="20:25">
      <c r="T5890" s="146"/>
      <c r="V5890" s="147"/>
      <c r="W5890" s="146"/>
      <c r="Y5890" s="147"/>
    </row>
    <row r="5891" spans="20:25">
      <c r="T5891" s="146"/>
      <c r="V5891" s="147"/>
      <c r="W5891" s="146"/>
      <c r="Y5891" s="147"/>
    </row>
    <row r="5892" spans="20:25">
      <c r="T5892" s="146"/>
      <c r="V5892" s="147"/>
      <c r="W5892" s="146"/>
      <c r="Y5892" s="147"/>
    </row>
    <row r="5893" spans="20:25">
      <c r="T5893" s="146"/>
      <c r="V5893" s="147"/>
      <c r="W5893" s="146"/>
      <c r="Y5893" s="147"/>
    </row>
    <row r="5894" spans="20:25">
      <c r="T5894" s="146"/>
      <c r="V5894" s="147"/>
      <c r="W5894" s="146"/>
      <c r="Y5894" s="147"/>
    </row>
    <row r="5895" spans="20:25">
      <c r="T5895" s="146"/>
      <c r="V5895" s="147"/>
      <c r="W5895" s="146"/>
      <c r="Y5895" s="147"/>
    </row>
    <row r="5896" spans="20:25">
      <c r="T5896" s="146"/>
      <c r="V5896" s="147"/>
      <c r="W5896" s="146"/>
      <c r="Y5896" s="147"/>
    </row>
    <row r="5897" spans="20:25">
      <c r="T5897" s="146"/>
      <c r="V5897" s="147"/>
      <c r="W5897" s="146"/>
      <c r="Y5897" s="147"/>
    </row>
    <row r="5898" spans="20:25">
      <c r="T5898" s="146"/>
      <c r="V5898" s="147"/>
      <c r="W5898" s="146"/>
      <c r="Y5898" s="147"/>
    </row>
    <row r="5899" spans="20:25">
      <c r="T5899" s="146"/>
      <c r="V5899" s="147"/>
      <c r="W5899" s="146"/>
      <c r="Y5899" s="147"/>
    </row>
    <row r="5900" spans="20:25">
      <c r="T5900" s="146"/>
      <c r="V5900" s="147"/>
      <c r="W5900" s="146"/>
      <c r="Y5900" s="147"/>
    </row>
    <row r="5901" spans="20:25">
      <c r="T5901" s="146"/>
      <c r="V5901" s="147"/>
      <c r="W5901" s="146"/>
      <c r="Y5901" s="147"/>
    </row>
    <row r="5902" spans="20:25">
      <c r="T5902" s="146"/>
      <c r="V5902" s="147"/>
      <c r="W5902" s="146"/>
      <c r="Y5902" s="147"/>
    </row>
    <row r="5903" spans="20:25">
      <c r="T5903" s="146"/>
      <c r="V5903" s="147"/>
      <c r="W5903" s="146"/>
      <c r="Y5903" s="147"/>
    </row>
    <row r="5904" spans="20:25">
      <c r="T5904" s="146"/>
      <c r="V5904" s="147"/>
      <c r="W5904" s="146"/>
      <c r="Y5904" s="147"/>
    </row>
    <row r="5905" spans="20:25">
      <c r="T5905" s="146"/>
      <c r="V5905" s="147"/>
      <c r="W5905" s="146"/>
      <c r="Y5905" s="147"/>
    </row>
    <row r="5906" spans="20:25">
      <c r="T5906" s="146"/>
      <c r="V5906" s="147"/>
      <c r="W5906" s="146"/>
      <c r="Y5906" s="147"/>
    </row>
    <row r="5907" spans="20:25">
      <c r="T5907" s="146"/>
      <c r="V5907" s="147"/>
      <c r="W5907" s="146"/>
      <c r="Y5907" s="147"/>
    </row>
    <row r="5908" spans="20:25">
      <c r="T5908" s="146"/>
      <c r="V5908" s="147"/>
      <c r="W5908" s="146"/>
      <c r="Y5908" s="147"/>
    </row>
    <row r="5909" spans="20:25">
      <c r="T5909" s="146"/>
      <c r="V5909" s="147"/>
      <c r="W5909" s="146"/>
      <c r="Y5909" s="147"/>
    </row>
    <row r="5910" spans="20:25">
      <c r="T5910" s="146"/>
      <c r="V5910" s="147"/>
      <c r="W5910" s="146"/>
      <c r="Y5910" s="147"/>
    </row>
    <row r="5911" spans="20:25">
      <c r="T5911" s="146"/>
      <c r="V5911" s="147"/>
      <c r="W5911" s="146"/>
      <c r="Y5911" s="147"/>
    </row>
    <row r="5912" spans="20:25">
      <c r="T5912" s="146"/>
      <c r="V5912" s="147"/>
      <c r="W5912" s="146"/>
      <c r="Y5912" s="147"/>
    </row>
    <row r="5913" spans="20:25">
      <c r="T5913" s="146"/>
      <c r="V5913" s="147"/>
      <c r="W5913" s="146"/>
      <c r="Y5913" s="147"/>
    </row>
    <row r="5914" spans="20:25">
      <c r="T5914" s="146"/>
      <c r="V5914" s="147"/>
      <c r="W5914" s="146"/>
      <c r="Y5914" s="147"/>
    </row>
    <row r="5915" spans="20:25">
      <c r="T5915" s="146"/>
      <c r="V5915" s="147"/>
      <c r="W5915" s="146"/>
      <c r="Y5915" s="147"/>
    </row>
    <row r="5916" spans="20:25">
      <c r="T5916" s="146"/>
      <c r="V5916" s="147"/>
      <c r="W5916" s="146"/>
      <c r="Y5916" s="147"/>
    </row>
    <row r="5917" spans="20:25">
      <c r="T5917" s="146"/>
      <c r="V5917" s="147"/>
      <c r="W5917" s="146"/>
      <c r="Y5917" s="147"/>
    </row>
    <row r="5918" spans="20:25">
      <c r="T5918" s="146"/>
      <c r="V5918" s="147"/>
      <c r="W5918" s="146"/>
      <c r="Y5918" s="147"/>
    </row>
    <row r="5919" spans="20:25">
      <c r="T5919" s="146"/>
      <c r="V5919" s="147"/>
      <c r="W5919" s="146"/>
      <c r="Y5919" s="147"/>
    </row>
    <row r="5920" spans="20:25">
      <c r="T5920" s="146"/>
      <c r="V5920" s="147"/>
      <c r="W5920" s="146"/>
      <c r="Y5920" s="147"/>
    </row>
    <row r="5921" spans="20:25">
      <c r="T5921" s="146"/>
      <c r="V5921" s="147"/>
      <c r="W5921" s="146"/>
      <c r="Y5921" s="147"/>
    </row>
    <row r="5922" spans="20:25">
      <c r="T5922" s="146"/>
      <c r="V5922" s="147"/>
      <c r="W5922" s="146"/>
      <c r="Y5922" s="147"/>
    </row>
    <row r="5923" spans="20:25">
      <c r="T5923" s="146"/>
      <c r="V5923" s="147"/>
      <c r="W5923" s="146"/>
      <c r="Y5923" s="147"/>
    </row>
    <row r="5924" spans="20:25">
      <c r="T5924" s="146"/>
      <c r="V5924" s="147"/>
      <c r="W5924" s="146"/>
      <c r="Y5924" s="147"/>
    </row>
    <row r="5925" spans="20:25">
      <c r="T5925" s="146"/>
      <c r="V5925" s="147"/>
      <c r="W5925" s="146"/>
      <c r="Y5925" s="147"/>
    </row>
    <row r="5926" spans="20:25">
      <c r="T5926" s="146"/>
      <c r="V5926" s="147"/>
      <c r="W5926" s="146"/>
      <c r="Y5926" s="147"/>
    </row>
    <row r="5927" spans="20:25">
      <c r="T5927" s="146"/>
      <c r="V5927" s="147"/>
      <c r="W5927" s="146"/>
      <c r="Y5927" s="147"/>
    </row>
    <row r="5928" spans="20:25">
      <c r="T5928" s="146"/>
      <c r="V5928" s="147"/>
      <c r="W5928" s="146"/>
      <c r="Y5928" s="147"/>
    </row>
    <row r="5929" spans="20:25">
      <c r="T5929" s="146"/>
      <c r="V5929" s="147"/>
      <c r="W5929" s="146"/>
      <c r="Y5929" s="147"/>
    </row>
    <row r="5930" spans="20:25">
      <c r="T5930" s="146"/>
      <c r="V5930" s="147"/>
      <c r="W5930" s="146"/>
      <c r="Y5930" s="147"/>
    </row>
    <row r="5931" spans="20:25">
      <c r="T5931" s="146"/>
      <c r="V5931" s="147"/>
      <c r="W5931" s="146"/>
      <c r="Y5931" s="147"/>
    </row>
    <row r="5932" spans="20:25">
      <c r="T5932" s="146"/>
      <c r="V5932" s="147"/>
      <c r="W5932" s="146"/>
      <c r="Y5932" s="147"/>
    </row>
    <row r="5933" spans="20:25">
      <c r="T5933" s="146"/>
      <c r="V5933" s="147"/>
      <c r="W5933" s="146"/>
      <c r="Y5933" s="147"/>
    </row>
    <row r="5934" spans="20:25">
      <c r="T5934" s="146"/>
      <c r="V5934" s="147"/>
      <c r="W5934" s="146"/>
      <c r="Y5934" s="147"/>
    </row>
    <row r="5935" spans="20:25">
      <c r="T5935" s="146"/>
      <c r="V5935" s="147"/>
      <c r="W5935" s="146"/>
      <c r="Y5935" s="147"/>
    </row>
    <row r="5936" spans="20:25">
      <c r="T5936" s="146"/>
      <c r="V5936" s="147"/>
      <c r="W5936" s="146"/>
      <c r="Y5936" s="147"/>
    </row>
    <row r="5937" spans="20:25">
      <c r="T5937" s="146"/>
      <c r="V5937" s="147"/>
      <c r="W5937" s="146"/>
      <c r="Y5937" s="147"/>
    </row>
    <row r="5938" spans="20:25">
      <c r="T5938" s="146"/>
      <c r="V5938" s="147"/>
      <c r="W5938" s="146"/>
      <c r="Y5938" s="147"/>
    </row>
    <row r="5939" spans="20:25">
      <c r="T5939" s="146"/>
      <c r="V5939" s="147"/>
      <c r="W5939" s="146"/>
      <c r="Y5939" s="147"/>
    </row>
    <row r="5940" spans="20:25">
      <c r="T5940" s="146"/>
      <c r="V5940" s="147"/>
      <c r="W5940" s="146"/>
      <c r="Y5940" s="147"/>
    </row>
    <row r="5941" spans="20:25">
      <c r="T5941" s="146"/>
      <c r="V5941" s="147"/>
      <c r="W5941" s="146"/>
      <c r="Y5941" s="147"/>
    </row>
    <row r="5942" spans="20:25">
      <c r="T5942" s="146"/>
      <c r="V5942" s="147"/>
      <c r="W5942" s="146"/>
      <c r="Y5942" s="147"/>
    </row>
    <row r="5943" spans="20:25">
      <c r="T5943" s="146"/>
      <c r="V5943" s="147"/>
      <c r="W5943" s="146"/>
      <c r="Y5943" s="147"/>
    </row>
    <row r="5944" spans="20:25">
      <c r="T5944" s="146"/>
      <c r="V5944" s="147"/>
      <c r="W5944" s="146"/>
      <c r="Y5944" s="147"/>
    </row>
    <row r="5945" spans="20:25">
      <c r="T5945" s="146"/>
      <c r="V5945" s="147"/>
      <c r="W5945" s="146"/>
      <c r="Y5945" s="147"/>
    </row>
    <row r="5946" spans="20:25">
      <c r="T5946" s="146"/>
      <c r="V5946" s="147"/>
      <c r="W5946" s="146"/>
      <c r="Y5946" s="147"/>
    </row>
    <row r="5947" spans="20:25">
      <c r="T5947" s="146"/>
      <c r="V5947" s="147"/>
      <c r="W5947" s="146"/>
      <c r="Y5947" s="147"/>
    </row>
    <row r="5948" spans="20:25">
      <c r="T5948" s="146"/>
      <c r="V5948" s="147"/>
      <c r="W5948" s="146"/>
      <c r="Y5948" s="147"/>
    </row>
    <row r="5949" spans="20:25">
      <c r="T5949" s="146"/>
      <c r="V5949" s="147"/>
      <c r="W5949" s="146"/>
      <c r="Y5949" s="147"/>
    </row>
    <row r="5950" spans="20:25">
      <c r="T5950" s="146"/>
      <c r="V5950" s="147"/>
      <c r="W5950" s="146"/>
      <c r="Y5950" s="147"/>
    </row>
    <row r="5951" spans="20:25">
      <c r="T5951" s="146"/>
      <c r="V5951" s="147"/>
      <c r="W5951" s="146"/>
      <c r="Y5951" s="147"/>
    </row>
    <row r="5952" spans="20:25">
      <c r="T5952" s="146"/>
      <c r="V5952" s="147"/>
      <c r="W5952" s="146"/>
      <c r="Y5952" s="147"/>
    </row>
    <row r="5953" spans="20:25">
      <c r="T5953" s="146"/>
      <c r="V5953" s="147"/>
      <c r="W5953" s="146"/>
      <c r="Y5953" s="147"/>
    </row>
    <row r="5954" spans="20:25">
      <c r="T5954" s="146"/>
      <c r="V5954" s="147"/>
      <c r="W5954" s="146"/>
      <c r="Y5954" s="147"/>
    </row>
    <row r="5955" spans="20:25">
      <c r="T5955" s="146"/>
      <c r="V5955" s="147"/>
      <c r="W5955" s="146"/>
      <c r="Y5955" s="147"/>
    </row>
    <row r="5956" spans="20:25">
      <c r="T5956" s="146"/>
      <c r="V5956" s="147"/>
      <c r="W5956" s="146"/>
      <c r="Y5956" s="147"/>
    </row>
    <row r="5957" spans="20:25">
      <c r="T5957" s="146"/>
      <c r="V5957" s="147"/>
      <c r="W5957" s="146"/>
      <c r="Y5957" s="147"/>
    </row>
    <row r="5958" spans="20:25">
      <c r="T5958" s="146"/>
      <c r="V5958" s="147"/>
      <c r="W5958" s="146"/>
      <c r="Y5958" s="147"/>
    </row>
    <row r="5959" spans="20:25">
      <c r="T5959" s="146"/>
      <c r="V5959" s="147"/>
      <c r="W5959" s="146"/>
      <c r="Y5959" s="147"/>
    </row>
    <row r="5960" spans="20:25">
      <c r="T5960" s="146"/>
      <c r="V5960" s="147"/>
      <c r="W5960" s="146"/>
      <c r="Y5960" s="147"/>
    </row>
    <row r="5961" spans="20:25">
      <c r="T5961" s="146"/>
      <c r="V5961" s="147"/>
      <c r="W5961" s="146"/>
      <c r="Y5961" s="147"/>
    </row>
    <row r="5962" spans="20:25">
      <c r="T5962" s="146"/>
      <c r="V5962" s="147"/>
      <c r="W5962" s="146"/>
      <c r="Y5962" s="147"/>
    </row>
    <row r="5963" spans="20:25">
      <c r="T5963" s="146"/>
      <c r="V5963" s="147"/>
      <c r="W5963" s="146"/>
      <c r="Y5963" s="147"/>
    </row>
    <row r="5964" spans="20:25">
      <c r="T5964" s="146"/>
      <c r="V5964" s="147"/>
      <c r="W5964" s="146"/>
      <c r="Y5964" s="147"/>
    </row>
    <row r="5965" spans="20:25">
      <c r="T5965" s="146"/>
      <c r="V5965" s="147"/>
      <c r="W5965" s="146"/>
      <c r="Y5965" s="147"/>
    </row>
    <row r="5966" spans="20:25">
      <c r="T5966" s="146"/>
      <c r="V5966" s="147"/>
      <c r="W5966" s="146"/>
      <c r="Y5966" s="147"/>
    </row>
    <row r="5967" spans="20:25">
      <c r="T5967" s="146"/>
      <c r="V5967" s="147"/>
      <c r="W5967" s="146"/>
      <c r="Y5967" s="147"/>
    </row>
    <row r="5968" spans="20:25">
      <c r="T5968" s="146"/>
      <c r="V5968" s="147"/>
      <c r="W5968" s="146"/>
      <c r="Y5968" s="147"/>
    </row>
    <row r="5969" spans="20:25">
      <c r="T5969" s="146"/>
      <c r="V5969" s="147"/>
      <c r="W5969" s="146"/>
      <c r="Y5969" s="147"/>
    </row>
    <row r="5970" spans="20:25">
      <c r="T5970" s="146"/>
      <c r="V5970" s="147"/>
      <c r="W5970" s="146"/>
      <c r="Y5970" s="147"/>
    </row>
    <row r="5971" spans="20:25">
      <c r="T5971" s="146"/>
      <c r="V5971" s="147"/>
      <c r="W5971" s="146"/>
      <c r="Y5971" s="147"/>
    </row>
    <row r="5972" spans="20:25">
      <c r="T5972" s="146"/>
      <c r="V5972" s="147"/>
      <c r="W5972" s="146"/>
      <c r="Y5972" s="147"/>
    </row>
    <row r="5973" spans="20:25">
      <c r="T5973" s="146"/>
      <c r="V5973" s="147"/>
      <c r="W5973" s="146"/>
      <c r="Y5973" s="147"/>
    </row>
    <row r="5974" spans="20:25">
      <c r="T5974" s="146"/>
      <c r="V5974" s="147"/>
      <c r="W5974" s="146"/>
      <c r="Y5974" s="147"/>
    </row>
    <row r="5975" spans="20:25">
      <c r="T5975" s="146"/>
      <c r="V5975" s="147"/>
      <c r="W5975" s="146"/>
      <c r="Y5975" s="147"/>
    </row>
    <row r="5976" spans="20:25">
      <c r="T5976" s="146"/>
      <c r="V5976" s="147"/>
      <c r="W5976" s="146"/>
      <c r="Y5976" s="147"/>
    </row>
    <row r="5977" spans="20:25">
      <c r="T5977" s="146"/>
      <c r="V5977" s="147"/>
      <c r="W5977" s="146"/>
      <c r="Y5977" s="147"/>
    </row>
    <row r="5978" spans="20:25">
      <c r="T5978" s="146"/>
      <c r="V5978" s="147"/>
      <c r="W5978" s="146"/>
      <c r="Y5978" s="147"/>
    </row>
    <row r="5979" spans="20:25">
      <c r="T5979" s="146"/>
      <c r="V5979" s="147"/>
      <c r="W5979" s="146"/>
      <c r="Y5979" s="147"/>
    </row>
    <row r="5980" spans="20:25">
      <c r="T5980" s="146"/>
      <c r="V5980" s="147"/>
      <c r="W5980" s="146"/>
      <c r="Y5980" s="147"/>
    </row>
    <row r="5981" spans="20:25">
      <c r="T5981" s="146"/>
      <c r="V5981" s="147"/>
      <c r="W5981" s="146"/>
      <c r="Y5981" s="147"/>
    </row>
    <row r="5982" spans="20:25">
      <c r="T5982" s="146"/>
      <c r="V5982" s="147"/>
      <c r="W5982" s="146"/>
      <c r="Y5982" s="147"/>
    </row>
    <row r="5983" spans="20:25">
      <c r="T5983" s="146"/>
      <c r="V5983" s="147"/>
      <c r="W5983" s="146"/>
      <c r="Y5983" s="147"/>
    </row>
    <row r="5984" spans="20:25">
      <c r="T5984" s="146"/>
      <c r="V5984" s="147"/>
      <c r="W5984" s="146"/>
      <c r="Y5984" s="147"/>
    </row>
    <row r="5985" spans="20:25">
      <c r="T5985" s="146"/>
      <c r="V5985" s="147"/>
      <c r="W5985" s="146"/>
      <c r="Y5985" s="147"/>
    </row>
    <row r="5986" spans="20:25">
      <c r="T5986" s="146"/>
      <c r="V5986" s="147"/>
      <c r="W5986" s="146"/>
      <c r="Y5986" s="147"/>
    </row>
    <row r="5987" spans="20:25">
      <c r="T5987" s="146"/>
      <c r="V5987" s="147"/>
      <c r="W5987" s="146"/>
      <c r="Y5987" s="147"/>
    </row>
    <row r="5988" spans="20:25">
      <c r="T5988" s="146"/>
      <c r="V5988" s="147"/>
      <c r="W5988" s="146"/>
      <c r="Y5988" s="147"/>
    </row>
    <row r="5989" spans="20:25">
      <c r="T5989" s="146"/>
      <c r="V5989" s="147"/>
      <c r="W5989" s="146"/>
      <c r="Y5989" s="147"/>
    </row>
    <row r="5990" spans="20:25">
      <c r="T5990" s="146"/>
      <c r="V5990" s="147"/>
      <c r="W5990" s="146"/>
      <c r="Y5990" s="147"/>
    </row>
    <row r="5991" spans="20:25">
      <c r="T5991" s="146"/>
      <c r="V5991" s="147"/>
      <c r="W5991" s="146"/>
      <c r="Y5991" s="147"/>
    </row>
    <row r="5992" spans="20:25">
      <c r="T5992" s="146"/>
      <c r="V5992" s="147"/>
      <c r="W5992" s="146"/>
      <c r="Y5992" s="147"/>
    </row>
    <row r="5993" spans="20:25">
      <c r="T5993" s="146"/>
      <c r="V5993" s="147"/>
      <c r="W5993" s="146"/>
      <c r="Y5993" s="147"/>
    </row>
    <row r="5994" spans="20:25">
      <c r="T5994" s="146"/>
      <c r="V5994" s="147"/>
      <c r="W5994" s="146"/>
      <c r="Y5994" s="147"/>
    </row>
    <row r="5995" spans="20:25">
      <c r="T5995" s="146"/>
      <c r="V5995" s="147"/>
      <c r="W5995" s="146"/>
      <c r="Y5995" s="147"/>
    </row>
    <row r="5996" spans="20:25">
      <c r="T5996" s="146"/>
      <c r="V5996" s="147"/>
      <c r="W5996" s="146"/>
      <c r="Y5996" s="147"/>
    </row>
    <row r="5997" spans="20:25">
      <c r="T5997" s="146"/>
      <c r="V5997" s="147"/>
      <c r="W5997" s="146"/>
      <c r="Y5997" s="147"/>
    </row>
    <row r="5998" spans="20:25">
      <c r="T5998" s="146"/>
      <c r="V5998" s="147"/>
      <c r="W5998" s="146"/>
      <c r="Y5998" s="147"/>
    </row>
    <row r="5999" spans="20:25">
      <c r="T5999" s="146"/>
      <c r="V5999" s="147"/>
      <c r="W5999" s="146"/>
      <c r="Y5999" s="147"/>
    </row>
    <row r="6000" spans="20:25">
      <c r="T6000" s="146"/>
      <c r="V6000" s="147"/>
      <c r="W6000" s="146"/>
      <c r="Y6000" s="147"/>
    </row>
    <row r="6001" spans="20:25">
      <c r="T6001" s="146"/>
      <c r="V6001" s="147"/>
      <c r="W6001" s="146"/>
      <c r="Y6001" s="147"/>
    </row>
    <row r="6002" spans="20:25">
      <c r="T6002" s="146"/>
      <c r="V6002" s="147"/>
      <c r="W6002" s="146"/>
      <c r="Y6002" s="147"/>
    </row>
    <row r="6003" spans="20:25">
      <c r="T6003" s="146"/>
      <c r="V6003" s="147"/>
      <c r="W6003" s="146"/>
      <c r="Y6003" s="147"/>
    </row>
    <row r="6004" spans="20:25">
      <c r="T6004" s="146"/>
      <c r="V6004" s="147"/>
      <c r="W6004" s="146"/>
      <c r="Y6004" s="147"/>
    </row>
    <row r="6005" spans="20:25">
      <c r="T6005" s="146"/>
      <c r="V6005" s="147"/>
      <c r="W6005" s="146"/>
      <c r="Y6005" s="147"/>
    </row>
    <row r="6006" spans="20:25">
      <c r="T6006" s="146"/>
      <c r="V6006" s="147"/>
      <c r="W6006" s="146"/>
      <c r="Y6006" s="147"/>
    </row>
    <row r="6007" spans="20:25">
      <c r="T6007" s="146"/>
      <c r="V6007" s="147"/>
      <c r="W6007" s="146"/>
      <c r="Y6007" s="147"/>
    </row>
    <row r="6008" spans="20:25">
      <c r="T6008" s="146"/>
      <c r="V6008" s="147"/>
      <c r="W6008" s="146"/>
      <c r="Y6008" s="147"/>
    </row>
    <row r="6009" spans="20:25">
      <c r="T6009" s="146"/>
      <c r="V6009" s="147"/>
      <c r="W6009" s="146"/>
      <c r="Y6009" s="147"/>
    </row>
    <row r="6010" spans="20:25">
      <c r="T6010" s="146"/>
      <c r="V6010" s="147"/>
      <c r="W6010" s="146"/>
      <c r="Y6010" s="147"/>
    </row>
    <row r="6011" spans="20:25">
      <c r="T6011" s="146"/>
      <c r="V6011" s="147"/>
      <c r="W6011" s="146"/>
      <c r="Y6011" s="147"/>
    </row>
    <row r="6012" spans="20:25">
      <c r="T6012" s="146"/>
      <c r="V6012" s="147"/>
      <c r="W6012" s="146"/>
      <c r="Y6012" s="147"/>
    </row>
    <row r="6013" spans="20:25">
      <c r="T6013" s="146"/>
      <c r="V6013" s="147"/>
      <c r="W6013" s="146"/>
      <c r="Y6013" s="147"/>
    </row>
    <row r="6014" spans="20:25">
      <c r="T6014" s="146"/>
      <c r="V6014" s="147"/>
      <c r="W6014" s="146"/>
      <c r="Y6014" s="147"/>
    </row>
    <row r="6015" spans="20:25">
      <c r="T6015" s="146"/>
      <c r="V6015" s="147"/>
      <c r="W6015" s="146"/>
      <c r="Y6015" s="147"/>
    </row>
    <row r="6016" spans="20:25">
      <c r="T6016" s="146"/>
      <c r="V6016" s="147"/>
      <c r="W6016" s="146"/>
      <c r="Y6016" s="147"/>
    </row>
    <row r="6017" spans="20:25">
      <c r="T6017" s="146"/>
      <c r="V6017" s="147"/>
      <c r="W6017" s="146"/>
      <c r="Y6017" s="147"/>
    </row>
    <row r="6018" spans="20:25">
      <c r="T6018" s="146"/>
      <c r="V6018" s="147"/>
      <c r="W6018" s="146"/>
      <c r="Y6018" s="147"/>
    </row>
    <row r="6019" spans="20:25">
      <c r="T6019" s="146"/>
      <c r="V6019" s="147"/>
      <c r="W6019" s="146"/>
      <c r="Y6019" s="147"/>
    </row>
    <row r="6020" spans="20:25">
      <c r="T6020" s="146"/>
      <c r="V6020" s="147"/>
      <c r="W6020" s="146"/>
      <c r="Y6020" s="147"/>
    </row>
    <row r="6021" spans="20:25">
      <c r="T6021" s="146"/>
      <c r="V6021" s="147"/>
      <c r="W6021" s="146"/>
      <c r="Y6021" s="147"/>
    </row>
    <row r="6022" spans="20:25">
      <c r="T6022" s="146"/>
      <c r="V6022" s="147"/>
      <c r="W6022" s="146"/>
      <c r="Y6022" s="147"/>
    </row>
    <row r="6023" spans="20:25">
      <c r="T6023" s="146"/>
      <c r="V6023" s="147"/>
      <c r="W6023" s="146"/>
      <c r="Y6023" s="147"/>
    </row>
    <row r="6024" spans="20:25">
      <c r="T6024" s="146"/>
      <c r="V6024" s="147"/>
      <c r="W6024" s="146"/>
      <c r="Y6024" s="147"/>
    </row>
    <row r="6025" spans="20:25">
      <c r="T6025" s="146"/>
      <c r="V6025" s="147"/>
      <c r="W6025" s="146"/>
      <c r="Y6025" s="147"/>
    </row>
    <row r="6026" spans="20:25">
      <c r="T6026" s="146"/>
      <c r="V6026" s="147"/>
      <c r="W6026" s="146"/>
      <c r="Y6026" s="147"/>
    </row>
    <row r="6027" spans="20:25">
      <c r="T6027" s="146"/>
      <c r="V6027" s="147"/>
      <c r="W6027" s="146"/>
      <c r="Y6027" s="147"/>
    </row>
    <row r="6028" spans="20:25">
      <c r="T6028" s="146"/>
      <c r="V6028" s="147"/>
      <c r="W6028" s="146"/>
      <c r="Y6028" s="147"/>
    </row>
    <row r="6029" spans="20:25">
      <c r="T6029" s="146"/>
      <c r="V6029" s="147"/>
      <c r="W6029" s="146"/>
      <c r="Y6029" s="147"/>
    </row>
    <row r="6030" spans="20:25">
      <c r="T6030" s="146"/>
      <c r="V6030" s="147"/>
      <c r="W6030" s="146"/>
      <c r="Y6030" s="147"/>
    </row>
    <row r="6031" spans="20:25">
      <c r="T6031" s="146"/>
      <c r="V6031" s="147"/>
      <c r="W6031" s="146"/>
      <c r="Y6031" s="147"/>
    </row>
    <row r="6032" spans="20:25">
      <c r="T6032" s="146"/>
      <c r="V6032" s="147"/>
      <c r="W6032" s="146"/>
      <c r="Y6032" s="147"/>
    </row>
    <row r="6033" spans="20:25">
      <c r="T6033" s="146"/>
      <c r="V6033" s="147"/>
      <c r="W6033" s="146"/>
      <c r="Y6033" s="147"/>
    </row>
    <row r="6034" spans="20:25">
      <c r="T6034" s="146"/>
      <c r="V6034" s="147"/>
      <c r="W6034" s="146"/>
      <c r="Y6034" s="147"/>
    </row>
    <row r="6035" spans="20:25">
      <c r="T6035" s="146"/>
      <c r="V6035" s="147"/>
      <c r="W6035" s="146"/>
      <c r="Y6035" s="147"/>
    </row>
    <row r="6036" spans="20:25">
      <c r="T6036" s="146"/>
      <c r="V6036" s="147"/>
      <c r="W6036" s="146"/>
      <c r="Y6036" s="147"/>
    </row>
    <row r="6037" spans="20:25">
      <c r="T6037" s="146"/>
      <c r="V6037" s="147"/>
      <c r="W6037" s="146"/>
      <c r="Y6037" s="147"/>
    </row>
    <row r="6038" spans="20:25">
      <c r="T6038" s="146"/>
      <c r="V6038" s="147"/>
      <c r="W6038" s="146"/>
      <c r="Y6038" s="147"/>
    </row>
    <row r="6039" spans="20:25">
      <c r="T6039" s="146"/>
      <c r="V6039" s="147"/>
      <c r="W6039" s="146"/>
      <c r="Y6039" s="147"/>
    </row>
    <row r="6040" spans="20:25">
      <c r="T6040" s="146"/>
      <c r="V6040" s="147"/>
      <c r="W6040" s="146"/>
      <c r="Y6040" s="147"/>
    </row>
    <row r="6041" spans="20:25">
      <c r="T6041" s="146"/>
      <c r="V6041" s="147"/>
      <c r="W6041" s="146"/>
      <c r="Y6041" s="147"/>
    </row>
    <row r="6042" spans="20:25">
      <c r="T6042" s="146"/>
      <c r="V6042" s="147"/>
      <c r="W6042" s="146"/>
      <c r="Y6042" s="147"/>
    </row>
    <row r="6043" spans="20:25">
      <c r="T6043" s="146"/>
      <c r="V6043" s="147"/>
      <c r="W6043" s="146"/>
      <c r="Y6043" s="147"/>
    </row>
    <row r="6044" spans="20:25">
      <c r="T6044" s="146"/>
      <c r="V6044" s="147"/>
      <c r="W6044" s="146"/>
      <c r="Y6044" s="147"/>
    </row>
    <row r="6045" spans="20:25">
      <c r="T6045" s="146"/>
      <c r="V6045" s="147"/>
      <c r="W6045" s="146"/>
      <c r="Y6045" s="147"/>
    </row>
    <row r="6046" spans="20:25">
      <c r="T6046" s="146"/>
      <c r="V6046" s="147"/>
      <c r="W6046" s="146"/>
      <c r="Y6046" s="147"/>
    </row>
    <row r="6047" spans="20:25">
      <c r="T6047" s="146"/>
      <c r="V6047" s="147"/>
      <c r="W6047" s="146"/>
      <c r="Y6047" s="147"/>
    </row>
    <row r="6048" spans="20:25">
      <c r="T6048" s="146"/>
      <c r="V6048" s="147"/>
      <c r="W6048" s="146"/>
      <c r="Y6048" s="147"/>
    </row>
    <row r="6049" spans="20:25">
      <c r="T6049" s="146"/>
      <c r="V6049" s="147"/>
      <c r="W6049" s="146"/>
      <c r="Y6049" s="147"/>
    </row>
    <row r="6050" spans="20:25">
      <c r="T6050" s="146"/>
      <c r="V6050" s="147"/>
      <c r="W6050" s="146"/>
      <c r="Y6050" s="147"/>
    </row>
    <row r="6051" spans="20:25">
      <c r="T6051" s="146"/>
      <c r="V6051" s="147"/>
      <c r="W6051" s="146"/>
      <c r="Y6051" s="147"/>
    </row>
    <row r="6052" spans="20:25">
      <c r="T6052" s="146"/>
      <c r="V6052" s="147"/>
      <c r="W6052" s="146"/>
      <c r="Y6052" s="147"/>
    </row>
    <row r="6053" spans="20:25">
      <c r="T6053" s="146"/>
      <c r="V6053" s="147"/>
      <c r="W6053" s="146"/>
      <c r="Y6053" s="147"/>
    </row>
    <row r="6054" spans="20:25">
      <c r="T6054" s="146"/>
      <c r="V6054" s="147"/>
      <c r="W6054" s="146"/>
      <c r="Y6054" s="147"/>
    </row>
    <row r="6055" spans="20:25">
      <c r="T6055" s="146"/>
      <c r="V6055" s="147"/>
      <c r="W6055" s="146"/>
      <c r="Y6055" s="147"/>
    </row>
    <row r="6056" spans="20:25">
      <c r="T6056" s="146"/>
      <c r="V6056" s="147"/>
      <c r="W6056" s="146"/>
      <c r="Y6056" s="147"/>
    </row>
    <row r="6057" spans="20:25">
      <c r="T6057" s="146"/>
      <c r="V6057" s="147"/>
      <c r="W6057" s="146"/>
      <c r="Y6057" s="147"/>
    </row>
    <row r="6058" spans="20:25">
      <c r="T6058" s="146"/>
      <c r="V6058" s="147"/>
      <c r="W6058" s="146"/>
      <c r="Y6058" s="147"/>
    </row>
    <row r="6059" spans="20:25">
      <c r="T6059" s="146"/>
      <c r="V6059" s="147"/>
      <c r="W6059" s="146"/>
      <c r="Y6059" s="147"/>
    </row>
    <row r="6060" spans="20:25">
      <c r="T6060" s="146"/>
      <c r="V6060" s="147"/>
      <c r="W6060" s="146"/>
      <c r="Y6060" s="147"/>
    </row>
    <row r="6061" spans="20:25">
      <c r="T6061" s="146"/>
      <c r="V6061" s="147"/>
      <c r="W6061" s="146"/>
      <c r="Y6061" s="147"/>
    </row>
    <row r="6062" spans="20:25">
      <c r="T6062" s="146"/>
      <c r="V6062" s="147"/>
      <c r="W6062" s="146"/>
      <c r="Y6062" s="147"/>
    </row>
    <row r="6063" spans="20:25">
      <c r="T6063" s="146"/>
      <c r="V6063" s="147"/>
      <c r="W6063" s="146"/>
      <c r="Y6063" s="147"/>
    </row>
    <row r="6064" spans="20:25">
      <c r="T6064" s="146"/>
      <c r="V6064" s="147"/>
      <c r="W6064" s="146"/>
      <c r="Y6064" s="147"/>
    </row>
    <row r="6065" spans="20:25">
      <c r="T6065" s="146"/>
      <c r="V6065" s="147"/>
      <c r="W6065" s="146"/>
      <c r="Y6065" s="147"/>
    </row>
    <row r="6066" spans="20:25">
      <c r="T6066" s="146"/>
      <c r="V6066" s="147"/>
      <c r="W6066" s="146"/>
      <c r="Y6066" s="147"/>
    </row>
    <row r="6067" spans="20:25">
      <c r="T6067" s="146"/>
      <c r="V6067" s="147"/>
      <c r="W6067" s="146"/>
      <c r="Y6067" s="147"/>
    </row>
    <row r="6068" spans="20:25">
      <c r="T6068" s="146"/>
      <c r="V6068" s="147"/>
      <c r="W6068" s="146"/>
      <c r="Y6068" s="147"/>
    </row>
    <row r="6069" spans="20:25">
      <c r="T6069" s="146"/>
      <c r="V6069" s="147"/>
      <c r="W6069" s="146"/>
      <c r="Y6069" s="147"/>
    </row>
    <row r="6070" spans="20:25">
      <c r="T6070" s="146"/>
      <c r="V6070" s="147"/>
      <c r="W6070" s="146"/>
      <c r="Y6070" s="147"/>
    </row>
    <row r="6071" spans="20:25">
      <c r="T6071" s="146"/>
      <c r="V6071" s="147"/>
      <c r="W6071" s="146"/>
      <c r="Y6071" s="147"/>
    </row>
    <row r="6072" spans="20:25">
      <c r="T6072" s="146"/>
      <c r="V6072" s="147"/>
      <c r="W6072" s="146"/>
      <c r="Y6072" s="147"/>
    </row>
    <row r="6073" spans="20:25">
      <c r="T6073" s="146"/>
      <c r="V6073" s="147"/>
      <c r="W6073" s="146"/>
      <c r="Y6073" s="147"/>
    </row>
    <row r="6074" spans="20:25">
      <c r="T6074" s="146"/>
      <c r="V6074" s="147"/>
      <c r="W6074" s="146"/>
      <c r="Y6074" s="147"/>
    </row>
    <row r="6075" spans="20:25">
      <c r="T6075" s="146"/>
      <c r="V6075" s="147"/>
      <c r="W6075" s="146"/>
      <c r="Y6075" s="147"/>
    </row>
    <row r="6076" spans="20:25">
      <c r="T6076" s="146"/>
      <c r="V6076" s="147"/>
      <c r="W6076" s="146"/>
      <c r="Y6076" s="147"/>
    </row>
    <row r="6077" spans="20:25">
      <c r="T6077" s="146"/>
      <c r="V6077" s="147"/>
      <c r="W6077" s="146"/>
      <c r="Y6077" s="147"/>
    </row>
    <row r="6078" spans="20:25">
      <c r="T6078" s="146"/>
      <c r="V6078" s="147"/>
      <c r="W6078" s="146"/>
      <c r="Y6078" s="147"/>
    </row>
    <row r="6079" spans="20:25">
      <c r="T6079" s="146"/>
      <c r="V6079" s="147"/>
      <c r="W6079" s="146"/>
      <c r="Y6079" s="147"/>
    </row>
    <row r="6080" spans="20:25">
      <c r="T6080" s="146"/>
      <c r="V6080" s="147"/>
      <c r="W6080" s="146"/>
      <c r="Y6080" s="147"/>
    </row>
    <row r="6081" spans="20:25">
      <c r="T6081" s="146"/>
      <c r="V6081" s="147"/>
      <c r="W6081" s="146"/>
      <c r="Y6081" s="147"/>
    </row>
    <row r="6082" spans="20:25">
      <c r="T6082" s="146"/>
      <c r="V6082" s="147"/>
      <c r="W6082" s="146"/>
      <c r="Y6082" s="147"/>
    </row>
    <row r="6083" spans="20:25">
      <c r="T6083" s="146"/>
      <c r="V6083" s="147"/>
      <c r="W6083" s="146"/>
      <c r="Y6083" s="147"/>
    </row>
    <row r="6084" spans="20:25">
      <c r="T6084" s="146"/>
      <c r="V6084" s="147"/>
      <c r="W6084" s="146"/>
      <c r="Y6084" s="147"/>
    </row>
    <row r="6085" spans="20:25">
      <c r="T6085" s="146"/>
      <c r="V6085" s="147"/>
      <c r="W6085" s="146"/>
      <c r="Y6085" s="147"/>
    </row>
    <row r="6086" spans="20:25">
      <c r="T6086" s="146"/>
      <c r="V6086" s="147"/>
      <c r="W6086" s="146"/>
      <c r="Y6086" s="147"/>
    </row>
    <row r="6087" spans="20:25">
      <c r="T6087" s="146"/>
      <c r="V6087" s="147"/>
      <c r="W6087" s="146"/>
      <c r="Y6087" s="147"/>
    </row>
    <row r="6088" spans="20:25">
      <c r="T6088" s="146"/>
      <c r="V6088" s="147"/>
      <c r="W6088" s="146"/>
      <c r="Y6088" s="147"/>
    </row>
    <row r="6089" spans="20:25">
      <c r="T6089" s="146"/>
      <c r="V6089" s="147"/>
      <c r="W6089" s="146"/>
      <c r="Y6089" s="147"/>
    </row>
    <row r="6090" spans="20:25">
      <c r="T6090" s="146"/>
      <c r="V6090" s="147"/>
      <c r="W6090" s="146"/>
      <c r="Y6090" s="147"/>
    </row>
    <row r="6091" spans="20:25">
      <c r="T6091" s="146"/>
      <c r="V6091" s="147"/>
      <c r="W6091" s="146"/>
      <c r="Y6091" s="147"/>
    </row>
    <row r="6092" spans="20:25">
      <c r="T6092" s="146"/>
      <c r="V6092" s="147"/>
      <c r="W6092" s="146"/>
      <c r="Y6092" s="147"/>
    </row>
    <row r="6093" spans="20:25">
      <c r="T6093" s="146"/>
      <c r="V6093" s="147"/>
      <c r="W6093" s="146"/>
      <c r="Y6093" s="147"/>
    </row>
    <row r="6094" spans="20:25">
      <c r="T6094" s="146"/>
      <c r="V6094" s="147"/>
      <c r="W6094" s="146"/>
      <c r="Y6094" s="147"/>
    </row>
    <row r="6095" spans="20:25">
      <c r="T6095" s="146"/>
      <c r="V6095" s="147"/>
      <c r="W6095" s="146"/>
      <c r="Y6095" s="147"/>
    </row>
    <row r="6096" spans="20:25">
      <c r="T6096" s="146"/>
      <c r="V6096" s="147"/>
      <c r="W6096" s="146"/>
      <c r="Y6096" s="147"/>
    </row>
    <row r="6097" spans="20:25">
      <c r="T6097" s="146"/>
      <c r="V6097" s="147"/>
      <c r="W6097" s="146"/>
      <c r="Y6097" s="147"/>
    </row>
    <row r="6098" spans="20:25">
      <c r="T6098" s="146"/>
      <c r="V6098" s="147"/>
      <c r="W6098" s="146"/>
      <c r="Y6098" s="147"/>
    </row>
    <row r="6099" spans="20:25">
      <c r="T6099" s="146"/>
      <c r="V6099" s="147"/>
      <c r="W6099" s="146"/>
      <c r="Y6099" s="147"/>
    </row>
    <row r="6100" spans="20:25">
      <c r="T6100" s="146"/>
      <c r="V6100" s="147"/>
      <c r="W6100" s="146"/>
      <c r="Y6100" s="147"/>
    </row>
    <row r="6101" spans="20:25">
      <c r="T6101" s="146"/>
      <c r="V6101" s="147"/>
      <c r="W6101" s="146"/>
      <c r="Y6101" s="147"/>
    </row>
    <row r="6102" spans="20:25">
      <c r="T6102" s="146"/>
      <c r="V6102" s="147"/>
      <c r="W6102" s="146"/>
      <c r="Y6102" s="147"/>
    </row>
    <row r="6103" spans="20:25">
      <c r="T6103" s="146"/>
      <c r="V6103" s="147"/>
      <c r="W6103" s="146"/>
      <c r="Y6103" s="147"/>
    </row>
    <row r="6104" spans="20:25">
      <c r="T6104" s="146"/>
      <c r="V6104" s="147"/>
      <c r="W6104" s="146"/>
      <c r="Y6104" s="147"/>
    </row>
    <row r="6105" spans="20:25">
      <c r="T6105" s="146"/>
      <c r="V6105" s="147"/>
      <c r="W6105" s="146"/>
      <c r="Y6105" s="147"/>
    </row>
    <row r="6106" spans="20:25">
      <c r="T6106" s="146"/>
      <c r="V6106" s="147"/>
      <c r="W6106" s="146"/>
      <c r="Y6106" s="147"/>
    </row>
    <row r="6107" spans="20:25">
      <c r="T6107" s="146"/>
      <c r="V6107" s="147"/>
      <c r="W6107" s="146"/>
      <c r="Y6107" s="147"/>
    </row>
    <row r="6108" spans="20:25">
      <c r="T6108" s="146"/>
      <c r="V6108" s="147"/>
      <c r="W6108" s="146"/>
      <c r="Y6108" s="147"/>
    </row>
    <row r="6109" spans="20:25">
      <c r="T6109" s="146"/>
      <c r="V6109" s="147"/>
      <c r="W6109" s="146"/>
      <c r="Y6109" s="147"/>
    </row>
    <row r="6110" spans="20:25">
      <c r="T6110" s="146"/>
      <c r="V6110" s="147"/>
      <c r="W6110" s="146"/>
      <c r="Y6110" s="147"/>
    </row>
    <row r="6111" spans="20:25">
      <c r="T6111" s="146"/>
      <c r="V6111" s="147"/>
      <c r="W6111" s="146"/>
      <c r="Y6111" s="147"/>
    </row>
    <row r="6112" spans="20:25">
      <c r="T6112" s="146"/>
      <c r="V6112" s="147"/>
      <c r="W6112" s="146"/>
      <c r="Y6112" s="147"/>
    </row>
    <row r="6113" spans="20:25">
      <c r="T6113" s="146"/>
      <c r="V6113" s="147"/>
      <c r="W6113" s="146"/>
      <c r="Y6113" s="147"/>
    </row>
    <row r="6114" spans="20:25">
      <c r="T6114" s="146"/>
      <c r="V6114" s="147"/>
      <c r="W6114" s="146"/>
      <c r="Y6114" s="147"/>
    </row>
    <row r="6115" spans="20:25">
      <c r="T6115" s="146"/>
      <c r="V6115" s="147"/>
      <c r="W6115" s="146"/>
      <c r="Y6115" s="147"/>
    </row>
    <row r="6116" spans="20:25">
      <c r="T6116" s="146"/>
      <c r="V6116" s="147"/>
      <c r="W6116" s="146"/>
      <c r="Y6116" s="147"/>
    </row>
    <row r="6117" spans="20:25">
      <c r="T6117" s="146"/>
      <c r="V6117" s="147"/>
      <c r="W6117" s="146"/>
      <c r="Y6117" s="147"/>
    </row>
    <row r="6118" spans="20:25">
      <c r="T6118" s="146"/>
      <c r="V6118" s="147"/>
      <c r="W6118" s="146"/>
      <c r="Y6118" s="147"/>
    </row>
    <row r="6119" spans="20:25">
      <c r="T6119" s="146"/>
      <c r="V6119" s="147"/>
      <c r="W6119" s="146"/>
      <c r="Y6119" s="147"/>
    </row>
    <row r="6120" spans="20:25">
      <c r="T6120" s="146"/>
      <c r="V6120" s="147"/>
      <c r="W6120" s="146"/>
      <c r="Y6120" s="147"/>
    </row>
    <row r="6121" spans="20:25">
      <c r="T6121" s="146"/>
      <c r="V6121" s="147"/>
      <c r="W6121" s="146"/>
      <c r="Y6121" s="147"/>
    </row>
    <row r="6122" spans="20:25">
      <c r="T6122" s="146"/>
      <c r="V6122" s="147"/>
      <c r="W6122" s="146"/>
      <c r="Y6122" s="147"/>
    </row>
    <row r="6123" spans="20:25">
      <c r="T6123" s="146"/>
      <c r="V6123" s="147"/>
      <c r="W6123" s="146"/>
      <c r="Y6123" s="147"/>
    </row>
    <row r="6124" spans="20:25">
      <c r="T6124" s="146"/>
      <c r="V6124" s="147"/>
      <c r="W6124" s="146"/>
      <c r="Y6124" s="147"/>
    </row>
    <row r="6125" spans="20:25">
      <c r="T6125" s="146"/>
      <c r="V6125" s="147"/>
      <c r="W6125" s="146"/>
      <c r="Y6125" s="147"/>
    </row>
    <row r="6126" spans="20:25">
      <c r="T6126" s="146"/>
      <c r="V6126" s="147"/>
      <c r="W6126" s="146"/>
      <c r="Y6126" s="147"/>
    </row>
    <row r="6127" spans="20:25">
      <c r="T6127" s="146"/>
      <c r="V6127" s="147"/>
      <c r="W6127" s="146"/>
      <c r="Y6127" s="147"/>
    </row>
    <row r="6128" spans="20:25">
      <c r="T6128" s="146"/>
      <c r="V6128" s="147"/>
      <c r="W6128" s="146"/>
      <c r="Y6128" s="147"/>
    </row>
    <row r="6129" spans="20:25">
      <c r="T6129" s="146"/>
      <c r="V6129" s="147"/>
      <c r="W6129" s="146"/>
      <c r="Y6129" s="147"/>
    </row>
    <row r="6130" spans="20:25">
      <c r="T6130" s="146"/>
      <c r="V6130" s="147"/>
      <c r="W6130" s="146"/>
      <c r="Y6130" s="147"/>
    </row>
    <row r="6131" spans="20:25">
      <c r="T6131" s="146"/>
      <c r="V6131" s="147"/>
      <c r="W6131" s="146"/>
      <c r="Y6131" s="147"/>
    </row>
    <row r="6132" spans="20:25">
      <c r="T6132" s="146"/>
      <c r="V6132" s="147"/>
      <c r="W6132" s="146"/>
      <c r="Y6132" s="147"/>
    </row>
    <row r="6133" spans="20:25">
      <c r="T6133" s="146"/>
      <c r="V6133" s="147"/>
      <c r="W6133" s="146"/>
      <c r="Y6133" s="147"/>
    </row>
    <row r="6134" spans="20:25">
      <c r="T6134" s="146"/>
      <c r="V6134" s="147"/>
      <c r="W6134" s="146"/>
      <c r="Y6134" s="147"/>
    </row>
    <row r="6135" spans="20:25">
      <c r="T6135" s="146"/>
      <c r="V6135" s="147"/>
      <c r="W6135" s="146"/>
      <c r="Y6135" s="147"/>
    </row>
    <row r="6136" spans="20:25">
      <c r="T6136" s="146"/>
      <c r="V6136" s="147"/>
      <c r="W6136" s="146"/>
      <c r="Y6136" s="147"/>
    </row>
    <row r="6137" spans="20:25">
      <c r="T6137" s="146"/>
      <c r="V6137" s="147"/>
      <c r="W6137" s="146"/>
      <c r="Y6137" s="147"/>
    </row>
    <row r="6138" spans="20:25">
      <c r="T6138" s="146"/>
      <c r="V6138" s="147"/>
      <c r="W6138" s="146"/>
      <c r="Y6138" s="147"/>
    </row>
    <row r="6139" spans="20:25">
      <c r="T6139" s="146"/>
      <c r="V6139" s="147"/>
      <c r="W6139" s="146"/>
      <c r="Y6139" s="147"/>
    </row>
    <row r="6140" spans="20:25">
      <c r="T6140" s="146"/>
      <c r="V6140" s="147"/>
      <c r="W6140" s="146"/>
      <c r="Y6140" s="147"/>
    </row>
    <row r="6141" spans="20:25">
      <c r="T6141" s="146"/>
      <c r="V6141" s="147"/>
      <c r="W6141" s="146"/>
      <c r="Y6141" s="147"/>
    </row>
    <row r="6142" spans="20:25">
      <c r="T6142" s="146"/>
      <c r="V6142" s="147"/>
      <c r="W6142" s="146"/>
      <c r="Y6142" s="147"/>
    </row>
    <row r="6143" spans="20:25">
      <c r="T6143" s="146"/>
      <c r="V6143" s="147"/>
      <c r="W6143" s="146"/>
      <c r="Y6143" s="147"/>
    </row>
    <row r="6144" spans="20:25">
      <c r="T6144" s="146"/>
      <c r="V6144" s="147"/>
      <c r="W6144" s="146"/>
      <c r="Y6144" s="147"/>
    </row>
    <row r="6145" spans="20:25">
      <c r="T6145" s="146"/>
      <c r="V6145" s="147"/>
      <c r="W6145" s="146"/>
      <c r="Y6145" s="147"/>
    </row>
    <row r="6146" spans="20:25">
      <c r="T6146" s="146"/>
      <c r="V6146" s="147"/>
      <c r="W6146" s="146"/>
      <c r="Y6146" s="147"/>
    </row>
    <row r="6147" spans="20:25">
      <c r="T6147" s="146"/>
      <c r="V6147" s="147"/>
      <c r="W6147" s="146"/>
      <c r="Y6147" s="147"/>
    </row>
    <row r="6148" spans="20:25">
      <c r="T6148" s="146"/>
      <c r="V6148" s="147"/>
      <c r="W6148" s="146"/>
      <c r="Y6148" s="147"/>
    </row>
    <row r="6149" spans="20:25">
      <c r="T6149" s="146"/>
      <c r="V6149" s="147"/>
      <c r="W6149" s="146"/>
      <c r="Y6149" s="147"/>
    </row>
    <row r="6150" spans="20:25">
      <c r="T6150" s="146"/>
      <c r="V6150" s="147"/>
      <c r="W6150" s="146"/>
      <c r="Y6150" s="147"/>
    </row>
    <row r="6151" spans="20:25">
      <c r="T6151" s="146"/>
      <c r="V6151" s="147"/>
      <c r="W6151" s="146"/>
      <c r="Y6151" s="147"/>
    </row>
    <row r="6152" spans="20:25">
      <c r="T6152" s="146"/>
      <c r="V6152" s="147"/>
      <c r="W6152" s="146"/>
      <c r="Y6152" s="147"/>
    </row>
    <row r="6153" spans="20:25">
      <c r="T6153" s="146"/>
      <c r="V6153" s="147"/>
      <c r="W6153" s="146"/>
      <c r="Y6153" s="147"/>
    </row>
    <row r="6154" spans="20:25">
      <c r="T6154" s="146"/>
      <c r="V6154" s="147"/>
      <c r="W6154" s="146"/>
      <c r="Y6154" s="147"/>
    </row>
    <row r="6155" spans="20:25">
      <c r="T6155" s="146"/>
      <c r="V6155" s="147"/>
      <c r="W6155" s="146"/>
      <c r="Y6155" s="147"/>
    </row>
    <row r="6156" spans="20:25">
      <c r="T6156" s="146"/>
      <c r="V6156" s="147"/>
      <c r="W6156" s="146"/>
      <c r="Y6156" s="147"/>
    </row>
    <row r="6157" spans="20:25">
      <c r="T6157" s="146"/>
      <c r="V6157" s="147"/>
      <c r="W6157" s="146"/>
      <c r="Y6157" s="147"/>
    </row>
    <row r="6158" spans="20:25">
      <c r="T6158" s="146"/>
      <c r="V6158" s="147"/>
      <c r="W6158" s="146"/>
      <c r="Y6158" s="147"/>
    </row>
    <row r="6159" spans="20:25">
      <c r="T6159" s="146"/>
      <c r="V6159" s="147"/>
      <c r="W6159" s="146"/>
      <c r="Y6159" s="147"/>
    </row>
    <row r="6160" spans="20:25">
      <c r="T6160" s="146"/>
      <c r="V6160" s="147"/>
      <c r="W6160" s="146"/>
      <c r="Y6160" s="147"/>
    </row>
    <row r="6161" spans="20:25">
      <c r="T6161" s="146"/>
      <c r="V6161" s="147"/>
      <c r="W6161" s="146"/>
      <c r="Y6161" s="147"/>
    </row>
    <row r="6162" spans="20:25">
      <c r="T6162" s="146"/>
      <c r="V6162" s="147"/>
      <c r="W6162" s="146"/>
      <c r="Y6162" s="147"/>
    </row>
    <row r="6163" spans="20:25">
      <c r="T6163" s="146"/>
      <c r="V6163" s="147"/>
      <c r="W6163" s="146"/>
      <c r="Y6163" s="147"/>
    </row>
    <row r="6164" spans="20:25">
      <c r="T6164" s="146"/>
      <c r="V6164" s="147"/>
      <c r="W6164" s="146"/>
      <c r="Y6164" s="147"/>
    </row>
    <row r="6165" spans="20:25">
      <c r="T6165" s="146"/>
      <c r="V6165" s="147"/>
      <c r="W6165" s="146"/>
      <c r="Y6165" s="147"/>
    </row>
    <row r="6166" spans="20:25">
      <c r="T6166" s="146"/>
      <c r="V6166" s="147"/>
      <c r="W6166" s="146"/>
      <c r="Y6166" s="147"/>
    </row>
    <row r="6167" spans="20:25">
      <c r="T6167" s="146"/>
      <c r="V6167" s="147"/>
      <c r="W6167" s="146"/>
      <c r="Y6167" s="147"/>
    </row>
    <row r="6168" spans="20:25">
      <c r="T6168" s="146"/>
      <c r="V6168" s="147"/>
      <c r="W6168" s="146"/>
      <c r="Y6168" s="147"/>
    </row>
    <row r="6169" spans="20:25">
      <c r="T6169" s="146"/>
      <c r="V6169" s="147"/>
      <c r="W6169" s="146"/>
      <c r="Y6169" s="147"/>
    </row>
    <row r="6170" spans="20:25">
      <c r="T6170" s="146"/>
      <c r="V6170" s="147"/>
      <c r="W6170" s="146"/>
      <c r="Y6170" s="147"/>
    </row>
    <row r="6171" spans="20:25">
      <c r="T6171" s="146"/>
      <c r="V6171" s="147"/>
      <c r="W6171" s="146"/>
      <c r="Y6171" s="147"/>
    </row>
    <row r="6172" spans="20:25">
      <c r="T6172" s="146"/>
      <c r="V6172" s="147"/>
      <c r="W6172" s="146"/>
      <c r="Y6172" s="147"/>
    </row>
    <row r="6173" spans="20:25">
      <c r="T6173" s="146"/>
      <c r="V6173" s="147"/>
      <c r="W6173" s="146"/>
      <c r="Y6173" s="147"/>
    </row>
    <row r="6174" spans="20:25">
      <c r="T6174" s="146"/>
      <c r="V6174" s="147"/>
      <c r="W6174" s="146"/>
      <c r="Y6174" s="147"/>
    </row>
    <row r="6175" spans="20:25">
      <c r="T6175" s="146"/>
      <c r="V6175" s="147"/>
      <c r="W6175" s="146"/>
      <c r="Y6175" s="147"/>
    </row>
    <row r="6176" spans="20:25">
      <c r="T6176" s="146"/>
      <c r="V6176" s="147"/>
      <c r="W6176" s="146"/>
      <c r="Y6176" s="147"/>
    </row>
    <row r="6177" spans="20:25">
      <c r="T6177" s="146"/>
      <c r="V6177" s="147"/>
      <c r="W6177" s="146"/>
      <c r="Y6177" s="147"/>
    </row>
    <row r="6178" spans="20:25">
      <c r="T6178" s="146"/>
      <c r="V6178" s="147"/>
      <c r="W6178" s="146"/>
      <c r="Y6178" s="147"/>
    </row>
    <row r="6179" spans="20:25">
      <c r="T6179" s="146"/>
      <c r="V6179" s="147"/>
      <c r="W6179" s="146"/>
      <c r="Y6179" s="147"/>
    </row>
    <row r="6180" spans="20:25">
      <c r="T6180" s="146"/>
      <c r="V6180" s="147"/>
      <c r="W6180" s="146"/>
      <c r="Y6180" s="147"/>
    </row>
    <row r="6181" spans="20:25">
      <c r="T6181" s="146"/>
      <c r="V6181" s="147"/>
      <c r="W6181" s="146"/>
      <c r="Y6181" s="147"/>
    </row>
    <row r="6182" spans="20:25">
      <c r="T6182" s="146"/>
      <c r="V6182" s="147"/>
      <c r="W6182" s="146"/>
      <c r="Y6182" s="147"/>
    </row>
    <row r="6183" spans="20:25">
      <c r="T6183" s="146"/>
      <c r="V6183" s="147"/>
      <c r="W6183" s="146"/>
      <c r="Y6183" s="147"/>
    </row>
    <row r="6184" spans="20:25">
      <c r="T6184" s="146"/>
      <c r="V6184" s="147"/>
      <c r="W6184" s="146"/>
      <c r="Y6184" s="147"/>
    </row>
    <row r="6185" spans="20:25">
      <c r="T6185" s="146"/>
      <c r="V6185" s="147"/>
      <c r="W6185" s="146"/>
      <c r="Y6185" s="147"/>
    </row>
    <row r="6186" spans="20:25">
      <c r="T6186" s="146"/>
      <c r="V6186" s="147"/>
      <c r="W6186" s="146"/>
      <c r="Y6186" s="147"/>
    </row>
    <row r="6187" spans="20:25">
      <c r="T6187" s="146"/>
      <c r="V6187" s="147"/>
      <c r="W6187" s="146"/>
      <c r="Y6187" s="147"/>
    </row>
    <row r="6188" spans="20:25">
      <c r="T6188" s="146"/>
      <c r="V6188" s="147"/>
      <c r="W6188" s="146"/>
      <c r="Y6188" s="147"/>
    </row>
    <row r="6189" spans="20:25">
      <c r="T6189" s="146"/>
      <c r="V6189" s="147"/>
      <c r="W6189" s="146"/>
      <c r="Y6189" s="147"/>
    </row>
    <row r="6190" spans="20:25">
      <c r="T6190" s="146"/>
      <c r="V6190" s="147"/>
      <c r="W6190" s="146"/>
      <c r="Y6190" s="147"/>
    </row>
    <row r="6191" spans="20:25">
      <c r="T6191" s="146"/>
      <c r="V6191" s="147"/>
      <c r="W6191" s="146"/>
      <c r="Y6191" s="147"/>
    </row>
    <row r="6192" spans="20:25">
      <c r="T6192" s="146"/>
      <c r="V6192" s="147"/>
      <c r="W6192" s="146"/>
      <c r="Y6192" s="147"/>
    </row>
    <row r="6193" spans="20:25">
      <c r="T6193" s="146"/>
      <c r="V6193" s="147"/>
      <c r="W6193" s="146"/>
      <c r="Y6193" s="147"/>
    </row>
    <row r="6194" spans="20:25">
      <c r="T6194" s="146"/>
      <c r="V6194" s="147"/>
      <c r="W6194" s="146"/>
      <c r="Y6194" s="147"/>
    </row>
    <row r="6195" spans="20:25">
      <c r="T6195" s="146"/>
      <c r="V6195" s="147"/>
      <c r="W6195" s="146"/>
      <c r="Y6195" s="147"/>
    </row>
    <row r="6196" spans="20:25">
      <c r="T6196" s="146"/>
      <c r="V6196" s="147"/>
      <c r="W6196" s="146"/>
      <c r="Y6196" s="147"/>
    </row>
    <row r="6197" spans="20:25">
      <c r="T6197" s="146"/>
      <c r="V6197" s="147"/>
      <c r="W6197" s="146"/>
      <c r="Y6197" s="147"/>
    </row>
    <row r="6198" spans="20:25">
      <c r="T6198" s="146"/>
      <c r="V6198" s="147"/>
      <c r="W6198" s="146"/>
      <c r="Y6198" s="147"/>
    </row>
    <row r="6199" spans="20:25">
      <c r="T6199" s="146"/>
      <c r="V6199" s="147"/>
      <c r="W6199" s="146"/>
      <c r="Y6199" s="147"/>
    </row>
    <row r="6200" spans="20:25">
      <c r="T6200" s="146"/>
      <c r="V6200" s="147"/>
      <c r="W6200" s="146"/>
      <c r="Y6200" s="147"/>
    </row>
    <row r="6201" spans="20:25">
      <c r="T6201" s="146"/>
      <c r="V6201" s="147"/>
      <c r="W6201" s="146"/>
      <c r="Y6201" s="147"/>
    </row>
    <row r="6202" spans="20:25">
      <c r="T6202" s="146"/>
      <c r="V6202" s="147"/>
      <c r="W6202" s="146"/>
      <c r="Y6202" s="147"/>
    </row>
    <row r="6203" spans="20:25">
      <c r="T6203" s="146"/>
      <c r="V6203" s="147"/>
      <c r="W6203" s="146"/>
      <c r="Y6203" s="147"/>
    </row>
    <row r="6204" spans="20:25">
      <c r="T6204" s="146"/>
      <c r="V6204" s="147"/>
      <c r="W6204" s="146"/>
      <c r="Y6204" s="147"/>
    </row>
    <row r="6205" spans="20:25">
      <c r="T6205" s="146"/>
      <c r="V6205" s="147"/>
      <c r="W6205" s="146"/>
      <c r="Y6205" s="147"/>
    </row>
    <row r="6206" spans="20:25">
      <c r="T6206" s="146"/>
      <c r="V6206" s="147"/>
      <c r="W6206" s="146"/>
      <c r="Y6206" s="147"/>
    </row>
    <row r="6207" spans="20:25">
      <c r="T6207" s="146"/>
      <c r="V6207" s="147"/>
      <c r="W6207" s="146"/>
      <c r="Y6207" s="147"/>
    </row>
    <row r="6208" spans="20:25">
      <c r="T6208" s="146"/>
      <c r="V6208" s="147"/>
      <c r="W6208" s="146"/>
      <c r="Y6208" s="147"/>
    </row>
    <row r="6209" spans="20:25">
      <c r="T6209" s="146"/>
      <c r="V6209" s="147"/>
      <c r="W6209" s="146"/>
      <c r="Y6209" s="147"/>
    </row>
    <row r="6210" spans="20:25">
      <c r="T6210" s="146"/>
      <c r="V6210" s="147"/>
      <c r="W6210" s="146"/>
      <c r="Y6210" s="147"/>
    </row>
    <row r="6211" spans="20:25">
      <c r="T6211" s="146"/>
      <c r="V6211" s="147"/>
      <c r="W6211" s="146"/>
      <c r="Y6211" s="147"/>
    </row>
    <row r="6212" spans="20:25">
      <c r="T6212" s="146"/>
      <c r="V6212" s="147"/>
      <c r="W6212" s="146"/>
      <c r="Y6212" s="147"/>
    </row>
    <row r="6213" spans="20:25">
      <c r="T6213" s="146"/>
      <c r="V6213" s="147"/>
      <c r="W6213" s="146"/>
      <c r="Y6213" s="147"/>
    </row>
    <row r="6214" spans="20:25">
      <c r="T6214" s="146"/>
      <c r="V6214" s="147"/>
      <c r="W6214" s="146"/>
      <c r="Y6214" s="147"/>
    </row>
    <row r="6215" spans="20:25">
      <c r="T6215" s="146"/>
      <c r="V6215" s="147"/>
      <c r="W6215" s="146"/>
      <c r="Y6215" s="147"/>
    </row>
    <row r="6216" spans="20:25">
      <c r="T6216" s="146"/>
      <c r="V6216" s="147"/>
      <c r="W6216" s="146"/>
      <c r="Y6216" s="147"/>
    </row>
    <row r="6217" spans="20:25">
      <c r="T6217" s="146"/>
      <c r="V6217" s="147"/>
      <c r="W6217" s="146"/>
      <c r="Y6217" s="147"/>
    </row>
    <row r="6218" spans="20:25">
      <c r="T6218" s="146"/>
      <c r="V6218" s="147"/>
      <c r="W6218" s="146"/>
      <c r="Y6218" s="147"/>
    </row>
    <row r="6219" spans="20:25">
      <c r="T6219" s="146"/>
      <c r="V6219" s="147"/>
      <c r="W6219" s="146"/>
      <c r="Y6219" s="147"/>
    </row>
    <row r="6220" spans="20:25">
      <c r="T6220" s="146"/>
      <c r="V6220" s="147"/>
      <c r="W6220" s="146"/>
      <c r="Y6220" s="147"/>
    </row>
    <row r="6221" spans="20:25">
      <c r="T6221" s="146"/>
      <c r="V6221" s="147"/>
      <c r="W6221" s="146"/>
      <c r="Y6221" s="147"/>
    </row>
    <row r="6222" spans="20:25">
      <c r="T6222" s="146"/>
      <c r="V6222" s="147"/>
      <c r="W6222" s="146"/>
      <c r="Y6222" s="147"/>
    </row>
    <row r="6223" spans="20:25">
      <c r="T6223" s="146"/>
      <c r="V6223" s="147"/>
      <c r="W6223" s="146"/>
      <c r="Y6223" s="147"/>
    </row>
    <row r="6224" spans="20:25">
      <c r="T6224" s="146"/>
      <c r="V6224" s="147"/>
      <c r="W6224" s="146"/>
      <c r="Y6224" s="147"/>
    </row>
    <row r="6225" spans="20:25">
      <c r="T6225" s="146"/>
      <c r="V6225" s="147"/>
      <c r="W6225" s="146"/>
      <c r="Y6225" s="147"/>
    </row>
    <row r="6226" spans="20:25">
      <c r="T6226" s="146"/>
      <c r="V6226" s="147"/>
      <c r="W6226" s="146"/>
      <c r="Y6226" s="147"/>
    </row>
    <row r="6227" spans="20:25">
      <c r="T6227" s="146"/>
      <c r="V6227" s="147"/>
      <c r="W6227" s="146"/>
      <c r="Y6227" s="147"/>
    </row>
    <row r="6228" spans="20:25">
      <c r="T6228" s="146"/>
      <c r="V6228" s="147"/>
      <c r="W6228" s="146"/>
      <c r="Y6228" s="147"/>
    </row>
    <row r="6229" spans="20:25">
      <c r="T6229" s="146"/>
      <c r="V6229" s="147"/>
      <c r="W6229" s="146"/>
      <c r="Y6229" s="147"/>
    </row>
    <row r="6230" spans="20:25">
      <c r="T6230" s="146"/>
      <c r="V6230" s="147"/>
      <c r="W6230" s="146"/>
      <c r="Y6230" s="147"/>
    </row>
    <row r="6231" spans="20:25">
      <c r="T6231" s="146"/>
      <c r="V6231" s="147"/>
      <c r="W6231" s="146"/>
      <c r="Y6231" s="147"/>
    </row>
    <row r="6232" spans="20:25">
      <c r="T6232" s="146"/>
      <c r="V6232" s="147"/>
      <c r="W6232" s="146"/>
      <c r="Y6232" s="147"/>
    </row>
    <row r="6233" spans="20:25">
      <c r="T6233" s="146"/>
      <c r="V6233" s="147"/>
      <c r="W6233" s="146"/>
      <c r="Y6233" s="147"/>
    </row>
    <row r="6234" spans="20:25">
      <c r="T6234" s="146"/>
      <c r="V6234" s="147"/>
      <c r="W6234" s="146"/>
      <c r="Y6234" s="147"/>
    </row>
    <row r="6235" spans="20:25">
      <c r="T6235" s="146"/>
      <c r="V6235" s="147"/>
      <c r="W6235" s="146"/>
      <c r="Y6235" s="147"/>
    </row>
    <row r="6236" spans="20:25">
      <c r="T6236" s="146"/>
      <c r="V6236" s="147"/>
      <c r="W6236" s="146"/>
      <c r="Y6236" s="147"/>
    </row>
    <row r="6237" spans="20:25">
      <c r="T6237" s="146"/>
      <c r="V6237" s="147"/>
      <c r="W6237" s="146"/>
      <c r="Y6237" s="147"/>
    </row>
    <row r="6238" spans="20:25">
      <c r="T6238" s="146"/>
      <c r="V6238" s="147"/>
      <c r="W6238" s="146"/>
      <c r="Y6238" s="147"/>
    </row>
    <row r="6239" spans="20:25">
      <c r="T6239" s="146"/>
      <c r="V6239" s="147"/>
      <c r="W6239" s="146"/>
      <c r="Y6239" s="147"/>
    </row>
    <row r="6240" spans="20:25">
      <c r="T6240" s="146"/>
      <c r="V6240" s="147"/>
      <c r="W6240" s="146"/>
      <c r="Y6240" s="147"/>
    </row>
    <row r="6241" spans="20:25">
      <c r="T6241" s="146"/>
      <c r="V6241" s="147"/>
      <c r="W6241" s="146"/>
      <c r="Y6241" s="147"/>
    </row>
    <row r="6242" spans="20:25">
      <c r="T6242" s="146"/>
      <c r="V6242" s="147"/>
      <c r="W6242" s="146"/>
      <c r="Y6242" s="147"/>
    </row>
    <row r="6243" spans="20:25">
      <c r="T6243" s="146"/>
      <c r="V6243" s="147"/>
      <c r="W6243" s="146"/>
      <c r="Y6243" s="147"/>
    </row>
    <row r="6244" spans="20:25">
      <c r="T6244" s="146"/>
      <c r="V6244" s="147"/>
      <c r="W6244" s="146"/>
      <c r="Y6244" s="147"/>
    </row>
    <row r="6245" spans="20:25">
      <c r="T6245" s="146"/>
      <c r="V6245" s="147"/>
      <c r="W6245" s="146"/>
      <c r="Y6245" s="147"/>
    </row>
    <row r="6246" spans="20:25">
      <c r="T6246" s="146"/>
      <c r="V6246" s="147"/>
      <c r="W6246" s="146"/>
      <c r="Y6246" s="147"/>
    </row>
    <row r="6247" spans="20:25">
      <c r="T6247" s="146"/>
      <c r="V6247" s="147"/>
      <c r="W6247" s="146"/>
      <c r="Y6247" s="147"/>
    </row>
    <row r="6248" spans="20:25">
      <c r="T6248" s="146"/>
      <c r="V6248" s="147"/>
      <c r="W6248" s="146"/>
      <c r="Y6248" s="147"/>
    </row>
    <row r="6249" spans="20:25">
      <c r="T6249" s="146"/>
      <c r="V6249" s="147"/>
      <c r="W6249" s="146"/>
      <c r="Y6249" s="147"/>
    </row>
    <row r="6250" spans="20:25">
      <c r="T6250" s="146"/>
      <c r="V6250" s="147"/>
      <c r="W6250" s="146"/>
      <c r="Y6250" s="147"/>
    </row>
    <row r="6251" spans="20:25">
      <c r="T6251" s="146"/>
      <c r="V6251" s="147"/>
      <c r="W6251" s="146"/>
      <c r="Y6251" s="147"/>
    </row>
    <row r="6252" spans="20:25">
      <c r="T6252" s="146"/>
      <c r="V6252" s="147"/>
      <c r="W6252" s="146"/>
      <c r="Y6252" s="147"/>
    </row>
    <row r="6253" spans="20:25">
      <c r="T6253" s="146"/>
      <c r="V6253" s="147"/>
      <c r="W6253" s="146"/>
      <c r="Y6253" s="147"/>
    </row>
    <row r="6254" spans="20:25">
      <c r="T6254" s="146"/>
      <c r="V6254" s="147"/>
      <c r="W6254" s="146"/>
      <c r="Y6254" s="147"/>
    </row>
    <row r="6255" spans="20:25">
      <c r="T6255" s="146"/>
      <c r="V6255" s="147"/>
      <c r="W6255" s="146"/>
      <c r="Y6255" s="147"/>
    </row>
    <row r="6256" spans="20:25">
      <c r="T6256" s="146"/>
      <c r="V6256" s="147"/>
      <c r="W6256" s="146"/>
      <c r="Y6256" s="147"/>
    </row>
    <row r="6257" spans="20:25">
      <c r="T6257" s="146"/>
      <c r="V6257" s="147"/>
      <c r="W6257" s="146"/>
      <c r="Y6257" s="147"/>
    </row>
    <row r="6258" spans="20:25">
      <c r="T6258" s="146"/>
      <c r="V6258" s="147"/>
      <c r="W6258" s="146"/>
      <c r="Y6258" s="147"/>
    </row>
    <row r="6259" spans="20:25">
      <c r="T6259" s="146"/>
      <c r="V6259" s="147"/>
      <c r="W6259" s="146"/>
      <c r="Y6259" s="147"/>
    </row>
    <row r="6260" spans="20:25">
      <c r="T6260" s="146"/>
      <c r="V6260" s="147"/>
      <c r="W6260" s="146"/>
      <c r="Y6260" s="147"/>
    </row>
    <row r="6261" spans="20:25">
      <c r="T6261" s="146"/>
      <c r="V6261" s="147"/>
      <c r="W6261" s="146"/>
      <c r="Y6261" s="147"/>
    </row>
    <row r="6262" spans="20:25">
      <c r="T6262" s="146"/>
      <c r="V6262" s="147"/>
      <c r="W6262" s="146"/>
      <c r="Y6262" s="147"/>
    </row>
    <row r="6263" spans="20:25">
      <c r="T6263" s="146"/>
      <c r="V6263" s="147"/>
      <c r="W6263" s="146"/>
      <c r="Y6263" s="147"/>
    </row>
    <row r="6264" spans="20:25">
      <c r="T6264" s="146"/>
      <c r="V6264" s="147"/>
      <c r="W6264" s="146"/>
      <c r="Y6264" s="147"/>
    </row>
    <row r="6265" spans="20:25">
      <c r="T6265" s="146"/>
      <c r="V6265" s="147"/>
      <c r="W6265" s="146"/>
      <c r="Y6265" s="147"/>
    </row>
    <row r="6266" spans="20:25">
      <c r="T6266" s="146"/>
      <c r="V6266" s="147"/>
      <c r="W6266" s="146"/>
      <c r="Y6266" s="147"/>
    </row>
    <row r="6267" spans="20:25">
      <c r="T6267" s="146"/>
      <c r="V6267" s="147"/>
      <c r="W6267" s="146"/>
      <c r="Y6267" s="147"/>
    </row>
    <row r="6268" spans="20:25">
      <c r="T6268" s="146"/>
      <c r="V6268" s="147"/>
      <c r="W6268" s="146"/>
      <c r="Y6268" s="147"/>
    </row>
    <row r="6269" spans="20:25">
      <c r="T6269" s="146"/>
      <c r="V6269" s="147"/>
      <c r="W6269" s="146"/>
      <c r="Y6269" s="147"/>
    </row>
    <row r="6270" spans="20:25">
      <c r="T6270" s="146"/>
      <c r="V6270" s="147"/>
      <c r="W6270" s="146"/>
      <c r="Y6270" s="147"/>
    </row>
    <row r="6271" spans="20:25">
      <c r="T6271" s="146"/>
      <c r="V6271" s="147"/>
      <c r="W6271" s="146"/>
      <c r="Y6271" s="147"/>
    </row>
    <row r="6272" spans="20:25">
      <c r="T6272" s="146"/>
      <c r="V6272" s="147"/>
      <c r="W6272" s="146"/>
      <c r="Y6272" s="147"/>
    </row>
    <row r="6273" spans="20:25">
      <c r="T6273" s="146"/>
      <c r="V6273" s="147"/>
      <c r="W6273" s="146"/>
      <c r="Y6273" s="147"/>
    </row>
    <row r="6274" spans="20:25">
      <c r="T6274" s="146"/>
      <c r="V6274" s="147"/>
      <c r="W6274" s="146"/>
      <c r="Y6274" s="147"/>
    </row>
    <row r="6275" spans="20:25">
      <c r="T6275" s="146"/>
      <c r="V6275" s="147"/>
      <c r="W6275" s="146"/>
      <c r="Y6275" s="147"/>
    </row>
    <row r="6276" spans="20:25">
      <c r="T6276" s="146"/>
      <c r="V6276" s="147"/>
      <c r="W6276" s="146"/>
      <c r="Y6276" s="147"/>
    </row>
    <row r="6277" spans="20:25">
      <c r="T6277" s="146"/>
      <c r="V6277" s="147"/>
      <c r="W6277" s="146"/>
      <c r="Y6277" s="147"/>
    </row>
    <row r="6278" spans="20:25">
      <c r="T6278" s="146"/>
      <c r="V6278" s="147"/>
      <c r="W6278" s="146"/>
      <c r="Y6278" s="147"/>
    </row>
    <row r="6279" spans="20:25">
      <c r="T6279" s="146"/>
      <c r="V6279" s="147"/>
      <c r="W6279" s="146"/>
      <c r="Y6279" s="147"/>
    </row>
    <row r="6280" spans="20:25">
      <c r="T6280" s="146"/>
      <c r="V6280" s="147"/>
      <c r="W6280" s="146"/>
      <c r="Y6280" s="147"/>
    </row>
    <row r="6281" spans="20:25">
      <c r="T6281" s="146"/>
      <c r="V6281" s="147"/>
      <c r="W6281" s="146"/>
      <c r="Y6281" s="147"/>
    </row>
    <row r="6282" spans="20:25">
      <c r="T6282" s="146"/>
      <c r="V6282" s="147"/>
      <c r="W6282" s="146"/>
      <c r="Y6282" s="147"/>
    </row>
    <row r="6283" spans="20:25">
      <c r="T6283" s="146"/>
      <c r="V6283" s="147"/>
      <c r="W6283" s="146"/>
      <c r="Y6283" s="147"/>
    </row>
    <row r="6284" spans="20:25">
      <c r="T6284" s="146"/>
      <c r="V6284" s="147"/>
      <c r="W6284" s="146"/>
      <c r="Y6284" s="147"/>
    </row>
    <row r="6285" spans="20:25">
      <c r="T6285" s="146"/>
      <c r="V6285" s="147"/>
      <c r="W6285" s="146"/>
      <c r="Y6285" s="147"/>
    </row>
    <row r="6286" spans="20:25">
      <c r="T6286" s="146"/>
      <c r="V6286" s="147"/>
      <c r="W6286" s="146"/>
      <c r="Y6286" s="147"/>
    </row>
    <row r="6287" spans="20:25">
      <c r="T6287" s="146"/>
      <c r="V6287" s="147"/>
      <c r="W6287" s="146"/>
      <c r="Y6287" s="147"/>
    </row>
    <row r="6288" spans="20:25">
      <c r="T6288" s="146"/>
      <c r="V6288" s="147"/>
      <c r="W6288" s="146"/>
      <c r="Y6288" s="147"/>
    </row>
    <row r="6289" spans="20:25">
      <c r="T6289" s="146"/>
      <c r="V6289" s="147"/>
      <c r="W6289" s="146"/>
      <c r="Y6289" s="147"/>
    </row>
    <row r="6290" spans="20:25">
      <c r="T6290" s="146"/>
      <c r="V6290" s="147"/>
      <c r="W6290" s="146"/>
      <c r="Y6290" s="147"/>
    </row>
    <row r="6291" spans="20:25">
      <c r="T6291" s="146"/>
      <c r="V6291" s="147"/>
      <c r="W6291" s="146"/>
      <c r="Y6291" s="147"/>
    </row>
    <row r="6292" spans="20:25">
      <c r="T6292" s="146"/>
      <c r="V6292" s="147"/>
      <c r="W6292" s="146"/>
      <c r="Y6292" s="147"/>
    </row>
    <row r="6293" spans="20:25">
      <c r="T6293" s="146"/>
      <c r="V6293" s="147"/>
      <c r="W6293" s="146"/>
      <c r="Y6293" s="147"/>
    </row>
    <row r="6294" spans="20:25">
      <c r="T6294" s="146"/>
      <c r="V6294" s="147"/>
      <c r="W6294" s="146"/>
      <c r="Y6294" s="147"/>
    </row>
    <row r="6295" spans="20:25">
      <c r="T6295" s="146"/>
      <c r="V6295" s="147"/>
      <c r="W6295" s="146"/>
      <c r="Y6295" s="147"/>
    </row>
    <row r="6296" spans="20:25">
      <c r="T6296" s="146"/>
      <c r="V6296" s="147"/>
      <c r="W6296" s="146"/>
      <c r="Y6296" s="147"/>
    </row>
    <row r="6297" spans="20:25">
      <c r="T6297" s="146"/>
      <c r="V6297" s="147"/>
      <c r="W6297" s="146"/>
      <c r="Y6297" s="147"/>
    </row>
    <row r="6298" spans="20:25">
      <c r="T6298" s="146"/>
      <c r="V6298" s="147"/>
      <c r="W6298" s="146"/>
      <c r="Y6298" s="147"/>
    </row>
    <row r="6299" spans="20:25">
      <c r="T6299" s="146"/>
      <c r="V6299" s="147"/>
      <c r="W6299" s="146"/>
      <c r="Y6299" s="147"/>
    </row>
    <row r="6300" spans="20:25">
      <c r="T6300" s="146"/>
      <c r="V6300" s="147"/>
      <c r="W6300" s="146"/>
      <c r="Y6300" s="147"/>
    </row>
    <row r="6301" spans="20:25">
      <c r="T6301" s="146"/>
      <c r="V6301" s="147"/>
      <c r="W6301" s="146"/>
      <c r="Y6301" s="147"/>
    </row>
    <row r="6302" spans="20:25">
      <c r="T6302" s="146"/>
      <c r="V6302" s="147"/>
      <c r="W6302" s="146"/>
      <c r="Y6302" s="147"/>
    </row>
    <row r="6303" spans="20:25">
      <c r="T6303" s="146"/>
      <c r="V6303" s="147"/>
      <c r="W6303" s="146"/>
      <c r="Y6303" s="147"/>
    </row>
    <row r="6304" spans="20:25">
      <c r="T6304" s="146"/>
      <c r="V6304" s="147"/>
      <c r="W6304" s="146"/>
      <c r="Y6304" s="147"/>
    </row>
    <row r="6305" spans="20:25">
      <c r="T6305" s="146"/>
      <c r="V6305" s="147"/>
      <c r="W6305" s="146"/>
      <c r="Y6305" s="147"/>
    </row>
    <row r="6306" spans="20:25">
      <c r="T6306" s="146"/>
      <c r="V6306" s="147"/>
      <c r="W6306" s="146"/>
      <c r="Y6306" s="147"/>
    </row>
    <row r="6307" spans="20:25">
      <c r="T6307" s="146"/>
      <c r="V6307" s="147"/>
      <c r="W6307" s="146"/>
      <c r="Y6307" s="147"/>
    </row>
    <row r="6308" spans="20:25">
      <c r="T6308" s="146"/>
      <c r="V6308" s="147"/>
      <c r="W6308" s="146"/>
      <c r="Y6308" s="147"/>
    </row>
    <row r="6309" spans="20:25">
      <c r="T6309" s="146"/>
      <c r="V6309" s="147"/>
      <c r="W6309" s="146"/>
      <c r="Y6309" s="147"/>
    </row>
    <row r="6310" spans="20:25">
      <c r="T6310" s="146"/>
      <c r="V6310" s="147"/>
      <c r="W6310" s="146"/>
      <c r="Y6310" s="147"/>
    </row>
    <row r="6311" spans="20:25">
      <c r="T6311" s="146"/>
      <c r="V6311" s="147"/>
      <c r="W6311" s="146"/>
      <c r="Y6311" s="147"/>
    </row>
    <row r="6312" spans="20:25">
      <c r="T6312" s="146"/>
      <c r="V6312" s="147"/>
      <c r="W6312" s="146"/>
      <c r="Y6312" s="147"/>
    </row>
    <row r="6313" spans="20:25">
      <c r="T6313" s="146"/>
      <c r="V6313" s="147"/>
      <c r="W6313" s="146"/>
      <c r="Y6313" s="147"/>
    </row>
    <row r="6314" spans="20:25">
      <c r="T6314" s="146"/>
      <c r="V6314" s="147"/>
      <c r="W6314" s="146"/>
      <c r="Y6314" s="147"/>
    </row>
    <row r="6315" spans="20:25">
      <c r="T6315" s="146"/>
      <c r="V6315" s="147"/>
      <c r="W6315" s="146"/>
      <c r="Y6315" s="147"/>
    </row>
    <row r="6316" spans="20:25">
      <c r="T6316" s="146"/>
      <c r="V6316" s="147"/>
      <c r="W6316" s="146"/>
      <c r="Y6316" s="147"/>
    </row>
    <row r="6317" spans="20:25">
      <c r="T6317" s="146"/>
      <c r="V6317" s="147"/>
      <c r="W6317" s="146"/>
      <c r="Y6317" s="147"/>
    </row>
    <row r="6318" spans="20:25">
      <c r="T6318" s="146"/>
      <c r="V6318" s="147"/>
      <c r="W6318" s="146"/>
      <c r="Y6318" s="147"/>
    </row>
    <row r="6319" spans="20:25">
      <c r="T6319" s="146"/>
      <c r="V6319" s="147"/>
      <c r="W6319" s="146"/>
      <c r="Y6319" s="147"/>
    </row>
    <row r="6320" spans="20:25">
      <c r="T6320" s="146"/>
      <c r="V6320" s="147"/>
      <c r="W6320" s="146"/>
      <c r="Y6320" s="147"/>
    </row>
    <row r="6321" spans="20:25">
      <c r="T6321" s="146"/>
      <c r="V6321" s="147"/>
      <c r="W6321" s="146"/>
      <c r="Y6321" s="147"/>
    </row>
    <row r="6322" spans="20:25">
      <c r="T6322" s="146"/>
      <c r="V6322" s="147"/>
      <c r="W6322" s="146"/>
      <c r="Y6322" s="147"/>
    </row>
    <row r="6323" spans="20:25">
      <c r="T6323" s="146"/>
      <c r="V6323" s="147"/>
      <c r="W6323" s="146"/>
      <c r="Y6323" s="147"/>
    </row>
    <row r="6324" spans="20:25">
      <c r="T6324" s="146"/>
      <c r="V6324" s="147"/>
      <c r="W6324" s="146"/>
      <c r="Y6324" s="147"/>
    </row>
    <row r="6325" spans="20:25">
      <c r="T6325" s="146"/>
      <c r="V6325" s="147"/>
      <c r="W6325" s="146"/>
      <c r="Y6325" s="147"/>
    </row>
    <row r="6326" spans="20:25">
      <c r="T6326" s="146"/>
      <c r="V6326" s="147"/>
      <c r="W6326" s="146"/>
      <c r="Y6326" s="147"/>
    </row>
    <row r="6327" spans="20:25">
      <c r="T6327" s="146"/>
      <c r="V6327" s="147"/>
      <c r="W6327" s="146"/>
      <c r="Y6327" s="147"/>
    </row>
    <row r="6328" spans="20:25">
      <c r="T6328" s="146"/>
      <c r="V6328" s="147"/>
      <c r="W6328" s="146"/>
      <c r="Y6328" s="147"/>
    </row>
    <row r="6329" spans="20:25">
      <c r="T6329" s="146"/>
      <c r="V6329" s="147"/>
      <c r="W6329" s="146"/>
      <c r="Y6329" s="147"/>
    </row>
    <row r="6330" spans="20:25">
      <c r="T6330" s="146"/>
      <c r="V6330" s="147"/>
      <c r="W6330" s="146"/>
      <c r="Y6330" s="147"/>
    </row>
    <row r="6331" spans="20:25">
      <c r="T6331" s="146"/>
      <c r="V6331" s="147"/>
      <c r="W6331" s="146"/>
      <c r="Y6331" s="147"/>
    </row>
    <row r="6332" spans="20:25">
      <c r="T6332" s="146"/>
      <c r="V6332" s="147"/>
      <c r="W6332" s="146"/>
      <c r="Y6332" s="147"/>
    </row>
    <row r="6333" spans="20:25">
      <c r="T6333" s="146"/>
      <c r="V6333" s="147"/>
      <c r="W6333" s="146"/>
      <c r="Y6333" s="147"/>
    </row>
    <row r="6334" spans="20:25">
      <c r="T6334" s="146"/>
      <c r="V6334" s="147"/>
      <c r="W6334" s="146"/>
      <c r="Y6334" s="147"/>
    </row>
    <row r="6335" spans="20:25">
      <c r="T6335" s="146"/>
      <c r="V6335" s="147"/>
      <c r="W6335" s="146"/>
      <c r="Y6335" s="147"/>
    </row>
    <row r="6336" spans="20:25">
      <c r="T6336" s="146"/>
      <c r="V6336" s="147"/>
      <c r="W6336" s="146"/>
      <c r="Y6336" s="147"/>
    </row>
    <row r="6337" spans="20:25">
      <c r="T6337" s="146"/>
      <c r="V6337" s="147"/>
      <c r="W6337" s="146"/>
      <c r="Y6337" s="147"/>
    </row>
    <row r="6338" spans="20:25">
      <c r="T6338" s="146"/>
      <c r="V6338" s="147"/>
      <c r="W6338" s="146"/>
      <c r="Y6338" s="147"/>
    </row>
    <row r="6339" spans="20:25">
      <c r="T6339" s="146"/>
      <c r="V6339" s="147"/>
      <c r="W6339" s="146"/>
      <c r="Y6339" s="147"/>
    </row>
    <row r="6340" spans="20:25">
      <c r="T6340" s="146"/>
      <c r="V6340" s="147"/>
      <c r="W6340" s="146"/>
      <c r="Y6340" s="147"/>
    </row>
    <row r="6341" spans="20:25">
      <c r="T6341" s="146"/>
      <c r="V6341" s="147"/>
      <c r="W6341" s="146"/>
      <c r="Y6341" s="147"/>
    </row>
    <row r="6342" spans="20:25">
      <c r="T6342" s="146"/>
      <c r="V6342" s="147"/>
      <c r="W6342" s="146"/>
      <c r="Y6342" s="147"/>
    </row>
    <row r="6343" spans="20:25">
      <c r="T6343" s="146"/>
      <c r="V6343" s="147"/>
      <c r="W6343" s="146"/>
      <c r="Y6343" s="147"/>
    </row>
    <row r="6344" spans="20:25">
      <c r="T6344" s="146"/>
      <c r="V6344" s="147"/>
      <c r="W6344" s="146"/>
      <c r="Y6344" s="147"/>
    </row>
    <row r="6345" spans="20:25">
      <c r="T6345" s="146"/>
      <c r="V6345" s="147"/>
      <c r="W6345" s="146"/>
      <c r="Y6345" s="147"/>
    </row>
    <row r="6346" spans="20:25">
      <c r="T6346" s="146"/>
      <c r="V6346" s="147"/>
      <c r="W6346" s="146"/>
      <c r="Y6346" s="147"/>
    </row>
    <row r="6347" spans="20:25">
      <c r="T6347" s="146"/>
      <c r="V6347" s="147"/>
      <c r="W6347" s="146"/>
      <c r="Y6347" s="147"/>
    </row>
    <row r="6348" spans="20:25">
      <c r="T6348" s="146"/>
      <c r="V6348" s="147"/>
      <c r="W6348" s="146"/>
      <c r="Y6348" s="147"/>
    </row>
    <row r="6349" spans="20:25">
      <c r="T6349" s="146"/>
      <c r="V6349" s="147"/>
      <c r="W6349" s="146"/>
      <c r="Y6349" s="147"/>
    </row>
    <row r="6350" spans="20:25">
      <c r="T6350" s="146"/>
      <c r="V6350" s="147"/>
      <c r="W6350" s="146"/>
      <c r="Y6350" s="147"/>
    </row>
    <row r="6351" spans="20:25">
      <c r="T6351" s="146"/>
      <c r="V6351" s="147"/>
      <c r="W6351" s="146"/>
      <c r="Y6351" s="147"/>
    </row>
    <row r="6352" spans="20:25">
      <c r="T6352" s="146"/>
      <c r="V6352" s="147"/>
      <c r="W6352" s="146"/>
      <c r="Y6352" s="147"/>
    </row>
    <row r="6353" spans="20:25">
      <c r="T6353" s="146"/>
      <c r="V6353" s="147"/>
      <c r="W6353" s="146"/>
      <c r="Y6353" s="147"/>
    </row>
    <row r="6354" spans="20:25">
      <c r="T6354" s="146"/>
      <c r="V6354" s="147"/>
      <c r="W6354" s="146"/>
      <c r="Y6354" s="147"/>
    </row>
    <row r="6355" spans="20:25">
      <c r="T6355" s="146"/>
      <c r="V6355" s="147"/>
      <c r="W6355" s="146"/>
      <c r="Y6355" s="147"/>
    </row>
    <row r="6356" spans="20:25">
      <c r="T6356" s="146"/>
      <c r="V6356" s="147"/>
      <c r="W6356" s="146"/>
      <c r="Y6356" s="147"/>
    </row>
    <row r="6357" spans="20:25">
      <c r="T6357" s="146"/>
      <c r="V6357" s="147"/>
      <c r="W6357" s="146"/>
      <c r="Y6357" s="147"/>
    </row>
    <row r="6358" spans="20:25">
      <c r="T6358" s="146"/>
      <c r="V6358" s="147"/>
      <c r="W6358" s="146"/>
      <c r="Y6358" s="147"/>
    </row>
    <row r="6359" spans="20:25">
      <c r="T6359" s="146"/>
      <c r="V6359" s="147"/>
      <c r="W6359" s="146"/>
      <c r="Y6359" s="147"/>
    </row>
    <row r="6360" spans="20:25">
      <c r="T6360" s="146"/>
      <c r="V6360" s="147"/>
      <c r="W6360" s="146"/>
      <c r="Y6360" s="147"/>
    </row>
    <row r="6361" spans="20:25">
      <c r="T6361" s="146"/>
      <c r="V6361" s="147"/>
      <c r="W6361" s="146"/>
      <c r="Y6361" s="147"/>
    </row>
    <row r="6362" spans="20:25">
      <c r="T6362" s="146"/>
      <c r="V6362" s="147"/>
      <c r="W6362" s="146"/>
      <c r="Y6362" s="147"/>
    </row>
    <row r="6363" spans="20:25">
      <c r="T6363" s="146"/>
      <c r="V6363" s="147"/>
      <c r="W6363" s="146"/>
      <c r="Y6363" s="147"/>
    </row>
    <row r="6364" spans="20:25">
      <c r="T6364" s="146"/>
      <c r="V6364" s="147"/>
      <c r="W6364" s="146"/>
      <c r="Y6364" s="147"/>
    </row>
    <row r="6365" spans="20:25">
      <c r="T6365" s="146"/>
      <c r="V6365" s="147"/>
      <c r="W6365" s="146"/>
      <c r="Y6365" s="147"/>
    </row>
    <row r="6366" spans="20:25">
      <c r="T6366" s="146"/>
      <c r="V6366" s="147"/>
      <c r="W6366" s="146"/>
      <c r="Y6366" s="147"/>
    </row>
    <row r="6367" spans="20:25">
      <c r="T6367" s="146"/>
      <c r="V6367" s="147"/>
      <c r="W6367" s="146"/>
      <c r="Y6367" s="147"/>
    </row>
    <row r="6368" spans="20:25">
      <c r="T6368" s="146"/>
      <c r="V6368" s="147"/>
      <c r="W6368" s="146"/>
      <c r="Y6368" s="147"/>
    </row>
    <row r="6369" spans="20:25">
      <c r="T6369" s="146"/>
      <c r="V6369" s="147"/>
      <c r="W6369" s="146"/>
      <c r="Y6369" s="147"/>
    </row>
    <row r="6370" spans="20:25">
      <c r="T6370" s="146"/>
      <c r="V6370" s="147"/>
      <c r="W6370" s="146"/>
      <c r="Y6370" s="147"/>
    </row>
    <row r="6371" spans="20:25">
      <c r="T6371" s="146"/>
      <c r="V6371" s="147"/>
      <c r="W6371" s="146"/>
      <c r="Y6371" s="147"/>
    </row>
    <row r="6372" spans="20:25">
      <c r="T6372" s="146"/>
      <c r="V6372" s="147"/>
      <c r="W6372" s="146"/>
      <c r="Y6372" s="147"/>
    </row>
    <row r="6373" spans="20:25">
      <c r="T6373" s="146"/>
      <c r="V6373" s="147"/>
      <c r="W6373" s="146"/>
      <c r="Y6373" s="147"/>
    </row>
    <row r="6374" spans="20:25">
      <c r="T6374" s="146"/>
      <c r="V6374" s="147"/>
      <c r="W6374" s="146"/>
      <c r="Y6374" s="147"/>
    </row>
    <row r="6375" spans="20:25">
      <c r="T6375" s="146"/>
      <c r="V6375" s="147"/>
      <c r="W6375" s="146"/>
      <c r="Y6375" s="147"/>
    </row>
    <row r="6376" spans="20:25">
      <c r="T6376" s="146"/>
      <c r="V6376" s="147"/>
      <c r="W6376" s="146"/>
      <c r="Y6376" s="147"/>
    </row>
    <row r="6377" spans="20:25">
      <c r="T6377" s="146"/>
      <c r="V6377" s="147"/>
      <c r="W6377" s="146"/>
      <c r="Y6377" s="147"/>
    </row>
    <row r="6378" spans="20:25">
      <c r="T6378" s="146"/>
      <c r="V6378" s="147"/>
      <c r="W6378" s="146"/>
      <c r="Y6378" s="147"/>
    </row>
    <row r="6379" spans="20:25">
      <c r="T6379" s="146"/>
      <c r="V6379" s="147"/>
      <c r="W6379" s="146"/>
      <c r="Y6379" s="147"/>
    </row>
    <row r="6380" spans="20:25">
      <c r="T6380" s="146"/>
      <c r="V6380" s="147"/>
      <c r="W6380" s="146"/>
      <c r="Y6380" s="147"/>
    </row>
    <row r="6381" spans="20:25">
      <c r="T6381" s="146"/>
      <c r="V6381" s="147"/>
      <c r="W6381" s="146"/>
      <c r="Y6381" s="147"/>
    </row>
    <row r="6382" spans="20:25">
      <c r="T6382" s="146"/>
      <c r="V6382" s="147"/>
      <c r="W6382" s="146"/>
      <c r="Y6382" s="147"/>
    </row>
    <row r="6383" spans="20:25">
      <c r="T6383" s="146"/>
      <c r="V6383" s="147"/>
      <c r="W6383" s="146"/>
      <c r="Y6383" s="147"/>
    </row>
    <row r="6384" spans="20:25">
      <c r="T6384" s="146"/>
      <c r="V6384" s="147"/>
      <c r="W6384" s="146"/>
      <c r="Y6384" s="147"/>
    </row>
    <row r="6385" spans="20:25">
      <c r="T6385" s="146"/>
      <c r="V6385" s="147"/>
      <c r="W6385" s="146"/>
      <c r="Y6385" s="147"/>
    </row>
    <row r="6386" spans="20:25">
      <c r="T6386" s="146"/>
      <c r="V6386" s="147"/>
      <c r="W6386" s="146"/>
      <c r="Y6386" s="147"/>
    </row>
    <row r="6387" spans="20:25" ht="16.5" thickBot="1">
      <c r="T6387" s="146"/>
      <c r="V6387" s="147"/>
      <c r="W6387" s="359"/>
      <c r="X6387" s="362"/>
      <c r="Y6387" s="361"/>
    </row>
    <row r="6388" spans="20:25">
      <c r="T6388" s="146"/>
      <c r="V6388" s="147"/>
    </row>
    <row r="6389" spans="20:25">
      <c r="T6389" s="146"/>
      <c r="V6389" s="147"/>
    </row>
    <row r="6390" spans="20:25">
      <c r="T6390" s="146"/>
      <c r="V6390" s="147"/>
    </row>
    <row r="6391" spans="20:25">
      <c r="T6391" s="146"/>
      <c r="V6391" s="147"/>
    </row>
    <row r="6392" spans="20:25">
      <c r="T6392" s="146"/>
      <c r="V6392" s="147"/>
    </row>
    <row r="6393" spans="20:25">
      <c r="T6393" s="146"/>
      <c r="V6393" s="147"/>
    </row>
    <row r="6394" spans="20:25">
      <c r="T6394" s="146"/>
      <c r="V6394" s="147"/>
    </row>
    <row r="6395" spans="20:25">
      <c r="T6395" s="146"/>
      <c r="V6395" s="147"/>
    </row>
    <row r="6396" spans="20:25">
      <c r="T6396" s="146"/>
      <c r="V6396" s="147"/>
    </row>
    <row r="6397" spans="20:25">
      <c r="T6397" s="146"/>
      <c r="V6397" s="147"/>
    </row>
    <row r="6398" spans="20:25">
      <c r="T6398" s="146"/>
      <c r="V6398" s="147"/>
    </row>
    <row r="6399" spans="20:25">
      <c r="T6399" s="146"/>
      <c r="V6399" s="147"/>
    </row>
    <row r="6400" spans="20:25">
      <c r="T6400" s="146"/>
      <c r="V6400" s="147"/>
    </row>
    <row r="6401" spans="20:22">
      <c r="T6401" s="146"/>
      <c r="V6401" s="147"/>
    </row>
    <row r="6402" spans="20:22">
      <c r="T6402" s="146"/>
      <c r="V6402" s="147"/>
    </row>
    <row r="6403" spans="20:22">
      <c r="T6403" s="146"/>
      <c r="V6403" s="147"/>
    </row>
    <row r="6404" spans="20:22">
      <c r="T6404" s="146"/>
      <c r="V6404" s="147"/>
    </row>
    <row r="6405" spans="20:22">
      <c r="T6405" s="146"/>
      <c r="V6405" s="147"/>
    </row>
    <row r="6406" spans="20:22">
      <c r="T6406" s="146"/>
      <c r="V6406" s="147"/>
    </row>
    <row r="6407" spans="20:22">
      <c r="T6407" s="146"/>
      <c r="V6407" s="147"/>
    </row>
    <row r="6408" spans="20:22">
      <c r="T6408" s="146"/>
      <c r="V6408" s="147"/>
    </row>
    <row r="6409" spans="20:22">
      <c r="T6409" s="146"/>
      <c r="V6409" s="147"/>
    </row>
    <row r="6410" spans="20:22">
      <c r="T6410" s="146"/>
      <c r="V6410" s="147"/>
    </row>
    <row r="6411" spans="20:22">
      <c r="T6411" s="146"/>
      <c r="V6411" s="147"/>
    </row>
    <row r="6412" spans="20:22">
      <c r="T6412" s="146"/>
      <c r="V6412" s="147"/>
    </row>
    <row r="6413" spans="20:22">
      <c r="T6413" s="146"/>
      <c r="V6413" s="147"/>
    </row>
    <row r="6414" spans="20:22">
      <c r="T6414" s="146"/>
      <c r="V6414" s="147"/>
    </row>
    <row r="6415" spans="20:22">
      <c r="T6415" s="146"/>
      <c r="V6415" s="147"/>
    </row>
    <row r="6416" spans="20:22">
      <c r="T6416" s="146"/>
      <c r="V6416" s="147"/>
    </row>
    <row r="6417" spans="20:22">
      <c r="T6417" s="146"/>
      <c r="V6417" s="147"/>
    </row>
    <row r="6418" spans="20:22">
      <c r="T6418" s="146"/>
      <c r="V6418" s="147"/>
    </row>
    <row r="6419" spans="20:22">
      <c r="T6419" s="146"/>
      <c r="V6419" s="147"/>
    </row>
    <row r="6420" spans="20:22">
      <c r="T6420" s="146"/>
      <c r="V6420" s="147"/>
    </row>
    <row r="6421" spans="20:22">
      <c r="T6421" s="146"/>
      <c r="V6421" s="147"/>
    </row>
    <row r="6422" spans="20:22">
      <c r="T6422" s="146"/>
      <c r="V6422" s="147"/>
    </row>
    <row r="6423" spans="20:22">
      <c r="T6423" s="146"/>
      <c r="V6423" s="147"/>
    </row>
    <row r="6424" spans="20:22">
      <c r="T6424" s="146"/>
      <c r="V6424" s="147"/>
    </row>
    <row r="6425" spans="20:22">
      <c r="T6425" s="146"/>
      <c r="V6425" s="147"/>
    </row>
    <row r="6426" spans="20:22">
      <c r="T6426" s="146"/>
      <c r="V6426" s="147"/>
    </row>
    <row r="6427" spans="20:22">
      <c r="T6427" s="146"/>
      <c r="V6427" s="147"/>
    </row>
    <row r="6428" spans="20:22">
      <c r="T6428" s="146"/>
      <c r="V6428" s="147"/>
    </row>
    <row r="6429" spans="20:22">
      <c r="T6429" s="146"/>
      <c r="V6429" s="147"/>
    </row>
    <row r="6430" spans="20:22">
      <c r="T6430" s="146"/>
      <c r="V6430" s="147"/>
    </row>
    <row r="6431" spans="20:22">
      <c r="T6431" s="146"/>
      <c r="V6431" s="147"/>
    </row>
    <row r="6432" spans="20:22">
      <c r="T6432" s="146"/>
      <c r="V6432" s="147"/>
    </row>
    <row r="6433" spans="20:22">
      <c r="T6433" s="146"/>
      <c r="V6433" s="147"/>
    </row>
    <row r="6434" spans="20:22">
      <c r="T6434" s="146"/>
      <c r="V6434" s="147"/>
    </row>
    <row r="6435" spans="20:22">
      <c r="T6435" s="146"/>
      <c r="V6435" s="147"/>
    </row>
    <row r="6436" spans="20:22">
      <c r="T6436" s="146"/>
      <c r="V6436" s="147"/>
    </row>
    <row r="6437" spans="20:22">
      <c r="T6437" s="146"/>
      <c r="V6437" s="147"/>
    </row>
    <row r="6438" spans="20:22">
      <c r="T6438" s="146"/>
      <c r="V6438" s="147"/>
    </row>
    <row r="6439" spans="20:22">
      <c r="T6439" s="146"/>
      <c r="V6439" s="147"/>
    </row>
    <row r="6440" spans="20:22">
      <c r="T6440" s="146"/>
      <c r="V6440" s="147"/>
    </row>
    <row r="6441" spans="20:22">
      <c r="T6441" s="146"/>
      <c r="V6441" s="147"/>
    </row>
    <row r="6442" spans="20:22">
      <c r="T6442" s="146"/>
      <c r="V6442" s="147"/>
    </row>
    <row r="6443" spans="20:22">
      <c r="T6443" s="146"/>
      <c r="V6443" s="147"/>
    </row>
    <row r="6444" spans="20:22">
      <c r="T6444" s="146"/>
      <c r="V6444" s="147"/>
    </row>
    <row r="6445" spans="20:22">
      <c r="T6445" s="146"/>
      <c r="V6445" s="147"/>
    </row>
    <row r="6446" spans="20:22">
      <c r="T6446" s="146"/>
      <c r="V6446" s="147"/>
    </row>
    <row r="6447" spans="20:22">
      <c r="T6447" s="146"/>
      <c r="V6447" s="147"/>
    </row>
    <row r="6448" spans="20:22">
      <c r="T6448" s="146"/>
      <c r="V6448" s="147"/>
    </row>
    <row r="6449" spans="20:22">
      <c r="T6449" s="146"/>
      <c r="V6449" s="147"/>
    </row>
    <row r="6450" spans="20:22">
      <c r="T6450" s="146"/>
      <c r="V6450" s="147"/>
    </row>
    <row r="6451" spans="20:22">
      <c r="T6451" s="146"/>
      <c r="V6451" s="147"/>
    </row>
    <row r="6452" spans="20:22">
      <c r="T6452" s="146"/>
      <c r="V6452" s="147"/>
    </row>
    <row r="6453" spans="20:22">
      <c r="T6453" s="146"/>
      <c r="V6453" s="147"/>
    </row>
    <row r="6454" spans="20:22">
      <c r="T6454" s="146"/>
      <c r="V6454" s="147"/>
    </row>
    <row r="6455" spans="20:22">
      <c r="T6455" s="146"/>
      <c r="V6455" s="147"/>
    </row>
    <row r="6456" spans="20:22">
      <c r="T6456" s="146"/>
      <c r="V6456" s="147"/>
    </row>
    <row r="6457" spans="20:22">
      <c r="T6457" s="146"/>
      <c r="V6457" s="147"/>
    </row>
    <row r="6458" spans="20:22">
      <c r="T6458" s="146"/>
      <c r="V6458" s="147"/>
    </row>
    <row r="6459" spans="20:22">
      <c r="T6459" s="146"/>
      <c r="V6459" s="147"/>
    </row>
    <row r="6460" spans="20:22">
      <c r="T6460" s="146"/>
      <c r="V6460" s="147"/>
    </row>
    <row r="6461" spans="20:22">
      <c r="T6461" s="146"/>
      <c r="V6461" s="147"/>
    </row>
    <row r="6462" spans="20:22">
      <c r="T6462" s="146"/>
      <c r="V6462" s="147"/>
    </row>
    <row r="6463" spans="20:22">
      <c r="T6463" s="146"/>
      <c r="V6463" s="147"/>
    </row>
    <row r="6464" spans="20:22">
      <c r="T6464" s="146"/>
      <c r="V6464" s="147"/>
    </row>
    <row r="6465" spans="20:22">
      <c r="T6465" s="146"/>
      <c r="V6465" s="147"/>
    </row>
    <row r="6466" spans="20:22">
      <c r="T6466" s="146"/>
      <c r="V6466" s="147"/>
    </row>
    <row r="6467" spans="20:22">
      <c r="T6467" s="146"/>
      <c r="V6467" s="147"/>
    </row>
    <row r="6468" spans="20:22">
      <c r="T6468" s="146"/>
      <c r="V6468" s="147"/>
    </row>
    <row r="6469" spans="20:22">
      <c r="T6469" s="146"/>
      <c r="V6469" s="147"/>
    </row>
    <row r="6470" spans="20:22">
      <c r="T6470" s="146"/>
      <c r="V6470" s="147"/>
    </row>
    <row r="6471" spans="20:22">
      <c r="T6471" s="146"/>
      <c r="V6471" s="147"/>
    </row>
    <row r="6472" spans="20:22">
      <c r="T6472" s="146"/>
      <c r="V6472" s="147"/>
    </row>
    <row r="6473" spans="20:22">
      <c r="T6473" s="146"/>
      <c r="V6473" s="147"/>
    </row>
    <row r="6474" spans="20:22">
      <c r="T6474" s="146"/>
      <c r="V6474" s="147"/>
    </row>
    <row r="6475" spans="20:22">
      <c r="T6475" s="146"/>
      <c r="V6475" s="147"/>
    </row>
    <row r="6476" spans="20:22">
      <c r="T6476" s="146"/>
      <c r="V6476" s="147"/>
    </row>
    <row r="6477" spans="20:22">
      <c r="T6477" s="146"/>
      <c r="V6477" s="147"/>
    </row>
    <row r="6478" spans="20:22">
      <c r="T6478" s="146"/>
      <c r="V6478" s="147"/>
    </row>
    <row r="6479" spans="20:22">
      <c r="T6479" s="146"/>
      <c r="V6479" s="147"/>
    </row>
    <row r="6480" spans="20:22">
      <c r="T6480" s="146"/>
      <c r="V6480" s="147"/>
    </row>
    <row r="6481" spans="20:22">
      <c r="T6481" s="146"/>
      <c r="V6481" s="147"/>
    </row>
    <row r="6482" spans="20:22">
      <c r="T6482" s="146"/>
      <c r="V6482" s="147"/>
    </row>
    <row r="6483" spans="20:22">
      <c r="T6483" s="146"/>
      <c r="V6483" s="147"/>
    </row>
    <row r="6484" spans="20:22">
      <c r="T6484" s="146"/>
      <c r="V6484" s="147"/>
    </row>
    <row r="6485" spans="20:22">
      <c r="T6485" s="146"/>
      <c r="V6485" s="147"/>
    </row>
    <row r="6486" spans="20:22">
      <c r="T6486" s="146"/>
      <c r="V6486" s="147"/>
    </row>
    <row r="6487" spans="20:22">
      <c r="T6487" s="146"/>
      <c r="V6487" s="147"/>
    </row>
    <row r="6488" spans="20:22">
      <c r="T6488" s="146"/>
      <c r="V6488" s="147"/>
    </row>
    <row r="6489" spans="20:22">
      <c r="T6489" s="146"/>
      <c r="V6489" s="147"/>
    </row>
    <row r="6490" spans="20:22">
      <c r="T6490" s="146"/>
      <c r="V6490" s="147"/>
    </row>
    <row r="6491" spans="20:22">
      <c r="T6491" s="146"/>
      <c r="V6491" s="147"/>
    </row>
    <row r="6492" spans="20:22">
      <c r="T6492" s="146"/>
      <c r="V6492" s="147"/>
    </row>
    <row r="6493" spans="20:22">
      <c r="T6493" s="146"/>
      <c r="V6493" s="147"/>
    </row>
    <row r="6494" spans="20:22">
      <c r="T6494" s="146"/>
      <c r="V6494" s="147"/>
    </row>
    <row r="6495" spans="20:22">
      <c r="T6495" s="146"/>
      <c r="V6495" s="147"/>
    </row>
    <row r="6496" spans="20:22">
      <c r="T6496" s="146"/>
      <c r="V6496" s="147"/>
    </row>
    <row r="6497" spans="20:22">
      <c r="T6497" s="146"/>
      <c r="V6497" s="147"/>
    </row>
    <row r="6498" spans="20:22">
      <c r="T6498" s="146"/>
      <c r="V6498" s="147"/>
    </row>
    <row r="6499" spans="20:22">
      <c r="T6499" s="146"/>
      <c r="V6499" s="147"/>
    </row>
    <row r="6500" spans="20:22">
      <c r="T6500" s="146"/>
      <c r="V6500" s="147"/>
    </row>
    <row r="6501" spans="20:22">
      <c r="T6501" s="146"/>
      <c r="V6501" s="147"/>
    </row>
    <row r="6502" spans="20:22">
      <c r="T6502" s="146"/>
      <c r="V6502" s="147"/>
    </row>
    <row r="6503" spans="20:22">
      <c r="T6503" s="146"/>
      <c r="V6503" s="147"/>
    </row>
    <row r="6504" spans="20:22">
      <c r="T6504" s="146"/>
      <c r="V6504" s="147"/>
    </row>
    <row r="6505" spans="20:22">
      <c r="T6505" s="146"/>
      <c r="V6505" s="147"/>
    </row>
    <row r="6506" spans="20:22">
      <c r="T6506" s="146"/>
      <c r="V6506" s="147"/>
    </row>
    <row r="6507" spans="20:22">
      <c r="T6507" s="146"/>
      <c r="V6507" s="147"/>
    </row>
    <row r="6508" spans="20:22">
      <c r="T6508" s="146"/>
      <c r="V6508" s="147"/>
    </row>
    <row r="6509" spans="20:22">
      <c r="T6509" s="146"/>
      <c r="V6509" s="147"/>
    </row>
    <row r="6510" spans="20:22">
      <c r="T6510" s="146"/>
      <c r="V6510" s="147"/>
    </row>
    <row r="6511" spans="20:22">
      <c r="T6511" s="146"/>
      <c r="V6511" s="147"/>
    </row>
    <row r="6512" spans="20:22">
      <c r="T6512" s="146"/>
      <c r="V6512" s="147"/>
    </row>
    <row r="6513" spans="20:22">
      <c r="T6513" s="146"/>
      <c r="V6513" s="147"/>
    </row>
    <row r="6514" spans="20:22">
      <c r="T6514" s="146"/>
      <c r="V6514" s="147"/>
    </row>
    <row r="6515" spans="20:22">
      <c r="T6515" s="146"/>
      <c r="V6515" s="147"/>
    </row>
    <row r="6516" spans="20:22">
      <c r="T6516" s="146"/>
      <c r="V6516" s="147"/>
    </row>
    <row r="6517" spans="20:22">
      <c r="T6517" s="146"/>
      <c r="V6517" s="147"/>
    </row>
    <row r="6518" spans="20:22">
      <c r="T6518" s="146"/>
      <c r="V6518" s="147"/>
    </row>
    <row r="6519" spans="20:22">
      <c r="T6519" s="146"/>
      <c r="V6519" s="147"/>
    </row>
    <row r="6520" spans="20:22">
      <c r="T6520" s="146"/>
      <c r="V6520" s="147"/>
    </row>
    <row r="6521" spans="20:22">
      <c r="T6521" s="146"/>
      <c r="V6521" s="147"/>
    </row>
    <row r="6522" spans="20:22">
      <c r="T6522" s="146"/>
      <c r="V6522" s="147"/>
    </row>
    <row r="6523" spans="20:22">
      <c r="T6523" s="146"/>
      <c r="V6523" s="147"/>
    </row>
    <row r="6524" spans="20:22">
      <c r="T6524" s="146"/>
      <c r="V6524" s="147"/>
    </row>
    <row r="6525" spans="20:22">
      <c r="T6525" s="146"/>
      <c r="V6525" s="147"/>
    </row>
    <row r="6526" spans="20:22">
      <c r="T6526" s="146"/>
      <c r="V6526" s="147"/>
    </row>
    <row r="6527" spans="20:22">
      <c r="T6527" s="146"/>
      <c r="V6527" s="147"/>
    </row>
    <row r="6528" spans="20:22">
      <c r="T6528" s="146"/>
      <c r="V6528" s="147"/>
    </row>
    <row r="6529" spans="20:22">
      <c r="T6529" s="146"/>
      <c r="V6529" s="147"/>
    </row>
    <row r="6530" spans="20:22">
      <c r="T6530" s="146"/>
      <c r="V6530" s="147"/>
    </row>
    <row r="6531" spans="20:22">
      <c r="T6531" s="146"/>
      <c r="V6531" s="147"/>
    </row>
    <row r="6532" spans="20:22">
      <c r="T6532" s="146"/>
      <c r="V6532" s="147"/>
    </row>
    <row r="6533" spans="20:22">
      <c r="T6533" s="146"/>
      <c r="V6533" s="147"/>
    </row>
    <row r="6534" spans="20:22">
      <c r="T6534" s="146"/>
      <c r="V6534" s="147"/>
    </row>
    <row r="6535" spans="20:22">
      <c r="T6535" s="146"/>
      <c r="V6535" s="147"/>
    </row>
    <row r="6536" spans="20:22">
      <c r="T6536" s="146"/>
      <c r="V6536" s="147"/>
    </row>
    <row r="6537" spans="20:22">
      <c r="T6537" s="146"/>
      <c r="V6537" s="147"/>
    </row>
    <row r="6538" spans="20:22">
      <c r="T6538" s="146"/>
      <c r="V6538" s="147"/>
    </row>
    <row r="6539" spans="20:22">
      <c r="T6539" s="146"/>
      <c r="V6539" s="147"/>
    </row>
    <row r="6540" spans="20:22">
      <c r="T6540" s="146"/>
      <c r="V6540" s="147"/>
    </row>
    <row r="6541" spans="20:22">
      <c r="T6541" s="146"/>
      <c r="V6541" s="147"/>
    </row>
    <row r="6542" spans="20:22">
      <c r="T6542" s="146"/>
      <c r="V6542" s="147"/>
    </row>
    <row r="6543" spans="20:22">
      <c r="T6543" s="146"/>
      <c r="V6543" s="147"/>
    </row>
    <row r="6544" spans="20:22">
      <c r="T6544" s="146"/>
      <c r="V6544" s="147"/>
    </row>
    <row r="6545" spans="20:22">
      <c r="T6545" s="146"/>
      <c r="V6545" s="147"/>
    </row>
    <row r="6546" spans="20:22">
      <c r="T6546" s="146"/>
      <c r="V6546" s="147"/>
    </row>
    <row r="6547" spans="20:22">
      <c r="T6547" s="146"/>
      <c r="V6547" s="147"/>
    </row>
    <row r="6548" spans="20:22">
      <c r="T6548" s="146"/>
      <c r="V6548" s="147"/>
    </row>
    <row r="6549" spans="20:22">
      <c r="T6549" s="146"/>
      <c r="V6549" s="147"/>
    </row>
    <row r="6550" spans="20:22">
      <c r="T6550" s="146"/>
      <c r="V6550" s="147"/>
    </row>
    <row r="6551" spans="20:22">
      <c r="T6551" s="146"/>
      <c r="V6551" s="147"/>
    </row>
    <row r="6552" spans="20:22">
      <c r="T6552" s="146"/>
      <c r="V6552" s="147"/>
    </row>
    <row r="6553" spans="20:22">
      <c r="T6553" s="146"/>
      <c r="V6553" s="147"/>
    </row>
    <row r="6554" spans="20:22">
      <c r="T6554" s="146"/>
      <c r="V6554" s="147"/>
    </row>
    <row r="6555" spans="20:22">
      <c r="T6555" s="146"/>
      <c r="V6555" s="147"/>
    </row>
    <row r="6556" spans="20:22">
      <c r="T6556" s="146"/>
      <c r="V6556" s="147"/>
    </row>
    <row r="6557" spans="20:22">
      <c r="T6557" s="146"/>
      <c r="V6557" s="147"/>
    </row>
    <row r="6558" spans="20:22">
      <c r="T6558" s="146"/>
      <c r="V6558" s="147"/>
    </row>
    <row r="6559" spans="20:22">
      <c r="T6559" s="146"/>
      <c r="V6559" s="147"/>
    </row>
    <row r="6560" spans="20:22">
      <c r="T6560" s="146"/>
      <c r="V6560" s="147"/>
    </row>
    <row r="6561" spans="20:22">
      <c r="T6561" s="146"/>
      <c r="V6561" s="147"/>
    </row>
    <row r="6562" spans="20:22">
      <c r="T6562" s="146"/>
      <c r="V6562" s="147"/>
    </row>
    <row r="6563" spans="20:22">
      <c r="T6563" s="146"/>
      <c r="V6563" s="147"/>
    </row>
    <row r="6564" spans="20:22">
      <c r="T6564" s="146"/>
      <c r="V6564" s="147"/>
    </row>
    <row r="6565" spans="20:22">
      <c r="T6565" s="146"/>
      <c r="V6565" s="147"/>
    </row>
    <row r="6566" spans="20:22">
      <c r="T6566" s="146"/>
      <c r="V6566" s="147"/>
    </row>
    <row r="6567" spans="20:22">
      <c r="T6567" s="146"/>
      <c r="V6567" s="147"/>
    </row>
    <row r="6568" spans="20:22">
      <c r="T6568" s="146"/>
      <c r="V6568" s="147"/>
    </row>
    <row r="6569" spans="20:22">
      <c r="T6569" s="146"/>
      <c r="V6569" s="147"/>
    </row>
    <row r="6570" spans="20:22">
      <c r="T6570" s="146"/>
      <c r="V6570" s="147"/>
    </row>
    <row r="6571" spans="20:22">
      <c r="T6571" s="146"/>
      <c r="V6571" s="147"/>
    </row>
    <row r="6572" spans="20:22">
      <c r="T6572" s="146"/>
      <c r="V6572" s="147"/>
    </row>
    <row r="6573" spans="20:22">
      <c r="T6573" s="146"/>
      <c r="V6573" s="147"/>
    </row>
    <row r="6574" spans="20:22">
      <c r="T6574" s="146"/>
      <c r="V6574" s="147"/>
    </row>
    <row r="6575" spans="20:22">
      <c r="T6575" s="146"/>
      <c r="V6575" s="147"/>
    </row>
    <row r="6576" spans="20:22">
      <c r="T6576" s="146"/>
      <c r="V6576" s="147"/>
    </row>
    <row r="6577" spans="20:22">
      <c r="T6577" s="146"/>
      <c r="V6577" s="147"/>
    </row>
    <row r="6578" spans="20:22">
      <c r="T6578" s="146"/>
      <c r="V6578" s="147"/>
    </row>
    <row r="6579" spans="20:22">
      <c r="T6579" s="146"/>
      <c r="V6579" s="147"/>
    </row>
    <row r="6580" spans="20:22">
      <c r="T6580" s="146"/>
      <c r="V6580" s="147"/>
    </row>
    <row r="6581" spans="20:22">
      <c r="T6581" s="146"/>
      <c r="V6581" s="147"/>
    </row>
    <row r="6582" spans="20:22">
      <c r="T6582" s="146"/>
      <c r="V6582" s="147"/>
    </row>
    <row r="6583" spans="20:22">
      <c r="T6583" s="146"/>
      <c r="V6583" s="147"/>
    </row>
    <row r="6584" spans="20:22">
      <c r="T6584" s="146"/>
      <c r="V6584" s="147"/>
    </row>
    <row r="6585" spans="20:22">
      <c r="T6585" s="146"/>
      <c r="V6585" s="147"/>
    </row>
    <row r="6586" spans="20:22">
      <c r="T6586" s="146"/>
      <c r="V6586" s="147"/>
    </row>
    <row r="6587" spans="20:22">
      <c r="T6587" s="146"/>
      <c r="V6587" s="147"/>
    </row>
    <row r="6588" spans="20:22">
      <c r="T6588" s="146"/>
      <c r="V6588" s="147"/>
    </row>
    <row r="6589" spans="20:22">
      <c r="T6589" s="146"/>
      <c r="V6589" s="147"/>
    </row>
    <row r="6590" spans="20:22">
      <c r="T6590" s="146"/>
      <c r="V6590" s="147"/>
    </row>
    <row r="6591" spans="20:22">
      <c r="T6591" s="146"/>
      <c r="V6591" s="147"/>
    </row>
    <row r="6592" spans="20:22">
      <c r="T6592" s="146"/>
      <c r="V6592" s="147"/>
    </row>
    <row r="6593" spans="20:22">
      <c r="T6593" s="146"/>
      <c r="V6593" s="147"/>
    </row>
    <row r="6594" spans="20:22">
      <c r="T6594" s="146"/>
      <c r="V6594" s="147"/>
    </row>
    <row r="6595" spans="20:22">
      <c r="T6595" s="146"/>
      <c r="V6595" s="147"/>
    </row>
    <row r="6596" spans="20:22">
      <c r="T6596" s="146"/>
      <c r="V6596" s="147"/>
    </row>
    <row r="6597" spans="20:22">
      <c r="T6597" s="146"/>
      <c r="V6597" s="147"/>
    </row>
    <row r="6598" spans="20:22">
      <c r="T6598" s="146"/>
      <c r="V6598" s="147"/>
    </row>
    <row r="6599" spans="20:22">
      <c r="T6599" s="146"/>
      <c r="V6599" s="147"/>
    </row>
    <row r="6600" spans="20:22">
      <c r="T6600" s="146"/>
      <c r="V6600" s="147"/>
    </row>
    <row r="6601" spans="20:22">
      <c r="T6601" s="146"/>
      <c r="V6601" s="147"/>
    </row>
    <row r="6602" spans="20:22">
      <c r="T6602" s="146"/>
      <c r="V6602" s="147"/>
    </row>
    <row r="6603" spans="20:22">
      <c r="T6603" s="146"/>
      <c r="V6603" s="147"/>
    </row>
    <row r="6604" spans="20:22">
      <c r="T6604" s="146"/>
      <c r="V6604" s="147"/>
    </row>
    <row r="6605" spans="20:22">
      <c r="T6605" s="146"/>
      <c r="V6605" s="147"/>
    </row>
    <row r="6606" spans="20:22">
      <c r="T6606" s="146"/>
      <c r="V6606" s="147"/>
    </row>
    <row r="6607" spans="20:22">
      <c r="T6607" s="146"/>
      <c r="V6607" s="147"/>
    </row>
    <row r="6608" spans="20:22">
      <c r="T6608" s="146"/>
      <c r="V6608" s="147"/>
    </row>
    <row r="6609" spans="20:22">
      <c r="T6609" s="146"/>
      <c r="V6609" s="147"/>
    </row>
    <row r="6610" spans="20:22">
      <c r="T6610" s="146"/>
      <c r="V6610" s="147"/>
    </row>
    <row r="6611" spans="20:22">
      <c r="T6611" s="146"/>
      <c r="V6611" s="147"/>
    </row>
    <row r="6612" spans="20:22">
      <c r="T6612" s="146"/>
      <c r="V6612" s="147"/>
    </row>
    <row r="6613" spans="20:22">
      <c r="T6613" s="146"/>
      <c r="V6613" s="147"/>
    </row>
    <row r="6614" spans="20:22">
      <c r="T6614" s="146"/>
      <c r="V6614" s="147"/>
    </row>
    <row r="6615" spans="20:22">
      <c r="T6615" s="146"/>
      <c r="V6615" s="147"/>
    </row>
    <row r="6616" spans="20:22">
      <c r="T6616" s="146"/>
      <c r="V6616" s="147"/>
    </row>
    <row r="6617" spans="20:22">
      <c r="T6617" s="146"/>
      <c r="V6617" s="147"/>
    </row>
    <row r="6618" spans="20:22">
      <c r="T6618" s="146"/>
      <c r="V6618" s="147"/>
    </row>
    <row r="6619" spans="20:22">
      <c r="T6619" s="146"/>
      <c r="V6619" s="147"/>
    </row>
    <row r="6620" spans="20:22">
      <c r="T6620" s="146"/>
      <c r="V6620" s="147"/>
    </row>
    <row r="6621" spans="20:22">
      <c r="T6621" s="146"/>
      <c r="V6621" s="147"/>
    </row>
    <row r="6622" spans="20:22">
      <c r="T6622" s="146"/>
      <c r="V6622" s="147"/>
    </row>
    <row r="6623" spans="20:22">
      <c r="T6623" s="146"/>
      <c r="V6623" s="147"/>
    </row>
    <row r="6624" spans="20:22">
      <c r="T6624" s="146"/>
      <c r="V6624" s="147"/>
    </row>
    <row r="6625" spans="20:22">
      <c r="T6625" s="146"/>
      <c r="V6625" s="147"/>
    </row>
    <row r="6626" spans="20:22">
      <c r="T6626" s="146"/>
      <c r="V6626" s="147"/>
    </row>
    <row r="6627" spans="20:22">
      <c r="T6627" s="146"/>
      <c r="V6627" s="147"/>
    </row>
    <row r="6628" spans="20:22">
      <c r="T6628" s="146"/>
      <c r="V6628" s="147"/>
    </row>
    <row r="6629" spans="20:22">
      <c r="T6629" s="146"/>
      <c r="V6629" s="147"/>
    </row>
    <row r="6630" spans="20:22">
      <c r="T6630" s="146"/>
      <c r="V6630" s="147"/>
    </row>
    <row r="6631" spans="20:22">
      <c r="T6631" s="146"/>
      <c r="V6631" s="147"/>
    </row>
    <row r="6632" spans="20:22">
      <c r="T6632" s="146"/>
      <c r="V6632" s="147"/>
    </row>
    <row r="6633" spans="20:22">
      <c r="T6633" s="146"/>
      <c r="V6633" s="147"/>
    </row>
    <row r="6634" spans="20:22">
      <c r="T6634" s="146"/>
      <c r="V6634" s="147"/>
    </row>
    <row r="6635" spans="20:22">
      <c r="T6635" s="146"/>
      <c r="V6635" s="147"/>
    </row>
    <row r="6636" spans="20:22">
      <c r="T6636" s="146"/>
      <c r="V6636" s="147"/>
    </row>
    <row r="6637" spans="20:22">
      <c r="T6637" s="146"/>
      <c r="V6637" s="147"/>
    </row>
    <row r="6638" spans="20:22">
      <c r="T6638" s="146"/>
      <c r="V6638" s="147"/>
    </row>
    <row r="6639" spans="20:22">
      <c r="T6639" s="146"/>
      <c r="V6639" s="147"/>
    </row>
    <row r="6640" spans="20:22">
      <c r="T6640" s="146"/>
      <c r="V6640" s="147"/>
    </row>
    <row r="6641" spans="20:22">
      <c r="T6641" s="146"/>
      <c r="V6641" s="147"/>
    </row>
    <row r="6642" spans="20:22">
      <c r="T6642" s="146"/>
      <c r="V6642" s="147"/>
    </row>
    <row r="6643" spans="20:22">
      <c r="T6643" s="146"/>
      <c r="V6643" s="147"/>
    </row>
    <row r="6644" spans="20:22">
      <c r="T6644" s="146"/>
      <c r="V6644" s="147"/>
    </row>
    <row r="6645" spans="20:22">
      <c r="T6645" s="146"/>
      <c r="V6645" s="147"/>
    </row>
    <row r="6646" spans="20:22">
      <c r="T6646" s="146"/>
      <c r="V6646" s="147"/>
    </row>
    <row r="6647" spans="20:22">
      <c r="T6647" s="146"/>
      <c r="V6647" s="147"/>
    </row>
    <row r="6648" spans="20:22">
      <c r="T6648" s="146"/>
      <c r="V6648" s="147"/>
    </row>
    <row r="6649" spans="20:22">
      <c r="T6649" s="146"/>
      <c r="V6649" s="147"/>
    </row>
    <row r="6650" spans="20:22">
      <c r="T6650" s="146"/>
      <c r="V6650" s="147"/>
    </row>
    <row r="6651" spans="20:22">
      <c r="T6651" s="146"/>
      <c r="V6651" s="147"/>
    </row>
    <row r="6652" spans="20:22">
      <c r="T6652" s="146"/>
      <c r="V6652" s="147"/>
    </row>
    <row r="6653" spans="20:22">
      <c r="T6653" s="146"/>
      <c r="V6653" s="147"/>
    </row>
    <row r="6654" spans="20:22">
      <c r="T6654" s="146"/>
      <c r="V6654" s="147"/>
    </row>
    <row r="6655" spans="20:22">
      <c r="T6655" s="146"/>
      <c r="V6655" s="147"/>
    </row>
    <row r="6656" spans="20:22">
      <c r="T6656" s="146"/>
      <c r="V6656" s="147"/>
    </row>
    <row r="6657" spans="20:22">
      <c r="T6657" s="146"/>
      <c r="V6657" s="147"/>
    </row>
    <row r="6658" spans="20:22">
      <c r="T6658" s="146"/>
      <c r="V6658" s="147"/>
    </row>
    <row r="6659" spans="20:22">
      <c r="T6659" s="146"/>
      <c r="V6659" s="147"/>
    </row>
    <row r="6660" spans="20:22">
      <c r="T6660" s="146"/>
      <c r="V6660" s="147"/>
    </row>
    <row r="6661" spans="20:22">
      <c r="T6661" s="146"/>
      <c r="V6661" s="147"/>
    </row>
    <row r="6662" spans="20:22">
      <c r="T6662" s="146"/>
      <c r="V6662" s="147"/>
    </row>
    <row r="6663" spans="20:22">
      <c r="T6663" s="146"/>
      <c r="V6663" s="147"/>
    </row>
    <row r="6664" spans="20:22">
      <c r="T6664" s="146"/>
      <c r="V6664" s="147"/>
    </row>
    <row r="6665" spans="20:22">
      <c r="T6665" s="146"/>
      <c r="V6665" s="147"/>
    </row>
    <row r="6666" spans="20:22">
      <c r="T6666" s="146"/>
      <c r="V6666" s="147"/>
    </row>
    <row r="6667" spans="20:22">
      <c r="T6667" s="146"/>
      <c r="V6667" s="147"/>
    </row>
    <row r="6668" spans="20:22">
      <c r="T6668" s="146"/>
      <c r="V6668" s="147"/>
    </row>
    <row r="6669" spans="20:22">
      <c r="T6669" s="146"/>
      <c r="V6669" s="147"/>
    </row>
    <row r="6670" spans="20:22">
      <c r="T6670" s="146"/>
      <c r="V6670" s="147"/>
    </row>
    <row r="6671" spans="20:22">
      <c r="T6671" s="146"/>
      <c r="V6671" s="147"/>
    </row>
    <row r="6672" spans="20:22">
      <c r="T6672" s="146"/>
      <c r="V6672" s="147"/>
    </row>
    <row r="6673" spans="20:22">
      <c r="T6673" s="146"/>
      <c r="V6673" s="147"/>
    </row>
    <row r="6674" spans="20:22">
      <c r="T6674" s="146"/>
      <c r="V6674" s="147"/>
    </row>
    <row r="6675" spans="20:22">
      <c r="T6675" s="146"/>
      <c r="V6675" s="147"/>
    </row>
    <row r="6676" spans="20:22">
      <c r="T6676" s="146"/>
      <c r="V6676" s="147"/>
    </row>
    <row r="6677" spans="20:22">
      <c r="T6677" s="146"/>
      <c r="V6677" s="147"/>
    </row>
    <row r="6678" spans="20:22">
      <c r="T6678" s="146"/>
      <c r="V6678" s="147"/>
    </row>
    <row r="6679" spans="20:22">
      <c r="T6679" s="146"/>
      <c r="V6679" s="147"/>
    </row>
    <row r="6680" spans="20:22">
      <c r="T6680" s="146"/>
      <c r="V6680" s="147"/>
    </row>
    <row r="6681" spans="20:22">
      <c r="T6681" s="146"/>
      <c r="V6681" s="147"/>
    </row>
    <row r="6682" spans="20:22">
      <c r="T6682" s="146"/>
      <c r="V6682" s="147"/>
    </row>
    <row r="6683" spans="20:22">
      <c r="T6683" s="146"/>
      <c r="V6683" s="147"/>
    </row>
    <row r="6684" spans="20:22">
      <c r="T6684" s="146"/>
      <c r="V6684" s="147"/>
    </row>
    <row r="6685" spans="20:22">
      <c r="T6685" s="146"/>
      <c r="V6685" s="147"/>
    </row>
    <row r="6686" spans="20:22">
      <c r="T6686" s="146"/>
      <c r="V6686" s="147"/>
    </row>
    <row r="6687" spans="20:22">
      <c r="T6687" s="146"/>
      <c r="V6687" s="147"/>
    </row>
    <row r="6688" spans="20:22">
      <c r="T6688" s="146"/>
      <c r="V6688" s="147"/>
    </row>
    <row r="6689" spans="20:22">
      <c r="T6689" s="146"/>
      <c r="V6689" s="147"/>
    </row>
    <row r="6690" spans="20:22">
      <c r="T6690" s="146"/>
      <c r="V6690" s="147"/>
    </row>
    <row r="6691" spans="20:22">
      <c r="T6691" s="146"/>
      <c r="V6691" s="147"/>
    </row>
    <row r="6692" spans="20:22">
      <c r="T6692" s="146"/>
      <c r="V6692" s="147"/>
    </row>
    <row r="6693" spans="20:22">
      <c r="T6693" s="146"/>
      <c r="V6693" s="147"/>
    </row>
    <row r="6694" spans="20:22">
      <c r="T6694" s="146"/>
      <c r="V6694" s="147"/>
    </row>
    <row r="6695" spans="20:22">
      <c r="T6695" s="146"/>
      <c r="V6695" s="147"/>
    </row>
    <row r="6696" spans="20:22">
      <c r="T6696" s="146"/>
      <c r="V6696" s="147"/>
    </row>
    <row r="6697" spans="20:22">
      <c r="T6697" s="146"/>
      <c r="V6697" s="147"/>
    </row>
    <row r="6698" spans="20:22">
      <c r="T6698" s="146"/>
      <c r="V6698" s="147"/>
    </row>
    <row r="6699" spans="20:22">
      <c r="T6699" s="146"/>
      <c r="V6699" s="147"/>
    </row>
    <row r="6700" spans="20:22">
      <c r="T6700" s="146"/>
      <c r="V6700" s="147"/>
    </row>
    <row r="6701" spans="20:22">
      <c r="T6701" s="146"/>
      <c r="V6701" s="147"/>
    </row>
    <row r="6702" spans="20:22">
      <c r="T6702" s="146"/>
      <c r="V6702" s="147"/>
    </row>
    <row r="6703" spans="20:22">
      <c r="T6703" s="146"/>
      <c r="V6703" s="147"/>
    </row>
    <row r="6704" spans="20:22">
      <c r="T6704" s="146"/>
      <c r="V6704" s="147"/>
    </row>
    <row r="6705" spans="20:22">
      <c r="T6705" s="146"/>
      <c r="V6705" s="147"/>
    </row>
    <row r="6706" spans="20:22">
      <c r="T6706" s="146"/>
      <c r="V6706" s="147"/>
    </row>
    <row r="6707" spans="20:22">
      <c r="T6707" s="146"/>
      <c r="V6707" s="147"/>
    </row>
    <row r="6708" spans="20:22">
      <c r="T6708" s="146"/>
      <c r="V6708" s="147"/>
    </row>
    <row r="6709" spans="20:22">
      <c r="T6709" s="146"/>
      <c r="V6709" s="147"/>
    </row>
    <row r="6710" spans="20:22">
      <c r="T6710" s="146"/>
      <c r="V6710" s="147"/>
    </row>
    <row r="6711" spans="20:22">
      <c r="T6711" s="146"/>
      <c r="V6711" s="147"/>
    </row>
    <row r="6712" spans="20:22">
      <c r="T6712" s="146"/>
      <c r="V6712" s="147"/>
    </row>
    <row r="6713" spans="20:22">
      <c r="T6713" s="146"/>
      <c r="V6713" s="147"/>
    </row>
    <row r="6714" spans="20:22">
      <c r="T6714" s="146"/>
      <c r="V6714" s="147"/>
    </row>
    <row r="6715" spans="20:22">
      <c r="T6715" s="146"/>
      <c r="V6715" s="147"/>
    </row>
    <row r="6716" spans="20:22">
      <c r="T6716" s="146"/>
      <c r="V6716" s="147"/>
    </row>
    <row r="6717" spans="20:22">
      <c r="T6717" s="146"/>
      <c r="V6717" s="147"/>
    </row>
    <row r="6718" spans="20:22">
      <c r="T6718" s="146"/>
      <c r="V6718" s="147"/>
    </row>
    <row r="6719" spans="20:22">
      <c r="T6719" s="146"/>
      <c r="V6719" s="147"/>
    </row>
    <row r="6720" spans="20:22">
      <c r="T6720" s="146"/>
      <c r="V6720" s="147"/>
    </row>
    <row r="6721" spans="20:22">
      <c r="T6721" s="146"/>
      <c r="V6721" s="147"/>
    </row>
    <row r="6722" spans="20:22">
      <c r="T6722" s="146"/>
      <c r="V6722" s="147"/>
    </row>
    <row r="6723" spans="20:22">
      <c r="T6723" s="146"/>
      <c r="V6723" s="147"/>
    </row>
    <row r="6724" spans="20:22">
      <c r="T6724" s="146"/>
      <c r="V6724" s="147"/>
    </row>
    <row r="6725" spans="20:22">
      <c r="T6725" s="146"/>
      <c r="V6725" s="147"/>
    </row>
    <row r="6726" spans="20:22">
      <c r="T6726" s="146"/>
      <c r="V6726" s="147"/>
    </row>
    <row r="6727" spans="20:22">
      <c r="T6727" s="146"/>
      <c r="V6727" s="147"/>
    </row>
    <row r="6728" spans="20:22">
      <c r="T6728" s="146"/>
      <c r="V6728" s="147"/>
    </row>
    <row r="6729" spans="20:22">
      <c r="T6729" s="146"/>
      <c r="V6729" s="147"/>
    </row>
    <row r="6730" spans="20:22">
      <c r="T6730" s="146"/>
      <c r="V6730" s="147"/>
    </row>
    <row r="6731" spans="20:22">
      <c r="T6731" s="146"/>
      <c r="V6731" s="147"/>
    </row>
    <row r="6732" spans="20:22">
      <c r="T6732" s="146"/>
      <c r="V6732" s="147"/>
    </row>
    <row r="6733" spans="20:22">
      <c r="T6733" s="146"/>
      <c r="V6733" s="147"/>
    </row>
    <row r="6734" spans="20:22">
      <c r="T6734" s="146"/>
      <c r="V6734" s="147"/>
    </row>
    <row r="6735" spans="20:22">
      <c r="T6735" s="146"/>
      <c r="V6735" s="147"/>
    </row>
    <row r="6736" spans="20:22">
      <c r="T6736" s="146"/>
      <c r="V6736" s="147"/>
    </row>
    <row r="6737" spans="20:22">
      <c r="T6737" s="146"/>
      <c r="V6737" s="147"/>
    </row>
    <row r="6738" spans="20:22">
      <c r="T6738" s="146"/>
      <c r="V6738" s="147"/>
    </row>
    <row r="6739" spans="20:22">
      <c r="T6739" s="146"/>
      <c r="V6739" s="147"/>
    </row>
    <row r="6740" spans="20:22">
      <c r="T6740" s="146"/>
      <c r="V6740" s="147"/>
    </row>
    <row r="6741" spans="20:22">
      <c r="T6741" s="146"/>
      <c r="V6741" s="147"/>
    </row>
    <row r="6742" spans="20:22">
      <c r="T6742" s="146"/>
      <c r="V6742" s="147"/>
    </row>
    <row r="6743" spans="20:22">
      <c r="T6743" s="146"/>
      <c r="V6743" s="147"/>
    </row>
    <row r="6744" spans="20:22">
      <c r="T6744" s="146"/>
      <c r="V6744" s="147"/>
    </row>
    <row r="6745" spans="20:22">
      <c r="T6745" s="146"/>
      <c r="V6745" s="147"/>
    </row>
    <row r="6746" spans="20:22">
      <c r="T6746" s="146"/>
      <c r="V6746" s="147"/>
    </row>
    <row r="6747" spans="20:22">
      <c r="T6747" s="146"/>
      <c r="V6747" s="147"/>
    </row>
    <row r="6748" spans="20:22">
      <c r="T6748" s="146"/>
      <c r="V6748" s="147"/>
    </row>
    <row r="6749" spans="20:22">
      <c r="T6749" s="146"/>
      <c r="V6749" s="147"/>
    </row>
    <row r="6750" spans="20:22">
      <c r="T6750" s="146"/>
      <c r="V6750" s="147"/>
    </row>
    <row r="6751" spans="20:22">
      <c r="T6751" s="146"/>
      <c r="V6751" s="147"/>
    </row>
    <row r="6752" spans="20:22">
      <c r="T6752" s="146"/>
      <c r="V6752" s="147"/>
    </row>
    <row r="6753" spans="20:22">
      <c r="T6753" s="146"/>
      <c r="V6753" s="147"/>
    </row>
    <row r="6754" spans="20:22">
      <c r="T6754" s="146"/>
      <c r="V6754" s="147"/>
    </row>
    <row r="6755" spans="20:22">
      <c r="T6755" s="146"/>
      <c r="V6755" s="147"/>
    </row>
    <row r="6756" spans="20:22">
      <c r="T6756" s="146"/>
      <c r="V6756" s="147"/>
    </row>
    <row r="6757" spans="20:22">
      <c r="T6757" s="146"/>
      <c r="V6757" s="147"/>
    </row>
    <row r="6758" spans="20:22">
      <c r="T6758" s="146"/>
      <c r="V6758" s="147"/>
    </row>
    <row r="6759" spans="20:22">
      <c r="T6759" s="146"/>
      <c r="V6759" s="147"/>
    </row>
    <row r="6760" spans="20:22">
      <c r="T6760" s="146"/>
      <c r="V6760" s="147"/>
    </row>
    <row r="6761" spans="20:22">
      <c r="T6761" s="146"/>
      <c r="V6761" s="147"/>
    </row>
    <row r="6762" spans="20:22">
      <c r="T6762" s="146"/>
      <c r="V6762" s="147"/>
    </row>
    <row r="6763" spans="20:22">
      <c r="T6763" s="146"/>
      <c r="V6763" s="147"/>
    </row>
    <row r="6764" spans="20:22">
      <c r="T6764" s="146"/>
      <c r="V6764" s="147"/>
    </row>
    <row r="6765" spans="20:22">
      <c r="T6765" s="146"/>
      <c r="V6765" s="147"/>
    </row>
    <row r="6766" spans="20:22">
      <c r="T6766" s="146"/>
      <c r="V6766" s="147"/>
    </row>
    <row r="6767" spans="20:22">
      <c r="T6767" s="146"/>
      <c r="V6767" s="147"/>
    </row>
    <row r="6768" spans="20:22">
      <c r="T6768" s="146"/>
      <c r="V6768" s="147"/>
    </row>
    <row r="6769" spans="20:22">
      <c r="T6769" s="146"/>
      <c r="V6769" s="147"/>
    </row>
    <row r="6770" spans="20:22">
      <c r="T6770" s="146"/>
      <c r="V6770" s="147"/>
    </row>
    <row r="6771" spans="20:22">
      <c r="T6771" s="146"/>
      <c r="V6771" s="147"/>
    </row>
    <row r="6772" spans="20:22">
      <c r="T6772" s="146"/>
      <c r="V6772" s="147"/>
    </row>
    <row r="6773" spans="20:22">
      <c r="T6773" s="146"/>
      <c r="V6773" s="147"/>
    </row>
    <row r="6774" spans="20:22">
      <c r="T6774" s="146"/>
      <c r="V6774" s="147"/>
    </row>
    <row r="6775" spans="20:22">
      <c r="T6775" s="146"/>
      <c r="V6775" s="147"/>
    </row>
    <row r="6776" spans="20:22">
      <c r="T6776" s="146"/>
      <c r="V6776" s="147"/>
    </row>
    <row r="6777" spans="20:22">
      <c r="T6777" s="146"/>
      <c r="V6777" s="147"/>
    </row>
    <row r="6778" spans="20:22">
      <c r="T6778" s="146"/>
      <c r="V6778" s="147"/>
    </row>
    <row r="6779" spans="20:22">
      <c r="T6779" s="146"/>
      <c r="V6779" s="147"/>
    </row>
    <row r="6780" spans="20:22">
      <c r="T6780" s="146"/>
      <c r="V6780" s="147"/>
    </row>
    <row r="6781" spans="20:22">
      <c r="T6781" s="146"/>
      <c r="V6781" s="147"/>
    </row>
    <row r="6782" spans="20:22">
      <c r="T6782" s="146"/>
      <c r="V6782" s="147"/>
    </row>
    <row r="6783" spans="20:22">
      <c r="T6783" s="146"/>
      <c r="V6783" s="147"/>
    </row>
    <row r="6784" spans="20:22">
      <c r="T6784" s="146"/>
      <c r="V6784" s="147"/>
    </row>
    <row r="6785" spans="20:22">
      <c r="T6785" s="146"/>
      <c r="V6785" s="147"/>
    </row>
    <row r="6786" spans="20:22">
      <c r="T6786" s="146"/>
      <c r="V6786" s="147"/>
    </row>
    <row r="6787" spans="20:22">
      <c r="T6787" s="146"/>
      <c r="V6787" s="147"/>
    </row>
    <row r="6788" spans="20:22">
      <c r="T6788" s="146"/>
      <c r="V6788" s="147"/>
    </row>
    <row r="6789" spans="20:22">
      <c r="T6789" s="146"/>
      <c r="V6789" s="147"/>
    </row>
    <row r="6790" spans="20:22">
      <c r="T6790" s="146"/>
      <c r="V6790" s="147"/>
    </row>
    <row r="6791" spans="20:22">
      <c r="T6791" s="146"/>
      <c r="V6791" s="147"/>
    </row>
    <row r="6792" spans="20:22">
      <c r="T6792" s="146"/>
      <c r="V6792" s="147"/>
    </row>
    <row r="6793" spans="20:22">
      <c r="T6793" s="146"/>
      <c r="V6793" s="147"/>
    </row>
    <row r="6794" spans="20:22">
      <c r="T6794" s="146"/>
      <c r="V6794" s="147"/>
    </row>
    <row r="6795" spans="20:22">
      <c r="T6795" s="146"/>
      <c r="V6795" s="147"/>
    </row>
    <row r="6796" spans="20:22">
      <c r="T6796" s="146"/>
      <c r="V6796" s="147"/>
    </row>
    <row r="6797" spans="20:22">
      <c r="T6797" s="146"/>
      <c r="V6797" s="147"/>
    </row>
    <row r="6798" spans="20:22">
      <c r="T6798" s="146"/>
      <c r="V6798" s="147"/>
    </row>
    <row r="6799" spans="20:22">
      <c r="T6799" s="146"/>
      <c r="V6799" s="147"/>
    </row>
    <row r="6800" spans="20:22">
      <c r="T6800" s="146"/>
      <c r="V6800" s="147"/>
    </row>
    <row r="6801" spans="20:22">
      <c r="T6801" s="146"/>
      <c r="V6801" s="147"/>
    </row>
    <row r="6802" spans="20:22">
      <c r="T6802" s="146"/>
      <c r="V6802" s="147"/>
    </row>
    <row r="6803" spans="20:22">
      <c r="T6803" s="146"/>
      <c r="V6803" s="147"/>
    </row>
    <row r="6804" spans="20:22">
      <c r="T6804" s="146"/>
      <c r="V6804" s="147"/>
    </row>
    <row r="6805" spans="20:22">
      <c r="T6805" s="146"/>
      <c r="V6805" s="147"/>
    </row>
    <row r="6806" spans="20:22">
      <c r="T6806" s="146"/>
      <c r="V6806" s="147"/>
    </row>
    <row r="6807" spans="20:22">
      <c r="T6807" s="146"/>
      <c r="V6807" s="147"/>
    </row>
    <row r="6808" spans="20:22">
      <c r="T6808" s="146"/>
      <c r="V6808" s="147"/>
    </row>
    <row r="6809" spans="20:22">
      <c r="T6809" s="146"/>
      <c r="V6809" s="147"/>
    </row>
    <row r="6810" spans="20:22">
      <c r="T6810" s="146"/>
      <c r="V6810" s="147"/>
    </row>
    <row r="6811" spans="20:22">
      <c r="T6811" s="146"/>
      <c r="V6811" s="147"/>
    </row>
    <row r="6812" spans="20:22">
      <c r="T6812" s="146"/>
      <c r="V6812" s="147"/>
    </row>
    <row r="6813" spans="20:22">
      <c r="T6813" s="146"/>
      <c r="V6813" s="147"/>
    </row>
    <row r="6814" spans="20:22">
      <c r="T6814" s="146"/>
      <c r="V6814" s="147"/>
    </row>
    <row r="6815" spans="20:22">
      <c r="T6815" s="146"/>
      <c r="V6815" s="147"/>
    </row>
    <row r="6816" spans="20:22">
      <c r="T6816" s="146"/>
      <c r="V6816" s="147"/>
    </row>
    <row r="6817" spans="20:22">
      <c r="T6817" s="146"/>
      <c r="V6817" s="147"/>
    </row>
    <row r="6818" spans="20:22">
      <c r="T6818" s="146"/>
      <c r="V6818" s="147"/>
    </row>
    <row r="6819" spans="20:22">
      <c r="T6819" s="146"/>
      <c r="V6819" s="147"/>
    </row>
    <row r="6820" spans="20:22">
      <c r="T6820" s="146"/>
      <c r="V6820" s="147"/>
    </row>
    <row r="6821" spans="20:22">
      <c r="T6821" s="146"/>
      <c r="V6821" s="147"/>
    </row>
    <row r="6822" spans="20:22">
      <c r="T6822" s="146"/>
      <c r="V6822" s="147"/>
    </row>
    <row r="6823" spans="20:22">
      <c r="T6823" s="146"/>
      <c r="V6823" s="147"/>
    </row>
    <row r="6824" spans="20:22">
      <c r="T6824" s="146"/>
      <c r="V6824" s="147"/>
    </row>
    <row r="6825" spans="20:22">
      <c r="T6825" s="146"/>
      <c r="V6825" s="147"/>
    </row>
    <row r="6826" spans="20:22">
      <c r="T6826" s="146"/>
      <c r="V6826" s="147"/>
    </row>
    <row r="6827" spans="20:22">
      <c r="T6827" s="146"/>
      <c r="V6827" s="147"/>
    </row>
    <row r="6828" spans="20:22">
      <c r="T6828" s="146"/>
      <c r="V6828" s="147"/>
    </row>
    <row r="6829" spans="20:22">
      <c r="T6829" s="146"/>
      <c r="V6829" s="147"/>
    </row>
    <row r="6830" spans="20:22">
      <c r="T6830" s="146"/>
      <c r="V6830" s="147"/>
    </row>
    <row r="6831" spans="20:22">
      <c r="T6831" s="146"/>
      <c r="V6831" s="147"/>
    </row>
    <row r="6832" spans="20:22">
      <c r="T6832" s="146"/>
      <c r="V6832" s="147"/>
    </row>
    <row r="6833" spans="20:22">
      <c r="T6833" s="146"/>
      <c r="V6833" s="147"/>
    </row>
    <row r="6834" spans="20:22">
      <c r="T6834" s="146"/>
      <c r="V6834" s="147"/>
    </row>
    <row r="6835" spans="20:22">
      <c r="T6835" s="146"/>
      <c r="V6835" s="147"/>
    </row>
    <row r="6836" spans="20:22">
      <c r="T6836" s="146"/>
      <c r="V6836" s="147"/>
    </row>
    <row r="6837" spans="20:22">
      <c r="T6837" s="146"/>
      <c r="V6837" s="147"/>
    </row>
    <row r="6838" spans="20:22">
      <c r="T6838" s="146"/>
      <c r="V6838" s="147"/>
    </row>
    <row r="6839" spans="20:22">
      <c r="T6839" s="146"/>
      <c r="V6839" s="147"/>
    </row>
    <row r="6840" spans="20:22">
      <c r="T6840" s="146"/>
      <c r="V6840" s="147"/>
    </row>
    <row r="6841" spans="20:22">
      <c r="T6841" s="146"/>
      <c r="V6841" s="147"/>
    </row>
    <row r="6842" spans="20:22">
      <c r="T6842" s="146"/>
      <c r="V6842" s="147"/>
    </row>
    <row r="6843" spans="20:22">
      <c r="T6843" s="146"/>
      <c r="V6843" s="147"/>
    </row>
    <row r="6844" spans="20:22">
      <c r="T6844" s="146"/>
      <c r="V6844" s="147"/>
    </row>
    <row r="6845" spans="20:22">
      <c r="T6845" s="146"/>
      <c r="V6845" s="147"/>
    </row>
    <row r="6846" spans="20:22">
      <c r="T6846" s="146"/>
      <c r="V6846" s="147"/>
    </row>
    <row r="6847" spans="20:22">
      <c r="T6847" s="146"/>
      <c r="V6847" s="147"/>
    </row>
    <row r="6848" spans="20:22">
      <c r="T6848" s="146"/>
      <c r="V6848" s="147"/>
    </row>
    <row r="6849" spans="20:22">
      <c r="T6849" s="146"/>
      <c r="V6849" s="147"/>
    </row>
    <row r="6850" spans="20:22">
      <c r="T6850" s="146"/>
      <c r="V6850" s="147"/>
    </row>
    <row r="6851" spans="20:22">
      <c r="T6851" s="146"/>
      <c r="V6851" s="147"/>
    </row>
    <row r="6852" spans="20:22">
      <c r="T6852" s="146"/>
      <c r="V6852" s="147"/>
    </row>
    <row r="6853" spans="20:22">
      <c r="T6853" s="146"/>
      <c r="V6853" s="147"/>
    </row>
    <row r="6854" spans="20:22">
      <c r="T6854" s="146"/>
      <c r="V6854" s="147"/>
    </row>
    <row r="6855" spans="20:22">
      <c r="T6855" s="146"/>
      <c r="V6855" s="147"/>
    </row>
    <row r="6856" spans="20:22">
      <c r="T6856" s="146"/>
      <c r="V6856" s="147"/>
    </row>
    <row r="6857" spans="20:22">
      <c r="T6857" s="146"/>
      <c r="V6857" s="147"/>
    </row>
    <row r="6858" spans="20:22">
      <c r="T6858" s="146"/>
      <c r="V6858" s="147"/>
    </row>
    <row r="6859" spans="20:22">
      <c r="T6859" s="146"/>
      <c r="V6859" s="147"/>
    </row>
    <row r="6860" spans="20:22">
      <c r="T6860" s="146"/>
      <c r="V6860" s="147"/>
    </row>
    <row r="6861" spans="20:22">
      <c r="T6861" s="146"/>
      <c r="V6861" s="147"/>
    </row>
    <row r="6862" spans="20:22">
      <c r="T6862" s="146"/>
      <c r="V6862" s="147"/>
    </row>
    <row r="6863" spans="20:22">
      <c r="T6863" s="146"/>
      <c r="V6863" s="147"/>
    </row>
    <row r="6864" spans="20:22">
      <c r="T6864" s="146"/>
      <c r="V6864" s="147"/>
    </row>
    <row r="6865" spans="20:22">
      <c r="T6865" s="146"/>
      <c r="V6865" s="147"/>
    </row>
    <row r="6866" spans="20:22">
      <c r="T6866" s="146"/>
      <c r="V6866" s="147"/>
    </row>
    <row r="6867" spans="20:22">
      <c r="T6867" s="146"/>
      <c r="V6867" s="147"/>
    </row>
    <row r="6868" spans="20:22">
      <c r="T6868" s="146"/>
      <c r="V6868" s="147"/>
    </row>
    <row r="6869" spans="20:22">
      <c r="T6869" s="146"/>
      <c r="V6869" s="147"/>
    </row>
    <row r="6870" spans="20:22">
      <c r="T6870" s="146"/>
      <c r="V6870" s="147"/>
    </row>
    <row r="6871" spans="20:22">
      <c r="T6871" s="146"/>
      <c r="V6871" s="147"/>
    </row>
    <row r="6872" spans="20:22">
      <c r="T6872" s="146"/>
      <c r="V6872" s="147"/>
    </row>
    <row r="6873" spans="20:22">
      <c r="T6873" s="146"/>
      <c r="V6873" s="147"/>
    </row>
    <row r="6874" spans="20:22">
      <c r="T6874" s="146"/>
      <c r="V6874" s="147"/>
    </row>
    <row r="6875" spans="20:22">
      <c r="T6875" s="146"/>
      <c r="V6875" s="147"/>
    </row>
    <row r="6876" spans="20:22">
      <c r="T6876" s="146"/>
      <c r="V6876" s="147"/>
    </row>
    <row r="6877" spans="20:22">
      <c r="T6877" s="146"/>
      <c r="V6877" s="147"/>
    </row>
    <row r="6878" spans="20:22">
      <c r="T6878" s="146"/>
      <c r="V6878" s="147"/>
    </row>
    <row r="6879" spans="20:22">
      <c r="T6879" s="146"/>
      <c r="V6879" s="147"/>
    </row>
    <row r="6880" spans="20:22">
      <c r="T6880" s="146"/>
      <c r="V6880" s="147"/>
    </row>
    <row r="6881" spans="20:22">
      <c r="T6881" s="146"/>
      <c r="V6881" s="147"/>
    </row>
    <row r="6882" spans="20:22">
      <c r="T6882" s="146"/>
      <c r="V6882" s="147"/>
    </row>
    <row r="6883" spans="20:22">
      <c r="T6883" s="146"/>
      <c r="V6883" s="147"/>
    </row>
    <row r="6884" spans="20:22">
      <c r="T6884" s="146"/>
      <c r="V6884" s="147"/>
    </row>
    <row r="6885" spans="20:22">
      <c r="T6885" s="146"/>
      <c r="V6885" s="147"/>
    </row>
    <row r="6886" spans="20:22">
      <c r="T6886" s="146"/>
      <c r="V6886" s="147"/>
    </row>
    <row r="6887" spans="20:22">
      <c r="T6887" s="146"/>
      <c r="V6887" s="147"/>
    </row>
    <row r="6888" spans="20:22">
      <c r="T6888" s="146"/>
      <c r="V6888" s="147"/>
    </row>
    <row r="6889" spans="20:22">
      <c r="T6889" s="146"/>
      <c r="V6889" s="147"/>
    </row>
    <row r="6890" spans="20:22">
      <c r="T6890" s="146"/>
      <c r="V6890" s="147"/>
    </row>
    <row r="6891" spans="20:22">
      <c r="T6891" s="146"/>
      <c r="V6891" s="147"/>
    </row>
    <row r="6892" spans="20:22">
      <c r="T6892" s="146"/>
      <c r="V6892" s="147"/>
    </row>
    <row r="6893" spans="20:22">
      <c r="T6893" s="146"/>
      <c r="V6893" s="147"/>
    </row>
    <row r="6894" spans="20:22">
      <c r="T6894" s="146"/>
      <c r="V6894" s="147"/>
    </row>
    <row r="6895" spans="20:22">
      <c r="T6895" s="146"/>
      <c r="V6895" s="147"/>
    </row>
    <row r="6896" spans="20:22">
      <c r="T6896" s="146"/>
      <c r="V6896" s="147"/>
    </row>
    <row r="6897" spans="20:22">
      <c r="T6897" s="146"/>
      <c r="V6897" s="147"/>
    </row>
    <row r="6898" spans="20:22">
      <c r="T6898" s="146"/>
      <c r="V6898" s="147"/>
    </row>
    <row r="6899" spans="20:22">
      <c r="T6899" s="146"/>
      <c r="V6899" s="147"/>
    </row>
    <row r="6900" spans="20:22">
      <c r="T6900" s="146"/>
      <c r="V6900" s="147"/>
    </row>
    <row r="6901" spans="20:22">
      <c r="T6901" s="146"/>
      <c r="V6901" s="147"/>
    </row>
    <row r="6902" spans="20:22">
      <c r="T6902" s="146"/>
      <c r="V6902" s="147"/>
    </row>
    <row r="6903" spans="20:22">
      <c r="T6903" s="146"/>
      <c r="V6903" s="147"/>
    </row>
    <row r="6904" spans="20:22">
      <c r="T6904" s="146"/>
      <c r="V6904" s="147"/>
    </row>
    <row r="6905" spans="20:22">
      <c r="T6905" s="146"/>
      <c r="V6905" s="147"/>
    </row>
    <row r="6906" spans="20:22">
      <c r="T6906" s="146"/>
      <c r="V6906" s="147"/>
    </row>
    <row r="6907" spans="20:22">
      <c r="T6907" s="146"/>
      <c r="V6907" s="147"/>
    </row>
    <row r="6908" spans="20:22">
      <c r="T6908" s="146"/>
      <c r="V6908" s="147"/>
    </row>
    <row r="6909" spans="20:22">
      <c r="T6909" s="146"/>
      <c r="V6909" s="147"/>
    </row>
    <row r="6910" spans="20:22">
      <c r="T6910" s="146"/>
      <c r="V6910" s="147"/>
    </row>
    <row r="6911" spans="20:22">
      <c r="T6911" s="146"/>
      <c r="V6911" s="147"/>
    </row>
    <row r="6912" spans="20:22">
      <c r="T6912" s="146"/>
      <c r="V6912" s="147"/>
    </row>
    <row r="6913" spans="20:22">
      <c r="T6913" s="146"/>
      <c r="V6913" s="147"/>
    </row>
    <row r="6914" spans="20:22">
      <c r="T6914" s="146"/>
      <c r="V6914" s="147"/>
    </row>
    <row r="6915" spans="20:22">
      <c r="T6915" s="146"/>
      <c r="V6915" s="147"/>
    </row>
    <row r="6916" spans="20:22">
      <c r="T6916" s="146"/>
      <c r="V6916" s="147"/>
    </row>
    <row r="6917" spans="20:22">
      <c r="T6917" s="146"/>
      <c r="V6917" s="147"/>
    </row>
    <row r="6918" spans="20:22">
      <c r="T6918" s="146"/>
      <c r="V6918" s="147"/>
    </row>
    <row r="6919" spans="20:22">
      <c r="T6919" s="146"/>
      <c r="V6919" s="147"/>
    </row>
    <row r="6920" spans="20:22">
      <c r="T6920" s="146"/>
      <c r="V6920" s="147"/>
    </row>
    <row r="6921" spans="20:22">
      <c r="T6921" s="146"/>
      <c r="V6921" s="147"/>
    </row>
    <row r="6922" spans="20:22">
      <c r="T6922" s="146"/>
      <c r="V6922" s="147"/>
    </row>
    <row r="6923" spans="20:22">
      <c r="T6923" s="146"/>
      <c r="V6923" s="147"/>
    </row>
    <row r="6924" spans="20:22">
      <c r="T6924" s="146"/>
      <c r="V6924" s="147"/>
    </row>
    <row r="6925" spans="20:22">
      <c r="T6925" s="146"/>
      <c r="V6925" s="147"/>
    </row>
    <row r="6926" spans="20:22">
      <c r="T6926" s="146"/>
      <c r="V6926" s="147"/>
    </row>
    <row r="6927" spans="20:22">
      <c r="T6927" s="146"/>
      <c r="V6927" s="147"/>
    </row>
    <row r="6928" spans="20:22">
      <c r="T6928" s="146"/>
      <c r="V6928" s="147"/>
    </row>
    <row r="6929" spans="20:22">
      <c r="T6929" s="146"/>
      <c r="V6929" s="147"/>
    </row>
    <row r="6930" spans="20:22">
      <c r="T6930" s="146"/>
      <c r="V6930" s="147"/>
    </row>
    <row r="6931" spans="20:22">
      <c r="T6931" s="146"/>
      <c r="V6931" s="147"/>
    </row>
    <row r="6932" spans="20:22">
      <c r="T6932" s="146"/>
      <c r="V6932" s="147"/>
    </row>
    <row r="6933" spans="20:22">
      <c r="T6933" s="146"/>
      <c r="V6933" s="147"/>
    </row>
    <row r="6934" spans="20:22">
      <c r="T6934" s="146"/>
      <c r="V6934" s="147"/>
    </row>
    <row r="6935" spans="20:22">
      <c r="T6935" s="146"/>
      <c r="V6935" s="147"/>
    </row>
    <row r="6936" spans="20:22">
      <c r="T6936" s="146"/>
      <c r="V6936" s="147"/>
    </row>
    <row r="6937" spans="20:22">
      <c r="T6937" s="146"/>
      <c r="V6937" s="147"/>
    </row>
    <row r="6938" spans="20:22">
      <c r="T6938" s="146"/>
      <c r="V6938" s="147"/>
    </row>
    <row r="6939" spans="20:22">
      <c r="T6939" s="146"/>
      <c r="V6939" s="147"/>
    </row>
    <row r="6940" spans="20:22">
      <c r="T6940" s="146"/>
      <c r="V6940" s="147"/>
    </row>
    <row r="6941" spans="20:22">
      <c r="T6941" s="146"/>
      <c r="V6941" s="147"/>
    </row>
    <row r="6942" spans="20:22">
      <c r="T6942" s="146"/>
      <c r="V6942" s="147"/>
    </row>
    <row r="6943" spans="20:22">
      <c r="T6943" s="146"/>
      <c r="V6943" s="147"/>
    </row>
    <row r="6944" spans="20:22">
      <c r="T6944" s="146"/>
      <c r="V6944" s="147"/>
    </row>
    <row r="6945" spans="20:22">
      <c r="T6945" s="146"/>
      <c r="V6945" s="147"/>
    </row>
    <row r="6946" spans="20:22">
      <c r="T6946" s="146"/>
      <c r="V6946" s="147"/>
    </row>
    <row r="6947" spans="20:22">
      <c r="T6947" s="146"/>
      <c r="V6947" s="147"/>
    </row>
    <row r="6948" spans="20:22">
      <c r="T6948" s="146"/>
      <c r="V6948" s="147"/>
    </row>
    <row r="6949" spans="20:22">
      <c r="T6949" s="146"/>
      <c r="V6949" s="147"/>
    </row>
    <row r="6950" spans="20:22">
      <c r="T6950" s="146"/>
      <c r="V6950" s="147"/>
    </row>
    <row r="6951" spans="20:22">
      <c r="T6951" s="146"/>
      <c r="V6951" s="147"/>
    </row>
    <row r="6952" spans="20:22">
      <c r="T6952" s="146"/>
      <c r="V6952" s="147"/>
    </row>
    <row r="6953" spans="20:22">
      <c r="T6953" s="146"/>
      <c r="V6953" s="147"/>
    </row>
    <row r="6954" spans="20:22">
      <c r="T6954" s="146"/>
      <c r="V6954" s="147"/>
    </row>
    <row r="6955" spans="20:22">
      <c r="T6955" s="146"/>
      <c r="V6955" s="147"/>
    </row>
    <row r="6956" spans="20:22">
      <c r="T6956" s="146"/>
      <c r="V6956" s="147"/>
    </row>
    <row r="6957" spans="20:22">
      <c r="T6957" s="146"/>
      <c r="V6957" s="147"/>
    </row>
    <row r="6958" spans="20:22">
      <c r="T6958" s="146"/>
      <c r="V6958" s="147"/>
    </row>
    <row r="6959" spans="20:22">
      <c r="T6959" s="146"/>
      <c r="V6959" s="147"/>
    </row>
    <row r="6960" spans="20:22">
      <c r="T6960" s="146"/>
      <c r="V6960" s="147"/>
    </row>
    <row r="6961" spans="20:22">
      <c r="T6961" s="146"/>
      <c r="V6961" s="147"/>
    </row>
    <row r="6962" spans="20:22">
      <c r="T6962" s="146"/>
      <c r="V6962" s="147"/>
    </row>
    <row r="6963" spans="20:22">
      <c r="T6963" s="146"/>
      <c r="V6963" s="147"/>
    </row>
    <row r="6964" spans="20:22">
      <c r="T6964" s="146"/>
      <c r="V6964" s="147"/>
    </row>
    <row r="6965" spans="20:22">
      <c r="T6965" s="146"/>
      <c r="V6965" s="147"/>
    </row>
    <row r="6966" spans="20:22">
      <c r="T6966" s="146"/>
      <c r="V6966" s="147"/>
    </row>
    <row r="6967" spans="20:22">
      <c r="T6967" s="146"/>
      <c r="V6967" s="147"/>
    </row>
    <row r="6968" spans="20:22">
      <c r="T6968" s="146"/>
      <c r="V6968" s="147"/>
    </row>
    <row r="6969" spans="20:22">
      <c r="T6969" s="146"/>
      <c r="V6969" s="147"/>
    </row>
    <row r="6970" spans="20:22">
      <c r="T6970" s="146"/>
      <c r="V6970" s="147"/>
    </row>
    <row r="6971" spans="20:22">
      <c r="T6971" s="146"/>
      <c r="V6971" s="147"/>
    </row>
    <row r="6972" spans="20:22">
      <c r="T6972" s="146"/>
      <c r="V6972" s="147"/>
    </row>
    <row r="6973" spans="20:22">
      <c r="T6973" s="146"/>
      <c r="V6973" s="147"/>
    </row>
    <row r="6974" spans="20:22">
      <c r="T6974" s="146"/>
      <c r="V6974" s="147"/>
    </row>
    <row r="6975" spans="20:22">
      <c r="T6975" s="146"/>
      <c r="V6975" s="147"/>
    </row>
    <row r="6976" spans="20:22">
      <c r="T6976" s="146"/>
      <c r="V6976" s="147"/>
    </row>
    <row r="6977" spans="20:22">
      <c r="T6977" s="146"/>
      <c r="V6977" s="147"/>
    </row>
    <row r="6978" spans="20:22">
      <c r="T6978" s="146"/>
      <c r="V6978" s="147"/>
    </row>
    <row r="6979" spans="20:22">
      <c r="T6979" s="146"/>
      <c r="V6979" s="147"/>
    </row>
    <row r="6980" spans="20:22">
      <c r="T6980" s="146"/>
      <c r="V6980" s="147"/>
    </row>
    <row r="6981" spans="20:22">
      <c r="T6981" s="146"/>
      <c r="V6981" s="147"/>
    </row>
    <row r="6982" spans="20:22">
      <c r="T6982" s="146"/>
      <c r="V6982" s="147"/>
    </row>
    <row r="6983" spans="20:22">
      <c r="T6983" s="146"/>
      <c r="V6983" s="147"/>
    </row>
    <row r="6984" spans="20:22">
      <c r="T6984" s="146"/>
      <c r="V6984" s="147"/>
    </row>
    <row r="6985" spans="20:22">
      <c r="T6985" s="146"/>
      <c r="V6985" s="147"/>
    </row>
    <row r="6986" spans="20:22">
      <c r="T6986" s="146"/>
      <c r="V6986" s="147"/>
    </row>
    <row r="6987" spans="20:22">
      <c r="T6987" s="146"/>
      <c r="V6987" s="147"/>
    </row>
    <row r="6988" spans="20:22">
      <c r="T6988" s="146"/>
      <c r="V6988" s="147"/>
    </row>
    <row r="6989" spans="20:22">
      <c r="T6989" s="146"/>
      <c r="V6989" s="147"/>
    </row>
    <row r="6990" spans="20:22">
      <c r="T6990" s="146"/>
      <c r="V6990" s="147"/>
    </row>
    <row r="6991" spans="20:22">
      <c r="T6991" s="146"/>
      <c r="V6991" s="147"/>
    </row>
    <row r="6992" spans="20:22">
      <c r="T6992" s="146"/>
      <c r="V6992" s="147"/>
    </row>
    <row r="6993" spans="20:22">
      <c r="T6993" s="146"/>
      <c r="V6993" s="147"/>
    </row>
    <row r="6994" spans="20:22">
      <c r="T6994" s="146"/>
      <c r="V6994" s="147"/>
    </row>
    <row r="6995" spans="20:22">
      <c r="T6995" s="146"/>
      <c r="V6995" s="147"/>
    </row>
    <row r="6996" spans="20:22">
      <c r="T6996" s="146"/>
      <c r="V6996" s="147"/>
    </row>
    <row r="6997" spans="20:22">
      <c r="T6997" s="146"/>
      <c r="V6997" s="147"/>
    </row>
    <row r="6998" spans="20:22">
      <c r="T6998" s="146"/>
      <c r="V6998" s="147"/>
    </row>
    <row r="6999" spans="20:22">
      <c r="T6999" s="146"/>
      <c r="V6999" s="147"/>
    </row>
    <row r="7000" spans="20:22">
      <c r="T7000" s="146"/>
      <c r="V7000" s="147"/>
    </row>
    <row r="7001" spans="20:22">
      <c r="T7001" s="146"/>
      <c r="V7001" s="147"/>
    </row>
    <row r="7002" spans="20:22">
      <c r="T7002" s="146"/>
      <c r="V7002" s="147"/>
    </row>
    <row r="7003" spans="20:22">
      <c r="T7003" s="146"/>
      <c r="V7003" s="147"/>
    </row>
    <row r="7004" spans="20:22">
      <c r="T7004" s="146"/>
      <c r="V7004" s="147"/>
    </row>
    <row r="7005" spans="20:22">
      <c r="T7005" s="146"/>
      <c r="V7005" s="147"/>
    </row>
    <row r="7006" spans="20:22">
      <c r="T7006" s="146"/>
      <c r="V7006" s="147"/>
    </row>
    <row r="7007" spans="20:22">
      <c r="T7007" s="146"/>
      <c r="V7007" s="147"/>
    </row>
    <row r="7008" spans="20:22">
      <c r="T7008" s="146"/>
      <c r="V7008" s="147"/>
    </row>
    <row r="7009" spans="20:22">
      <c r="T7009" s="146"/>
      <c r="V7009" s="147"/>
    </row>
    <row r="7010" spans="20:22">
      <c r="T7010" s="146"/>
      <c r="V7010" s="147"/>
    </row>
    <row r="7011" spans="20:22">
      <c r="T7011" s="146"/>
      <c r="V7011" s="147"/>
    </row>
    <row r="7012" spans="20:22">
      <c r="T7012" s="146"/>
      <c r="V7012" s="147"/>
    </row>
    <row r="7013" spans="20:22">
      <c r="T7013" s="146"/>
      <c r="V7013" s="147"/>
    </row>
    <row r="7014" spans="20:22">
      <c r="T7014" s="146"/>
      <c r="V7014" s="147"/>
    </row>
    <row r="7015" spans="20:22">
      <c r="T7015" s="146"/>
      <c r="V7015" s="147"/>
    </row>
    <row r="7016" spans="20:22">
      <c r="T7016" s="146"/>
      <c r="V7016" s="147"/>
    </row>
    <row r="7017" spans="20:22">
      <c r="T7017" s="146"/>
      <c r="V7017" s="147"/>
    </row>
    <row r="7018" spans="20:22">
      <c r="T7018" s="146"/>
      <c r="V7018" s="147"/>
    </row>
    <row r="7019" spans="20:22">
      <c r="T7019" s="146"/>
      <c r="V7019" s="147"/>
    </row>
    <row r="7020" spans="20:22">
      <c r="T7020" s="146"/>
      <c r="V7020" s="147"/>
    </row>
    <row r="7021" spans="20:22">
      <c r="T7021" s="146"/>
      <c r="V7021" s="147"/>
    </row>
    <row r="7022" spans="20:22">
      <c r="T7022" s="146"/>
      <c r="V7022" s="147"/>
    </row>
    <row r="7023" spans="20:22">
      <c r="T7023" s="146"/>
      <c r="V7023" s="147"/>
    </row>
    <row r="7024" spans="20:22">
      <c r="T7024" s="146"/>
      <c r="V7024" s="147"/>
    </row>
    <row r="7025" spans="20:22">
      <c r="T7025" s="146"/>
      <c r="V7025" s="147"/>
    </row>
    <row r="7026" spans="20:22">
      <c r="T7026" s="146"/>
      <c r="V7026" s="147"/>
    </row>
    <row r="7027" spans="20:22">
      <c r="T7027" s="146"/>
      <c r="V7027" s="147"/>
    </row>
    <row r="7028" spans="20:22">
      <c r="T7028" s="146"/>
      <c r="V7028" s="147"/>
    </row>
    <row r="7029" spans="20:22">
      <c r="T7029" s="146"/>
      <c r="V7029" s="147"/>
    </row>
    <row r="7030" spans="20:22">
      <c r="T7030" s="146"/>
      <c r="V7030" s="147"/>
    </row>
    <row r="7031" spans="20:22">
      <c r="T7031" s="146"/>
      <c r="V7031" s="147"/>
    </row>
    <row r="7032" spans="20:22">
      <c r="T7032" s="146"/>
      <c r="V7032" s="147"/>
    </row>
    <row r="7033" spans="20:22">
      <c r="T7033" s="146"/>
      <c r="V7033" s="147"/>
    </row>
    <row r="7034" spans="20:22">
      <c r="T7034" s="146"/>
      <c r="V7034" s="147"/>
    </row>
    <row r="7035" spans="20:22">
      <c r="T7035" s="146"/>
      <c r="V7035" s="147"/>
    </row>
    <row r="7036" spans="20:22">
      <c r="T7036" s="146"/>
      <c r="V7036" s="147"/>
    </row>
    <row r="7037" spans="20:22">
      <c r="T7037" s="146"/>
      <c r="V7037" s="147"/>
    </row>
    <row r="7038" spans="20:22">
      <c r="T7038" s="146"/>
      <c r="V7038" s="147"/>
    </row>
    <row r="7039" spans="20:22">
      <c r="T7039" s="146"/>
      <c r="V7039" s="147"/>
    </row>
    <row r="7040" spans="20:22">
      <c r="T7040" s="146"/>
      <c r="V7040" s="147"/>
    </row>
    <row r="7041" spans="20:22">
      <c r="T7041" s="146"/>
      <c r="V7041" s="147"/>
    </row>
    <row r="7042" spans="20:22">
      <c r="T7042" s="146"/>
      <c r="V7042" s="147"/>
    </row>
    <row r="7043" spans="20:22">
      <c r="T7043" s="146"/>
      <c r="V7043" s="147"/>
    </row>
    <row r="7044" spans="20:22">
      <c r="T7044" s="146"/>
      <c r="V7044" s="147"/>
    </row>
    <row r="7045" spans="20:22">
      <c r="T7045" s="146"/>
      <c r="V7045" s="147"/>
    </row>
    <row r="7046" spans="20:22">
      <c r="T7046" s="146"/>
      <c r="V7046" s="147"/>
    </row>
    <row r="7047" spans="20:22">
      <c r="T7047" s="146"/>
      <c r="V7047" s="147"/>
    </row>
    <row r="7048" spans="20:22">
      <c r="T7048" s="146"/>
      <c r="V7048" s="147"/>
    </row>
    <row r="7049" spans="20:22">
      <c r="T7049" s="146"/>
      <c r="V7049" s="147"/>
    </row>
    <row r="7050" spans="20:22">
      <c r="T7050" s="146"/>
      <c r="V7050" s="147"/>
    </row>
    <row r="7051" spans="20:22">
      <c r="T7051" s="146"/>
      <c r="V7051" s="147"/>
    </row>
    <row r="7052" spans="20:22">
      <c r="T7052" s="146"/>
      <c r="V7052" s="147"/>
    </row>
    <row r="7053" spans="20:22">
      <c r="T7053" s="146"/>
      <c r="V7053" s="147"/>
    </row>
    <row r="7054" spans="20:22">
      <c r="T7054" s="146"/>
      <c r="V7054" s="147"/>
    </row>
    <row r="7055" spans="20:22">
      <c r="T7055" s="146"/>
      <c r="V7055" s="147"/>
    </row>
    <row r="7056" spans="20:22">
      <c r="T7056" s="146"/>
      <c r="V7056" s="147"/>
    </row>
    <row r="7057" spans="20:22">
      <c r="T7057" s="146"/>
      <c r="V7057" s="147"/>
    </row>
    <row r="7058" spans="20:22">
      <c r="T7058" s="146"/>
      <c r="V7058" s="147"/>
    </row>
    <row r="7059" spans="20:22">
      <c r="T7059" s="146"/>
      <c r="V7059" s="147"/>
    </row>
    <row r="7060" spans="20:22">
      <c r="T7060" s="146"/>
      <c r="V7060" s="147"/>
    </row>
    <row r="7061" spans="20:22">
      <c r="T7061" s="146"/>
      <c r="V7061" s="147"/>
    </row>
    <row r="7062" spans="20:22">
      <c r="T7062" s="146"/>
      <c r="V7062" s="147"/>
    </row>
    <row r="7063" spans="20:22">
      <c r="T7063" s="146"/>
      <c r="V7063" s="147"/>
    </row>
    <row r="7064" spans="20:22">
      <c r="T7064" s="146"/>
      <c r="V7064" s="147"/>
    </row>
    <row r="7065" spans="20:22">
      <c r="T7065" s="146"/>
      <c r="V7065" s="147"/>
    </row>
    <row r="7066" spans="20:22">
      <c r="T7066" s="146"/>
      <c r="V7066" s="147"/>
    </row>
    <row r="7067" spans="20:22">
      <c r="T7067" s="146"/>
      <c r="V7067" s="147"/>
    </row>
    <row r="7068" spans="20:22">
      <c r="T7068" s="146"/>
      <c r="V7068" s="147"/>
    </row>
    <row r="7069" spans="20:22">
      <c r="T7069" s="146"/>
      <c r="V7069" s="147"/>
    </row>
    <row r="7070" spans="20:22">
      <c r="T7070" s="146"/>
      <c r="V7070" s="147"/>
    </row>
    <row r="7071" spans="20:22">
      <c r="T7071" s="146"/>
      <c r="V7071" s="147"/>
    </row>
    <row r="7072" spans="20:22">
      <c r="T7072" s="146"/>
      <c r="V7072" s="147"/>
    </row>
    <row r="7073" spans="20:22">
      <c r="T7073" s="146"/>
      <c r="V7073" s="147"/>
    </row>
    <row r="7074" spans="20:22">
      <c r="T7074" s="146"/>
      <c r="V7074" s="147"/>
    </row>
    <row r="7075" spans="20:22">
      <c r="T7075" s="146"/>
      <c r="V7075" s="147"/>
    </row>
    <row r="7076" spans="20:22">
      <c r="T7076" s="146"/>
      <c r="V7076" s="147"/>
    </row>
    <row r="7077" spans="20:22">
      <c r="T7077" s="146"/>
      <c r="V7077" s="147"/>
    </row>
    <row r="7078" spans="20:22">
      <c r="T7078" s="146"/>
      <c r="V7078" s="147"/>
    </row>
    <row r="7079" spans="20:22">
      <c r="T7079" s="146"/>
      <c r="V7079" s="147"/>
    </row>
    <row r="7080" spans="20:22">
      <c r="T7080" s="146"/>
      <c r="V7080" s="147"/>
    </row>
    <row r="7081" spans="20:22">
      <c r="T7081" s="146"/>
      <c r="V7081" s="147"/>
    </row>
    <row r="7082" spans="20:22">
      <c r="T7082" s="146"/>
      <c r="V7082" s="147"/>
    </row>
    <row r="7083" spans="20:22">
      <c r="T7083" s="146"/>
      <c r="V7083" s="147"/>
    </row>
    <row r="7084" spans="20:22">
      <c r="T7084" s="146"/>
      <c r="V7084" s="147"/>
    </row>
    <row r="7085" spans="20:22">
      <c r="T7085" s="146"/>
      <c r="V7085" s="147"/>
    </row>
    <row r="7086" spans="20:22">
      <c r="T7086" s="146"/>
      <c r="V7086" s="147"/>
    </row>
    <row r="7087" spans="20:22">
      <c r="T7087" s="146"/>
      <c r="V7087" s="147"/>
    </row>
    <row r="7088" spans="20:22">
      <c r="T7088" s="146"/>
      <c r="V7088" s="147"/>
    </row>
    <row r="7089" spans="20:22">
      <c r="T7089" s="146"/>
      <c r="V7089" s="147"/>
    </row>
    <row r="7090" spans="20:22">
      <c r="T7090" s="146"/>
      <c r="V7090" s="147"/>
    </row>
    <row r="7091" spans="20:22">
      <c r="T7091" s="146"/>
      <c r="V7091" s="147"/>
    </row>
    <row r="7092" spans="20:22">
      <c r="T7092" s="146"/>
      <c r="V7092" s="147"/>
    </row>
    <row r="7093" spans="20:22">
      <c r="T7093" s="146"/>
      <c r="V7093" s="147"/>
    </row>
    <row r="7094" spans="20:22">
      <c r="T7094" s="146"/>
      <c r="V7094" s="147"/>
    </row>
    <row r="7095" spans="20:22">
      <c r="T7095" s="146"/>
      <c r="V7095" s="147"/>
    </row>
    <row r="7096" spans="20:22">
      <c r="T7096" s="146"/>
      <c r="V7096" s="147"/>
    </row>
    <row r="7097" spans="20:22">
      <c r="T7097" s="146"/>
      <c r="V7097" s="147"/>
    </row>
    <row r="7098" spans="20:22">
      <c r="T7098" s="146"/>
      <c r="V7098" s="147"/>
    </row>
    <row r="7099" spans="20:22">
      <c r="T7099" s="146"/>
      <c r="V7099" s="147"/>
    </row>
    <row r="7100" spans="20:22">
      <c r="T7100" s="146"/>
      <c r="V7100" s="147"/>
    </row>
    <row r="7101" spans="20:22">
      <c r="T7101" s="146"/>
      <c r="V7101" s="147"/>
    </row>
    <row r="7102" spans="20:22">
      <c r="T7102" s="146"/>
      <c r="V7102" s="147"/>
    </row>
    <row r="7103" spans="20:22">
      <c r="T7103" s="146"/>
      <c r="V7103" s="147"/>
    </row>
    <row r="7104" spans="20:22">
      <c r="T7104" s="146"/>
      <c r="V7104" s="147"/>
    </row>
    <row r="7105" spans="20:22">
      <c r="T7105" s="146"/>
      <c r="V7105" s="147"/>
    </row>
    <row r="7106" spans="20:22">
      <c r="T7106" s="146"/>
      <c r="V7106" s="147"/>
    </row>
    <row r="7107" spans="20:22">
      <c r="T7107" s="146"/>
      <c r="V7107" s="147"/>
    </row>
    <row r="7108" spans="20:22">
      <c r="T7108" s="146"/>
      <c r="V7108" s="147"/>
    </row>
    <row r="7109" spans="20:22">
      <c r="T7109" s="146"/>
      <c r="V7109" s="147"/>
    </row>
    <row r="7110" spans="20:22">
      <c r="T7110" s="146"/>
      <c r="V7110" s="147"/>
    </row>
    <row r="7111" spans="20:22">
      <c r="T7111" s="146"/>
      <c r="V7111" s="147"/>
    </row>
    <row r="7112" spans="20:22">
      <c r="T7112" s="146"/>
      <c r="V7112" s="147"/>
    </row>
    <row r="7113" spans="20:22">
      <c r="T7113" s="146"/>
      <c r="V7113" s="147"/>
    </row>
    <row r="7114" spans="20:22">
      <c r="T7114" s="146"/>
      <c r="V7114" s="147"/>
    </row>
    <row r="7115" spans="20:22">
      <c r="T7115" s="146"/>
      <c r="V7115" s="147"/>
    </row>
    <row r="7116" spans="20:22">
      <c r="T7116" s="146"/>
      <c r="V7116" s="147"/>
    </row>
    <row r="7117" spans="20:22">
      <c r="T7117" s="146"/>
      <c r="V7117" s="147"/>
    </row>
    <row r="7118" spans="20:22">
      <c r="T7118" s="146"/>
      <c r="V7118" s="147"/>
    </row>
    <row r="7119" spans="20:22">
      <c r="T7119" s="146"/>
      <c r="V7119" s="147"/>
    </row>
    <row r="7120" spans="20:22">
      <c r="T7120" s="146"/>
      <c r="V7120" s="147"/>
    </row>
    <row r="7121" spans="20:22">
      <c r="T7121" s="146"/>
      <c r="V7121" s="147"/>
    </row>
    <row r="7122" spans="20:22">
      <c r="T7122" s="146"/>
      <c r="V7122" s="147"/>
    </row>
    <row r="7123" spans="20:22">
      <c r="T7123" s="146"/>
      <c r="V7123" s="147"/>
    </row>
    <row r="7124" spans="20:22">
      <c r="T7124" s="146"/>
      <c r="V7124" s="147"/>
    </row>
    <row r="7125" spans="20:22">
      <c r="T7125" s="146"/>
      <c r="V7125" s="147"/>
    </row>
    <row r="7126" spans="20:22">
      <c r="T7126" s="146"/>
      <c r="V7126" s="147"/>
    </row>
    <row r="7127" spans="20:22">
      <c r="T7127" s="146"/>
      <c r="V7127" s="147"/>
    </row>
    <row r="7128" spans="20:22">
      <c r="T7128" s="146"/>
      <c r="V7128" s="147"/>
    </row>
    <row r="7129" spans="20:22">
      <c r="T7129" s="146"/>
      <c r="V7129" s="147"/>
    </row>
    <row r="7130" spans="20:22">
      <c r="T7130" s="146"/>
      <c r="V7130" s="147"/>
    </row>
    <row r="7131" spans="20:22">
      <c r="T7131" s="146"/>
      <c r="V7131" s="147"/>
    </row>
    <row r="7132" spans="20:22">
      <c r="T7132" s="146"/>
      <c r="V7132" s="147"/>
    </row>
    <row r="7133" spans="20:22">
      <c r="T7133" s="146"/>
      <c r="V7133" s="147"/>
    </row>
    <row r="7134" spans="20:22">
      <c r="T7134" s="146"/>
      <c r="V7134" s="147"/>
    </row>
    <row r="7135" spans="20:22">
      <c r="T7135" s="146"/>
      <c r="V7135" s="147"/>
    </row>
    <row r="7136" spans="20:22">
      <c r="T7136" s="146"/>
      <c r="V7136" s="147"/>
    </row>
    <row r="7137" spans="20:22">
      <c r="T7137" s="146"/>
      <c r="V7137" s="147"/>
    </row>
    <row r="7138" spans="20:22">
      <c r="T7138" s="146"/>
      <c r="V7138" s="147"/>
    </row>
    <row r="7139" spans="20:22">
      <c r="T7139" s="146"/>
      <c r="V7139" s="147"/>
    </row>
    <row r="7140" spans="20:22">
      <c r="T7140" s="146"/>
      <c r="V7140" s="147"/>
    </row>
    <row r="7141" spans="20:22">
      <c r="T7141" s="146"/>
      <c r="V7141" s="147"/>
    </row>
    <row r="7142" spans="20:22">
      <c r="T7142" s="146"/>
      <c r="V7142" s="147"/>
    </row>
    <row r="7143" spans="20:22">
      <c r="T7143" s="146"/>
      <c r="V7143" s="147"/>
    </row>
    <row r="7144" spans="20:22">
      <c r="T7144" s="146"/>
      <c r="V7144" s="147"/>
    </row>
    <row r="7145" spans="20:22">
      <c r="T7145" s="146"/>
      <c r="V7145" s="147"/>
    </row>
    <row r="7146" spans="20:22">
      <c r="T7146" s="146"/>
      <c r="V7146" s="147"/>
    </row>
    <row r="7147" spans="20:22">
      <c r="T7147" s="146"/>
      <c r="V7147" s="147"/>
    </row>
    <row r="7148" spans="20:22">
      <c r="T7148" s="146"/>
      <c r="V7148" s="147"/>
    </row>
    <row r="7149" spans="20:22">
      <c r="T7149" s="146"/>
      <c r="V7149" s="147"/>
    </row>
    <row r="7150" spans="20:22">
      <c r="T7150" s="146"/>
      <c r="V7150" s="147"/>
    </row>
    <row r="7151" spans="20:22">
      <c r="T7151" s="146"/>
      <c r="V7151" s="147"/>
    </row>
    <row r="7152" spans="20:22">
      <c r="T7152" s="146"/>
      <c r="V7152" s="147"/>
    </row>
    <row r="7153" spans="20:22">
      <c r="T7153" s="146"/>
      <c r="V7153" s="147"/>
    </row>
    <row r="7154" spans="20:22">
      <c r="T7154" s="146"/>
      <c r="V7154" s="147"/>
    </row>
    <row r="7155" spans="20:22">
      <c r="T7155" s="146"/>
      <c r="V7155" s="147"/>
    </row>
    <row r="7156" spans="20:22">
      <c r="T7156" s="146"/>
      <c r="V7156" s="147"/>
    </row>
    <row r="7157" spans="20:22">
      <c r="T7157" s="146"/>
      <c r="V7157" s="147"/>
    </row>
    <row r="7158" spans="20:22">
      <c r="T7158" s="146"/>
      <c r="V7158" s="147"/>
    </row>
    <row r="7159" spans="20:22">
      <c r="T7159" s="146"/>
      <c r="V7159" s="147"/>
    </row>
    <row r="7160" spans="20:22">
      <c r="T7160" s="146"/>
      <c r="V7160" s="147"/>
    </row>
    <row r="7161" spans="20:22">
      <c r="T7161" s="146"/>
      <c r="V7161" s="147"/>
    </row>
    <row r="7162" spans="20:22">
      <c r="T7162" s="146"/>
      <c r="V7162" s="147"/>
    </row>
    <row r="7163" spans="20:22">
      <c r="T7163" s="146"/>
      <c r="V7163" s="147"/>
    </row>
    <row r="7164" spans="20:22">
      <c r="T7164" s="146"/>
      <c r="V7164" s="147"/>
    </row>
    <row r="7165" spans="20:22">
      <c r="T7165" s="146"/>
      <c r="V7165" s="147"/>
    </row>
    <row r="7166" spans="20:22">
      <c r="T7166" s="146"/>
      <c r="V7166" s="147"/>
    </row>
    <row r="7167" spans="20:22">
      <c r="T7167" s="146"/>
      <c r="V7167" s="147"/>
    </row>
    <row r="7168" spans="20:22">
      <c r="T7168" s="146"/>
      <c r="V7168" s="147"/>
    </row>
    <row r="7169" spans="20:22">
      <c r="T7169" s="146"/>
      <c r="V7169" s="147"/>
    </row>
    <row r="7170" spans="20:22">
      <c r="T7170" s="146"/>
      <c r="V7170" s="147"/>
    </row>
    <row r="7171" spans="20:22">
      <c r="T7171" s="146"/>
      <c r="V7171" s="147"/>
    </row>
    <row r="7172" spans="20:22">
      <c r="T7172" s="146"/>
      <c r="V7172" s="147"/>
    </row>
    <row r="7173" spans="20:22">
      <c r="T7173" s="146"/>
      <c r="V7173" s="147"/>
    </row>
    <row r="7174" spans="20:22">
      <c r="T7174" s="146"/>
      <c r="V7174" s="147"/>
    </row>
    <row r="7175" spans="20:22">
      <c r="T7175" s="146"/>
      <c r="V7175" s="147"/>
    </row>
    <row r="7176" spans="20:22">
      <c r="T7176" s="146"/>
      <c r="V7176" s="147"/>
    </row>
    <row r="7177" spans="20:22">
      <c r="T7177" s="146"/>
      <c r="V7177" s="147"/>
    </row>
    <row r="7178" spans="20:22">
      <c r="T7178" s="146"/>
      <c r="V7178" s="147"/>
    </row>
    <row r="7179" spans="20:22">
      <c r="T7179" s="146"/>
      <c r="V7179" s="147"/>
    </row>
    <row r="7180" spans="20:22">
      <c r="T7180" s="146"/>
      <c r="V7180" s="147"/>
    </row>
    <row r="7181" spans="20:22">
      <c r="T7181" s="146"/>
      <c r="V7181" s="147"/>
    </row>
    <row r="7182" spans="20:22">
      <c r="T7182" s="146"/>
      <c r="V7182" s="147"/>
    </row>
    <row r="7183" spans="20:22">
      <c r="T7183" s="146"/>
      <c r="V7183" s="147"/>
    </row>
    <row r="7184" spans="20:22">
      <c r="T7184" s="146"/>
      <c r="V7184" s="147"/>
    </row>
    <row r="7185" spans="20:22">
      <c r="T7185" s="146"/>
      <c r="V7185" s="147"/>
    </row>
    <row r="7186" spans="20:22">
      <c r="T7186" s="146"/>
      <c r="V7186" s="147"/>
    </row>
    <row r="7187" spans="20:22">
      <c r="T7187" s="146"/>
      <c r="V7187" s="147"/>
    </row>
    <row r="7188" spans="20:22">
      <c r="T7188" s="146"/>
      <c r="V7188" s="147"/>
    </row>
    <row r="7189" spans="20:22">
      <c r="T7189" s="146"/>
      <c r="V7189" s="147"/>
    </row>
    <row r="7190" spans="20:22">
      <c r="T7190" s="146"/>
      <c r="V7190" s="147"/>
    </row>
    <row r="7191" spans="20:22">
      <c r="T7191" s="146"/>
      <c r="V7191" s="147"/>
    </row>
    <row r="7192" spans="20:22">
      <c r="T7192" s="146"/>
      <c r="V7192" s="147"/>
    </row>
    <row r="7193" spans="20:22">
      <c r="T7193" s="146"/>
      <c r="V7193" s="147"/>
    </row>
    <row r="7194" spans="20:22">
      <c r="T7194" s="146"/>
      <c r="V7194" s="147"/>
    </row>
    <row r="7195" spans="20:22">
      <c r="T7195" s="146"/>
      <c r="V7195" s="147"/>
    </row>
    <row r="7196" spans="20:22">
      <c r="T7196" s="146"/>
      <c r="V7196" s="147"/>
    </row>
    <row r="7197" spans="20:22">
      <c r="T7197" s="146"/>
      <c r="V7197" s="147"/>
    </row>
    <row r="7198" spans="20:22">
      <c r="T7198" s="146"/>
      <c r="V7198" s="147"/>
    </row>
    <row r="7199" spans="20:22">
      <c r="T7199" s="146"/>
      <c r="V7199" s="147"/>
    </row>
    <row r="7200" spans="20:22">
      <c r="T7200" s="146"/>
      <c r="V7200" s="147"/>
    </row>
    <row r="7201" spans="20:22">
      <c r="T7201" s="146"/>
      <c r="V7201" s="147"/>
    </row>
    <row r="7202" spans="20:22">
      <c r="T7202" s="146"/>
      <c r="V7202" s="147"/>
    </row>
    <row r="7203" spans="20:22">
      <c r="T7203" s="146"/>
      <c r="V7203" s="147"/>
    </row>
    <row r="7204" spans="20:22">
      <c r="T7204" s="146"/>
      <c r="V7204" s="147"/>
    </row>
    <row r="7205" spans="20:22">
      <c r="T7205" s="146"/>
      <c r="V7205" s="147"/>
    </row>
    <row r="7206" spans="20:22">
      <c r="T7206" s="146"/>
      <c r="V7206" s="147"/>
    </row>
    <row r="7207" spans="20:22">
      <c r="T7207" s="146"/>
      <c r="V7207" s="147"/>
    </row>
    <row r="7208" spans="20:22">
      <c r="T7208" s="146"/>
      <c r="V7208" s="147"/>
    </row>
    <row r="7209" spans="20:22">
      <c r="T7209" s="146"/>
      <c r="V7209" s="147"/>
    </row>
    <row r="7210" spans="20:22">
      <c r="T7210" s="146"/>
      <c r="V7210" s="147"/>
    </row>
    <row r="7211" spans="20:22">
      <c r="T7211" s="146"/>
      <c r="V7211" s="147"/>
    </row>
    <row r="7212" spans="20:22">
      <c r="T7212" s="146"/>
      <c r="V7212" s="147"/>
    </row>
    <row r="7213" spans="20:22">
      <c r="T7213" s="146"/>
      <c r="V7213" s="147"/>
    </row>
    <row r="7214" spans="20:22">
      <c r="T7214" s="146"/>
      <c r="V7214" s="147"/>
    </row>
    <row r="7215" spans="20:22">
      <c r="T7215" s="146"/>
      <c r="V7215" s="147"/>
    </row>
    <row r="7216" spans="20:22">
      <c r="T7216" s="146"/>
      <c r="V7216" s="147"/>
    </row>
    <row r="7217" spans="20:22">
      <c r="T7217" s="146"/>
      <c r="V7217" s="147"/>
    </row>
    <row r="7218" spans="20:22">
      <c r="T7218" s="146"/>
      <c r="V7218" s="147"/>
    </row>
    <row r="7219" spans="20:22">
      <c r="T7219" s="146"/>
      <c r="V7219" s="147"/>
    </row>
    <row r="7220" spans="20:22">
      <c r="T7220" s="146"/>
      <c r="V7220" s="147"/>
    </row>
    <row r="7221" spans="20:22">
      <c r="T7221" s="146"/>
      <c r="V7221" s="147"/>
    </row>
    <row r="7222" spans="20:22">
      <c r="T7222" s="146"/>
      <c r="V7222" s="147"/>
    </row>
    <row r="7223" spans="20:22">
      <c r="T7223" s="146"/>
      <c r="V7223" s="147"/>
    </row>
    <row r="7224" spans="20:22">
      <c r="T7224" s="146"/>
      <c r="V7224" s="147"/>
    </row>
    <row r="7225" spans="20:22">
      <c r="T7225" s="146"/>
      <c r="V7225" s="147"/>
    </row>
    <row r="7226" spans="20:22">
      <c r="T7226" s="146"/>
      <c r="V7226" s="147"/>
    </row>
    <row r="7227" spans="20:22">
      <c r="T7227" s="146"/>
      <c r="V7227" s="147"/>
    </row>
    <row r="7228" spans="20:22">
      <c r="T7228" s="146"/>
      <c r="V7228" s="147"/>
    </row>
    <row r="7229" spans="20:22">
      <c r="T7229" s="146"/>
      <c r="V7229" s="147"/>
    </row>
    <row r="7230" spans="20:22">
      <c r="T7230" s="146"/>
      <c r="V7230" s="147"/>
    </row>
    <row r="7231" spans="20:22">
      <c r="T7231" s="146"/>
      <c r="V7231" s="147"/>
    </row>
    <row r="7232" spans="20:22">
      <c r="T7232" s="146"/>
      <c r="V7232" s="147"/>
    </row>
    <row r="7233" spans="20:22">
      <c r="T7233" s="146"/>
      <c r="V7233" s="147"/>
    </row>
    <row r="7234" spans="20:22">
      <c r="T7234" s="146"/>
      <c r="V7234" s="147"/>
    </row>
    <row r="7235" spans="20:22">
      <c r="T7235" s="146"/>
      <c r="V7235" s="147"/>
    </row>
    <row r="7236" spans="20:22">
      <c r="T7236" s="146"/>
      <c r="V7236" s="147"/>
    </row>
    <row r="7237" spans="20:22">
      <c r="T7237" s="146"/>
      <c r="V7237" s="147"/>
    </row>
    <row r="7238" spans="20:22">
      <c r="T7238" s="146"/>
      <c r="V7238" s="147"/>
    </row>
    <row r="7239" spans="20:22">
      <c r="T7239" s="146"/>
      <c r="V7239" s="147"/>
    </row>
    <row r="7240" spans="20:22">
      <c r="T7240" s="146"/>
      <c r="V7240" s="147"/>
    </row>
    <row r="7241" spans="20:22">
      <c r="T7241" s="146"/>
      <c r="V7241" s="147"/>
    </row>
    <row r="7242" spans="20:22">
      <c r="T7242" s="146"/>
      <c r="V7242" s="147"/>
    </row>
    <row r="7243" spans="20:22">
      <c r="T7243" s="146"/>
      <c r="V7243" s="147"/>
    </row>
    <row r="7244" spans="20:22">
      <c r="T7244" s="146"/>
      <c r="V7244" s="147"/>
    </row>
    <row r="7245" spans="20:22">
      <c r="T7245" s="146"/>
      <c r="V7245" s="147"/>
    </row>
    <row r="7246" spans="20:22">
      <c r="T7246" s="146"/>
      <c r="V7246" s="147"/>
    </row>
    <row r="7247" spans="20:22">
      <c r="T7247" s="146"/>
      <c r="V7247" s="147"/>
    </row>
    <row r="7248" spans="20:22">
      <c r="T7248" s="146"/>
      <c r="V7248" s="147"/>
    </row>
    <row r="7249" spans="20:22">
      <c r="T7249" s="146"/>
      <c r="V7249" s="147"/>
    </row>
    <row r="7250" spans="20:22">
      <c r="T7250" s="146"/>
      <c r="V7250" s="147"/>
    </row>
    <row r="7251" spans="20:22">
      <c r="T7251" s="146"/>
      <c r="V7251" s="147"/>
    </row>
    <row r="7252" spans="20:22">
      <c r="T7252" s="146"/>
      <c r="V7252" s="147"/>
    </row>
    <row r="7253" spans="20:22">
      <c r="T7253" s="146"/>
      <c r="V7253" s="147"/>
    </row>
    <row r="7254" spans="20:22">
      <c r="T7254" s="146"/>
      <c r="V7254" s="147"/>
    </row>
    <row r="7255" spans="20:22">
      <c r="T7255" s="146"/>
      <c r="V7255" s="147"/>
    </row>
    <row r="7256" spans="20:22">
      <c r="T7256" s="146"/>
      <c r="V7256" s="147"/>
    </row>
    <row r="7257" spans="20:22">
      <c r="T7257" s="146"/>
      <c r="V7257" s="147"/>
    </row>
    <row r="7258" spans="20:22">
      <c r="T7258" s="146"/>
      <c r="V7258" s="147"/>
    </row>
    <row r="7259" spans="20:22">
      <c r="T7259" s="146"/>
      <c r="V7259" s="147"/>
    </row>
    <row r="7260" spans="20:22">
      <c r="T7260" s="146"/>
      <c r="V7260" s="147"/>
    </row>
    <row r="7261" spans="20:22">
      <c r="T7261" s="146"/>
      <c r="V7261" s="147"/>
    </row>
    <row r="7262" spans="20:22">
      <c r="T7262" s="146"/>
      <c r="V7262" s="147"/>
    </row>
    <row r="7263" spans="20:22">
      <c r="T7263" s="146"/>
      <c r="V7263" s="147"/>
    </row>
    <row r="7264" spans="20:22">
      <c r="T7264" s="146"/>
      <c r="V7264" s="147"/>
    </row>
    <row r="7265" spans="20:22">
      <c r="T7265" s="146"/>
      <c r="V7265" s="147"/>
    </row>
    <row r="7266" spans="20:22">
      <c r="T7266" s="146"/>
      <c r="V7266" s="147"/>
    </row>
    <row r="7267" spans="20:22">
      <c r="T7267" s="146"/>
      <c r="V7267" s="147"/>
    </row>
    <row r="7268" spans="20:22">
      <c r="T7268" s="146"/>
      <c r="V7268" s="147"/>
    </row>
    <row r="7269" spans="20:22">
      <c r="T7269" s="146"/>
      <c r="V7269" s="147"/>
    </row>
    <row r="7270" spans="20:22">
      <c r="T7270" s="146"/>
      <c r="V7270" s="147"/>
    </row>
    <row r="7271" spans="20:22">
      <c r="T7271" s="146"/>
      <c r="V7271" s="147"/>
    </row>
    <row r="7272" spans="20:22">
      <c r="T7272" s="146"/>
      <c r="V7272" s="147"/>
    </row>
    <row r="7273" spans="20:22">
      <c r="T7273" s="146"/>
      <c r="V7273" s="147"/>
    </row>
    <row r="7274" spans="20:22">
      <c r="T7274" s="146"/>
      <c r="V7274" s="147"/>
    </row>
    <row r="7275" spans="20:22">
      <c r="T7275" s="146"/>
      <c r="V7275" s="147"/>
    </row>
    <row r="7276" spans="20:22">
      <c r="T7276" s="146"/>
      <c r="V7276" s="147"/>
    </row>
    <row r="7277" spans="20:22">
      <c r="T7277" s="146"/>
      <c r="V7277" s="147"/>
    </row>
    <row r="7278" spans="20:22">
      <c r="T7278" s="146"/>
      <c r="V7278" s="147"/>
    </row>
    <row r="7279" spans="20:22">
      <c r="T7279" s="146"/>
      <c r="V7279" s="147"/>
    </row>
    <row r="7280" spans="20:22">
      <c r="T7280" s="146"/>
      <c r="V7280" s="147"/>
    </row>
    <row r="7281" spans="20:22">
      <c r="T7281" s="146"/>
      <c r="V7281" s="147"/>
    </row>
    <row r="7282" spans="20:22">
      <c r="T7282" s="146"/>
      <c r="V7282" s="147"/>
    </row>
    <row r="7283" spans="20:22">
      <c r="T7283" s="146"/>
      <c r="V7283" s="147"/>
    </row>
    <row r="7284" spans="20:22">
      <c r="T7284" s="146"/>
      <c r="V7284" s="147"/>
    </row>
    <row r="7285" spans="20:22">
      <c r="T7285" s="146"/>
      <c r="V7285" s="147"/>
    </row>
    <row r="7286" spans="20:22">
      <c r="T7286" s="146"/>
      <c r="V7286" s="147"/>
    </row>
    <row r="7287" spans="20:22">
      <c r="T7287" s="146"/>
      <c r="V7287" s="147"/>
    </row>
    <row r="7288" spans="20:22">
      <c r="T7288" s="146"/>
      <c r="V7288" s="147"/>
    </row>
    <row r="7289" spans="20:22">
      <c r="T7289" s="146"/>
      <c r="V7289" s="147"/>
    </row>
    <row r="7290" spans="20:22">
      <c r="T7290" s="146"/>
      <c r="V7290" s="147"/>
    </row>
    <row r="7291" spans="20:22">
      <c r="T7291" s="146"/>
      <c r="V7291" s="147"/>
    </row>
    <row r="7292" spans="20:22">
      <c r="T7292" s="146"/>
      <c r="V7292" s="147"/>
    </row>
    <row r="7293" spans="20:22">
      <c r="T7293" s="146"/>
      <c r="V7293" s="147"/>
    </row>
    <row r="7294" spans="20:22">
      <c r="T7294" s="146"/>
      <c r="V7294" s="147"/>
    </row>
    <row r="7295" spans="20:22">
      <c r="T7295" s="146"/>
      <c r="V7295" s="147"/>
    </row>
    <row r="7296" spans="20:22">
      <c r="T7296" s="146"/>
      <c r="V7296" s="147"/>
    </row>
    <row r="7297" spans="20:22">
      <c r="T7297" s="146"/>
      <c r="V7297" s="147"/>
    </row>
    <row r="7298" spans="20:22">
      <c r="T7298" s="146"/>
      <c r="V7298" s="147"/>
    </row>
    <row r="7299" spans="20:22">
      <c r="T7299" s="146"/>
      <c r="V7299" s="147"/>
    </row>
    <row r="7300" spans="20:22">
      <c r="T7300" s="146"/>
      <c r="V7300" s="147"/>
    </row>
    <row r="7301" spans="20:22">
      <c r="T7301" s="146"/>
      <c r="V7301" s="147"/>
    </row>
    <row r="7302" spans="20:22">
      <c r="T7302" s="146"/>
      <c r="V7302" s="147"/>
    </row>
    <row r="7303" spans="20:22">
      <c r="T7303" s="146"/>
      <c r="V7303" s="147"/>
    </row>
    <row r="7304" spans="20:22">
      <c r="T7304" s="146"/>
      <c r="V7304" s="147"/>
    </row>
    <row r="7305" spans="20:22">
      <c r="T7305" s="146"/>
      <c r="V7305" s="147"/>
    </row>
    <row r="7306" spans="20:22">
      <c r="T7306" s="146"/>
      <c r="V7306" s="147"/>
    </row>
    <row r="7307" spans="20:22">
      <c r="T7307" s="146"/>
      <c r="V7307" s="147"/>
    </row>
    <row r="7308" spans="20:22">
      <c r="T7308" s="146"/>
      <c r="V7308" s="147"/>
    </row>
    <row r="7309" spans="20:22">
      <c r="T7309" s="146"/>
      <c r="V7309" s="147"/>
    </row>
    <row r="7310" spans="20:22">
      <c r="T7310" s="146"/>
      <c r="V7310" s="147"/>
    </row>
    <row r="7311" spans="20:22">
      <c r="T7311" s="146"/>
      <c r="V7311" s="147"/>
    </row>
    <row r="7312" spans="20:22">
      <c r="T7312" s="146"/>
      <c r="V7312" s="147"/>
    </row>
    <row r="7313" spans="20:22">
      <c r="T7313" s="146"/>
      <c r="V7313" s="147"/>
    </row>
    <row r="7314" spans="20:22">
      <c r="T7314" s="146"/>
      <c r="V7314" s="147"/>
    </row>
    <row r="7315" spans="20:22">
      <c r="T7315" s="146"/>
      <c r="V7315" s="147"/>
    </row>
    <row r="7316" spans="20:22">
      <c r="T7316" s="146"/>
      <c r="V7316" s="147"/>
    </row>
    <row r="7317" spans="20:22">
      <c r="T7317" s="146"/>
      <c r="V7317" s="147"/>
    </row>
    <row r="7318" spans="20:22">
      <c r="T7318" s="146"/>
      <c r="V7318" s="147"/>
    </row>
    <row r="7319" spans="20:22">
      <c r="T7319" s="146"/>
      <c r="V7319" s="147"/>
    </row>
    <row r="7320" spans="20:22">
      <c r="T7320" s="146"/>
      <c r="V7320" s="147"/>
    </row>
    <row r="7321" spans="20:22">
      <c r="T7321" s="146"/>
      <c r="V7321" s="147"/>
    </row>
    <row r="7322" spans="20:22">
      <c r="T7322" s="146"/>
      <c r="V7322" s="147"/>
    </row>
    <row r="7323" spans="20:22">
      <c r="T7323" s="146"/>
      <c r="V7323" s="147"/>
    </row>
    <row r="7324" spans="20:22">
      <c r="T7324" s="146"/>
      <c r="V7324" s="147"/>
    </row>
    <row r="7325" spans="20:22">
      <c r="T7325" s="146"/>
      <c r="V7325" s="147"/>
    </row>
    <row r="7326" spans="20:22">
      <c r="T7326" s="146"/>
      <c r="V7326" s="147"/>
    </row>
    <row r="7327" spans="20:22">
      <c r="T7327" s="146"/>
      <c r="V7327" s="147"/>
    </row>
    <row r="7328" spans="20:22">
      <c r="T7328" s="146"/>
      <c r="V7328" s="147"/>
    </row>
    <row r="7329" spans="20:22">
      <c r="T7329" s="146"/>
      <c r="V7329" s="147"/>
    </row>
    <row r="7330" spans="20:22">
      <c r="T7330" s="146"/>
      <c r="V7330" s="147"/>
    </row>
    <row r="7331" spans="20:22">
      <c r="T7331" s="146"/>
      <c r="V7331" s="147"/>
    </row>
    <row r="7332" spans="20:22">
      <c r="T7332" s="146"/>
      <c r="V7332" s="147"/>
    </row>
    <row r="7333" spans="20:22">
      <c r="T7333" s="146"/>
      <c r="V7333" s="147"/>
    </row>
    <row r="7334" spans="20:22">
      <c r="T7334" s="146"/>
      <c r="V7334" s="147"/>
    </row>
    <row r="7335" spans="20:22">
      <c r="T7335" s="146"/>
      <c r="V7335" s="147"/>
    </row>
    <row r="7336" spans="20:22">
      <c r="T7336" s="146"/>
      <c r="V7336" s="147"/>
    </row>
    <row r="7337" spans="20:22">
      <c r="T7337" s="146"/>
      <c r="V7337" s="147"/>
    </row>
    <row r="7338" spans="20:22">
      <c r="T7338" s="146"/>
      <c r="V7338" s="147"/>
    </row>
    <row r="7339" spans="20:22">
      <c r="T7339" s="146"/>
      <c r="V7339" s="147"/>
    </row>
    <row r="7340" spans="20:22">
      <c r="T7340" s="146"/>
      <c r="V7340" s="147"/>
    </row>
    <row r="7341" spans="20:22">
      <c r="T7341" s="146"/>
      <c r="V7341" s="147"/>
    </row>
    <row r="7342" spans="20:22">
      <c r="T7342" s="146"/>
      <c r="V7342" s="147"/>
    </row>
    <row r="7343" spans="20:22">
      <c r="T7343" s="146"/>
      <c r="V7343" s="147"/>
    </row>
    <row r="7344" spans="20:22">
      <c r="T7344" s="146"/>
      <c r="V7344" s="147"/>
    </row>
    <row r="7345" spans="20:22">
      <c r="T7345" s="146"/>
      <c r="V7345" s="147"/>
    </row>
    <row r="7346" spans="20:22">
      <c r="T7346" s="146"/>
      <c r="V7346" s="147"/>
    </row>
    <row r="7347" spans="20:22">
      <c r="T7347" s="146"/>
      <c r="V7347" s="147"/>
    </row>
    <row r="7348" spans="20:22">
      <c r="T7348" s="146"/>
      <c r="V7348" s="147"/>
    </row>
    <row r="7349" spans="20:22">
      <c r="T7349" s="146"/>
      <c r="V7349" s="147"/>
    </row>
    <row r="7350" spans="20:22">
      <c r="T7350" s="146"/>
      <c r="V7350" s="147"/>
    </row>
    <row r="7351" spans="20:22">
      <c r="T7351" s="146"/>
      <c r="V7351" s="147"/>
    </row>
    <row r="7352" spans="20:22">
      <c r="T7352" s="146"/>
      <c r="V7352" s="147"/>
    </row>
    <row r="7353" spans="20:22">
      <c r="T7353" s="146"/>
      <c r="V7353" s="147"/>
    </row>
    <row r="7354" spans="20:22">
      <c r="T7354" s="146"/>
      <c r="V7354" s="147"/>
    </row>
    <row r="7355" spans="20:22">
      <c r="T7355" s="146"/>
      <c r="V7355" s="147"/>
    </row>
    <row r="7356" spans="20:22">
      <c r="T7356" s="146"/>
      <c r="V7356" s="147"/>
    </row>
    <row r="7357" spans="20:22">
      <c r="T7357" s="146"/>
      <c r="V7357" s="147"/>
    </row>
    <row r="7358" spans="20:22">
      <c r="T7358" s="146"/>
      <c r="V7358" s="147"/>
    </row>
    <row r="7359" spans="20:22">
      <c r="T7359" s="146"/>
      <c r="V7359" s="147"/>
    </row>
    <row r="7360" spans="20:22">
      <c r="T7360" s="146"/>
      <c r="V7360" s="147"/>
    </row>
    <row r="7361" spans="20:22">
      <c r="T7361" s="146"/>
      <c r="V7361" s="147"/>
    </row>
    <row r="7362" spans="20:22">
      <c r="T7362" s="146"/>
      <c r="V7362" s="147"/>
    </row>
    <row r="7363" spans="20:22">
      <c r="T7363" s="146"/>
      <c r="V7363" s="147"/>
    </row>
    <row r="7364" spans="20:22">
      <c r="T7364" s="146"/>
      <c r="V7364" s="147"/>
    </row>
    <row r="7365" spans="20:22">
      <c r="T7365" s="146"/>
      <c r="V7365" s="147"/>
    </row>
    <row r="7366" spans="20:22">
      <c r="T7366" s="146"/>
      <c r="V7366" s="147"/>
    </row>
    <row r="7367" spans="20:22">
      <c r="T7367" s="146"/>
      <c r="V7367" s="147"/>
    </row>
    <row r="7368" spans="20:22">
      <c r="T7368" s="146"/>
      <c r="V7368" s="147"/>
    </row>
    <row r="7369" spans="20:22">
      <c r="T7369" s="146"/>
      <c r="V7369" s="147"/>
    </row>
    <row r="7370" spans="20:22">
      <c r="T7370" s="146"/>
      <c r="V7370" s="147"/>
    </row>
    <row r="7371" spans="20:22">
      <c r="T7371" s="146"/>
      <c r="V7371" s="147"/>
    </row>
    <row r="7372" spans="20:22">
      <c r="T7372" s="146"/>
      <c r="V7372" s="147"/>
    </row>
    <row r="7373" spans="20:22">
      <c r="T7373" s="146"/>
      <c r="V7373" s="147"/>
    </row>
    <row r="7374" spans="20:22">
      <c r="T7374" s="146"/>
      <c r="V7374" s="147"/>
    </row>
    <row r="7375" spans="20:22">
      <c r="T7375" s="146"/>
      <c r="V7375" s="147"/>
    </row>
    <row r="7376" spans="20:22">
      <c r="T7376" s="146"/>
      <c r="V7376" s="147"/>
    </row>
    <row r="7377" spans="20:22">
      <c r="T7377" s="146"/>
      <c r="V7377" s="147"/>
    </row>
    <row r="7378" spans="20:22">
      <c r="T7378" s="146"/>
      <c r="V7378" s="147"/>
    </row>
    <row r="7379" spans="20:22">
      <c r="T7379" s="146"/>
      <c r="V7379" s="147"/>
    </row>
    <row r="7380" spans="20:22">
      <c r="T7380" s="146"/>
      <c r="V7380" s="147"/>
    </row>
    <row r="7381" spans="20:22">
      <c r="T7381" s="146"/>
      <c r="V7381" s="147"/>
    </row>
    <row r="7382" spans="20:22">
      <c r="T7382" s="146"/>
      <c r="V7382" s="147"/>
    </row>
    <row r="7383" spans="20:22">
      <c r="T7383" s="146"/>
      <c r="V7383" s="147"/>
    </row>
    <row r="7384" spans="20:22">
      <c r="T7384" s="146"/>
      <c r="V7384" s="147"/>
    </row>
    <row r="7385" spans="20:22">
      <c r="T7385" s="146"/>
      <c r="V7385" s="147"/>
    </row>
    <row r="7386" spans="20:22">
      <c r="T7386" s="146"/>
      <c r="V7386" s="147"/>
    </row>
    <row r="7387" spans="20:22">
      <c r="T7387" s="146"/>
      <c r="V7387" s="147"/>
    </row>
    <row r="7388" spans="20:22">
      <c r="T7388" s="146"/>
      <c r="V7388" s="147"/>
    </row>
    <row r="7389" spans="20:22">
      <c r="T7389" s="146"/>
      <c r="V7389" s="147"/>
    </row>
    <row r="7390" spans="20:22">
      <c r="T7390" s="146"/>
      <c r="V7390" s="147"/>
    </row>
    <row r="7391" spans="20:22">
      <c r="T7391" s="146"/>
      <c r="V7391" s="147"/>
    </row>
    <row r="7392" spans="20:22">
      <c r="T7392" s="146"/>
      <c r="V7392" s="147"/>
    </row>
    <row r="7393" spans="20:22">
      <c r="T7393" s="146"/>
      <c r="V7393" s="147"/>
    </row>
    <row r="7394" spans="20:22">
      <c r="T7394" s="146"/>
      <c r="V7394" s="147"/>
    </row>
    <row r="7395" spans="20:22">
      <c r="T7395" s="146"/>
      <c r="V7395" s="147"/>
    </row>
    <row r="7396" spans="20:22">
      <c r="T7396" s="146"/>
      <c r="V7396" s="147"/>
    </row>
    <row r="7397" spans="20:22">
      <c r="T7397" s="146"/>
      <c r="V7397" s="147"/>
    </row>
    <row r="7398" spans="20:22">
      <c r="T7398" s="146"/>
      <c r="V7398" s="147"/>
    </row>
    <row r="7399" spans="20:22">
      <c r="T7399" s="146"/>
      <c r="V7399" s="147"/>
    </row>
    <row r="7400" spans="20:22">
      <c r="T7400" s="146"/>
      <c r="V7400" s="147"/>
    </row>
    <row r="7401" spans="20:22">
      <c r="T7401" s="146"/>
      <c r="V7401" s="147"/>
    </row>
    <row r="7402" spans="20:22">
      <c r="T7402" s="146"/>
      <c r="V7402" s="147"/>
    </row>
    <row r="7403" spans="20:22">
      <c r="T7403" s="146"/>
      <c r="V7403" s="147"/>
    </row>
    <row r="7404" spans="20:22">
      <c r="T7404" s="146"/>
      <c r="V7404" s="147"/>
    </row>
    <row r="7405" spans="20:22">
      <c r="T7405" s="146"/>
      <c r="V7405" s="147"/>
    </row>
    <row r="7406" spans="20:22">
      <c r="T7406" s="146"/>
      <c r="V7406" s="147"/>
    </row>
    <row r="7407" spans="20:22">
      <c r="T7407" s="146"/>
      <c r="V7407" s="147"/>
    </row>
    <row r="7408" spans="20:22">
      <c r="T7408" s="146"/>
      <c r="V7408" s="147"/>
    </row>
    <row r="7409" spans="20:22">
      <c r="T7409" s="146"/>
      <c r="V7409" s="147"/>
    </row>
    <row r="7410" spans="20:22">
      <c r="T7410" s="146"/>
      <c r="V7410" s="147"/>
    </row>
    <row r="7411" spans="20:22">
      <c r="T7411" s="146"/>
      <c r="V7411" s="147"/>
    </row>
    <row r="7412" spans="20:22">
      <c r="T7412" s="146"/>
      <c r="V7412" s="147"/>
    </row>
    <row r="7413" spans="20:22">
      <c r="T7413" s="146"/>
      <c r="V7413" s="147"/>
    </row>
    <row r="7414" spans="20:22">
      <c r="T7414" s="146"/>
      <c r="V7414" s="147"/>
    </row>
    <row r="7415" spans="20:22">
      <c r="T7415" s="146"/>
      <c r="V7415" s="147"/>
    </row>
    <row r="7416" spans="20:22">
      <c r="T7416" s="146"/>
      <c r="V7416" s="147"/>
    </row>
    <row r="7417" spans="20:22">
      <c r="T7417" s="146"/>
      <c r="V7417" s="147"/>
    </row>
    <row r="7418" spans="20:22">
      <c r="T7418" s="146"/>
      <c r="V7418" s="147"/>
    </row>
    <row r="7419" spans="20:22">
      <c r="T7419" s="146"/>
      <c r="V7419" s="147"/>
    </row>
    <row r="7420" spans="20:22">
      <c r="T7420" s="146"/>
      <c r="V7420" s="147"/>
    </row>
    <row r="7421" spans="20:22">
      <c r="T7421" s="146"/>
      <c r="V7421" s="147"/>
    </row>
    <row r="7422" spans="20:22">
      <c r="T7422" s="146"/>
      <c r="V7422" s="147"/>
    </row>
    <row r="7423" spans="20:22">
      <c r="T7423" s="146"/>
      <c r="V7423" s="147"/>
    </row>
    <row r="7424" spans="20:22">
      <c r="T7424" s="146"/>
      <c r="V7424" s="147"/>
    </row>
    <row r="7425" spans="20:22">
      <c r="T7425" s="146"/>
      <c r="V7425" s="147"/>
    </row>
    <row r="7426" spans="20:22">
      <c r="T7426" s="146"/>
      <c r="V7426" s="147"/>
    </row>
    <row r="7427" spans="20:22">
      <c r="T7427" s="146"/>
      <c r="V7427" s="147"/>
    </row>
    <row r="7428" spans="20:22">
      <c r="T7428" s="146"/>
      <c r="V7428" s="147"/>
    </row>
    <row r="7429" spans="20:22">
      <c r="T7429" s="146"/>
      <c r="V7429" s="147"/>
    </row>
    <row r="7430" spans="20:22">
      <c r="T7430" s="146"/>
      <c r="V7430" s="147"/>
    </row>
    <row r="7431" spans="20:22">
      <c r="T7431" s="146"/>
      <c r="V7431" s="147"/>
    </row>
    <row r="7432" spans="20:22">
      <c r="T7432" s="146"/>
      <c r="V7432" s="147"/>
    </row>
    <row r="7433" spans="20:22">
      <c r="T7433" s="146"/>
      <c r="V7433" s="147"/>
    </row>
    <row r="7434" spans="20:22">
      <c r="T7434" s="146"/>
      <c r="V7434" s="147"/>
    </row>
    <row r="7435" spans="20:22">
      <c r="T7435" s="146"/>
      <c r="V7435" s="147"/>
    </row>
    <row r="7436" spans="20:22">
      <c r="T7436" s="146"/>
      <c r="V7436" s="147"/>
    </row>
    <row r="7437" spans="20:22">
      <c r="T7437" s="146"/>
      <c r="V7437" s="147"/>
    </row>
    <row r="7438" spans="20:22">
      <c r="T7438" s="146"/>
      <c r="V7438" s="147"/>
    </row>
    <row r="7439" spans="20:22">
      <c r="T7439" s="146"/>
      <c r="V7439" s="147"/>
    </row>
    <row r="7440" spans="20:22">
      <c r="T7440" s="146"/>
      <c r="V7440" s="147"/>
    </row>
    <row r="7441" spans="20:22">
      <c r="T7441" s="146"/>
      <c r="V7441" s="147"/>
    </row>
    <row r="7442" spans="20:22">
      <c r="T7442" s="146"/>
      <c r="V7442" s="147"/>
    </row>
    <row r="7443" spans="20:22">
      <c r="T7443" s="146"/>
      <c r="V7443" s="147"/>
    </row>
    <row r="7444" spans="20:22">
      <c r="T7444" s="146"/>
      <c r="V7444" s="147"/>
    </row>
    <row r="7445" spans="20:22">
      <c r="T7445" s="146"/>
      <c r="V7445" s="147"/>
    </row>
    <row r="7446" spans="20:22">
      <c r="T7446" s="146"/>
      <c r="V7446" s="147"/>
    </row>
    <row r="7447" spans="20:22">
      <c r="T7447" s="146"/>
      <c r="V7447" s="147"/>
    </row>
    <row r="7448" spans="20:22">
      <c r="T7448" s="146"/>
      <c r="V7448" s="147"/>
    </row>
    <row r="7449" spans="20:22">
      <c r="T7449" s="146"/>
      <c r="V7449" s="147"/>
    </row>
    <row r="7450" spans="20:22">
      <c r="T7450" s="146"/>
      <c r="V7450" s="147"/>
    </row>
    <row r="7451" spans="20:22">
      <c r="T7451" s="146"/>
      <c r="V7451" s="147"/>
    </row>
    <row r="7452" spans="20:22">
      <c r="T7452" s="146"/>
      <c r="V7452" s="147"/>
    </row>
    <row r="7453" spans="20:22">
      <c r="T7453" s="146"/>
      <c r="V7453" s="147"/>
    </row>
    <row r="7454" spans="20:22">
      <c r="T7454" s="146"/>
      <c r="V7454" s="147"/>
    </row>
    <row r="7455" spans="20:22">
      <c r="T7455" s="146"/>
      <c r="V7455" s="147"/>
    </row>
    <row r="7456" spans="20:22">
      <c r="T7456" s="146"/>
      <c r="V7456" s="147"/>
    </row>
    <row r="7457" spans="20:22">
      <c r="T7457" s="146"/>
      <c r="V7457" s="147"/>
    </row>
    <row r="7458" spans="20:22">
      <c r="T7458" s="146"/>
      <c r="V7458" s="147"/>
    </row>
    <row r="7459" spans="20:22">
      <c r="T7459" s="146"/>
      <c r="V7459" s="147"/>
    </row>
    <row r="7460" spans="20:22">
      <c r="T7460" s="146"/>
      <c r="V7460" s="147"/>
    </row>
    <row r="7461" spans="20:22">
      <c r="T7461" s="146"/>
      <c r="V7461" s="147"/>
    </row>
    <row r="7462" spans="20:22">
      <c r="T7462" s="146"/>
      <c r="V7462" s="147"/>
    </row>
    <row r="7463" spans="20:22">
      <c r="T7463" s="146"/>
      <c r="V7463" s="147"/>
    </row>
    <row r="7464" spans="20:22">
      <c r="T7464" s="146"/>
      <c r="V7464" s="147"/>
    </row>
    <row r="7465" spans="20:22">
      <c r="T7465" s="146"/>
      <c r="V7465" s="147"/>
    </row>
    <row r="7466" spans="20:22">
      <c r="T7466" s="146"/>
      <c r="V7466" s="147"/>
    </row>
    <row r="7467" spans="20:22">
      <c r="T7467" s="146"/>
      <c r="V7467" s="147"/>
    </row>
    <row r="7468" spans="20:22">
      <c r="T7468" s="146"/>
      <c r="V7468" s="147"/>
    </row>
    <row r="7469" spans="20:22">
      <c r="T7469" s="146"/>
      <c r="V7469" s="147"/>
    </row>
    <row r="7470" spans="20:22">
      <c r="T7470" s="146"/>
      <c r="V7470" s="147"/>
    </row>
    <row r="7471" spans="20:22">
      <c r="T7471" s="146"/>
      <c r="V7471" s="147"/>
    </row>
    <row r="7472" spans="20:22">
      <c r="T7472" s="146"/>
      <c r="V7472" s="147"/>
    </row>
    <row r="7473" spans="20:22">
      <c r="T7473" s="146"/>
      <c r="V7473" s="147"/>
    </row>
    <row r="7474" spans="20:22">
      <c r="T7474" s="146"/>
      <c r="V7474" s="147"/>
    </row>
    <row r="7475" spans="20:22">
      <c r="T7475" s="146"/>
      <c r="V7475" s="147"/>
    </row>
    <row r="7476" spans="20:22">
      <c r="T7476" s="146"/>
      <c r="V7476" s="147"/>
    </row>
    <row r="7477" spans="20:22">
      <c r="T7477" s="146"/>
      <c r="V7477" s="147"/>
    </row>
    <row r="7478" spans="20:22">
      <c r="T7478" s="146"/>
      <c r="V7478" s="147"/>
    </row>
    <row r="7479" spans="20:22">
      <c r="T7479" s="146"/>
      <c r="V7479" s="147"/>
    </row>
    <row r="7480" spans="20:22">
      <c r="T7480" s="146"/>
      <c r="V7480" s="147"/>
    </row>
    <row r="7481" spans="20:22">
      <c r="T7481" s="146"/>
      <c r="V7481" s="147"/>
    </row>
    <row r="7482" spans="20:22">
      <c r="T7482" s="146"/>
      <c r="V7482" s="147"/>
    </row>
    <row r="7483" spans="20:22">
      <c r="T7483" s="146"/>
      <c r="V7483" s="147"/>
    </row>
    <row r="7484" spans="20:22">
      <c r="T7484" s="146"/>
      <c r="V7484" s="147"/>
    </row>
    <row r="7485" spans="20:22">
      <c r="T7485" s="146"/>
      <c r="V7485" s="147"/>
    </row>
    <row r="7486" spans="20:22">
      <c r="T7486" s="146"/>
      <c r="V7486" s="147"/>
    </row>
    <row r="7487" spans="20:22">
      <c r="T7487" s="146"/>
      <c r="V7487" s="147"/>
    </row>
    <row r="7488" spans="20:22">
      <c r="T7488" s="146"/>
      <c r="V7488" s="147"/>
    </row>
    <row r="7489" spans="20:22">
      <c r="T7489" s="146"/>
      <c r="V7489" s="147"/>
    </row>
    <row r="7490" spans="20:22">
      <c r="T7490" s="146"/>
      <c r="V7490" s="147"/>
    </row>
    <row r="7491" spans="20:22">
      <c r="T7491" s="146"/>
      <c r="V7491" s="147"/>
    </row>
    <row r="7492" spans="20:22">
      <c r="T7492" s="146"/>
      <c r="V7492" s="147"/>
    </row>
    <row r="7493" spans="20:22">
      <c r="T7493" s="146"/>
      <c r="V7493" s="147"/>
    </row>
    <row r="7494" spans="20:22">
      <c r="T7494" s="146"/>
      <c r="V7494" s="147"/>
    </row>
    <row r="7495" spans="20:22">
      <c r="T7495" s="146"/>
      <c r="V7495" s="147"/>
    </row>
    <row r="7496" spans="20:22">
      <c r="T7496" s="146"/>
      <c r="V7496" s="147"/>
    </row>
    <row r="7497" spans="20:22">
      <c r="T7497" s="146"/>
      <c r="V7497" s="147"/>
    </row>
    <row r="7498" spans="20:22">
      <c r="T7498" s="146"/>
      <c r="V7498" s="147"/>
    </row>
    <row r="7499" spans="20:22">
      <c r="T7499" s="146"/>
      <c r="V7499" s="147"/>
    </row>
    <row r="7500" spans="20:22">
      <c r="T7500" s="146"/>
      <c r="V7500" s="147"/>
    </row>
    <row r="7501" spans="20:22">
      <c r="T7501" s="146"/>
      <c r="V7501" s="147"/>
    </row>
    <row r="7502" spans="20:22">
      <c r="T7502" s="146"/>
      <c r="V7502" s="147"/>
    </row>
    <row r="7503" spans="20:22">
      <c r="T7503" s="146"/>
      <c r="V7503" s="147"/>
    </row>
    <row r="7504" spans="20:22">
      <c r="T7504" s="146"/>
      <c r="V7504" s="147"/>
    </row>
    <row r="7505" spans="20:22">
      <c r="T7505" s="146"/>
      <c r="V7505" s="147"/>
    </row>
    <row r="7506" spans="20:22">
      <c r="T7506" s="146"/>
      <c r="V7506" s="147"/>
    </row>
    <row r="7507" spans="20:22">
      <c r="T7507" s="146"/>
      <c r="V7507" s="147"/>
    </row>
    <row r="7508" spans="20:22">
      <c r="T7508" s="146"/>
      <c r="V7508" s="147"/>
    </row>
    <row r="7509" spans="20:22">
      <c r="T7509" s="146"/>
      <c r="V7509" s="147"/>
    </row>
    <row r="7510" spans="20:22">
      <c r="T7510" s="146"/>
      <c r="V7510" s="147"/>
    </row>
    <row r="7511" spans="20:22">
      <c r="T7511" s="146"/>
      <c r="V7511" s="147"/>
    </row>
    <row r="7512" spans="20:22">
      <c r="T7512" s="146"/>
      <c r="V7512" s="147"/>
    </row>
    <row r="7513" spans="20:22">
      <c r="T7513" s="146"/>
      <c r="V7513" s="147"/>
    </row>
    <row r="7514" spans="20:22">
      <c r="T7514" s="146"/>
      <c r="V7514" s="147"/>
    </row>
    <row r="7515" spans="20:22">
      <c r="T7515" s="146"/>
      <c r="V7515" s="147"/>
    </row>
    <row r="7516" spans="20:22">
      <c r="T7516" s="146"/>
      <c r="V7516" s="147"/>
    </row>
    <row r="7517" spans="20:22">
      <c r="T7517" s="146"/>
      <c r="V7517" s="147"/>
    </row>
    <row r="7518" spans="20:22">
      <c r="T7518" s="146"/>
      <c r="V7518" s="147"/>
    </row>
    <row r="7519" spans="20:22">
      <c r="T7519" s="146"/>
      <c r="V7519" s="147"/>
    </row>
    <row r="7520" spans="20:22">
      <c r="T7520" s="146"/>
      <c r="V7520" s="147"/>
    </row>
    <row r="7521" spans="20:22">
      <c r="T7521" s="146"/>
      <c r="V7521" s="147"/>
    </row>
    <row r="7522" spans="20:22">
      <c r="T7522" s="146"/>
      <c r="V7522" s="147"/>
    </row>
    <row r="7523" spans="20:22">
      <c r="T7523" s="146"/>
      <c r="V7523" s="147"/>
    </row>
    <row r="7524" spans="20:22">
      <c r="T7524" s="146"/>
      <c r="V7524" s="147"/>
    </row>
    <row r="7525" spans="20:22">
      <c r="T7525" s="146"/>
      <c r="V7525" s="147"/>
    </row>
    <row r="7526" spans="20:22">
      <c r="T7526" s="146"/>
      <c r="V7526" s="147"/>
    </row>
    <row r="7527" spans="20:22">
      <c r="T7527" s="146"/>
      <c r="V7527" s="147"/>
    </row>
    <row r="7528" spans="20:22">
      <c r="T7528" s="146"/>
      <c r="V7528" s="147"/>
    </row>
    <row r="7529" spans="20:22">
      <c r="T7529" s="146"/>
      <c r="V7529" s="147"/>
    </row>
    <row r="7530" spans="20:22">
      <c r="T7530" s="146"/>
      <c r="V7530" s="147"/>
    </row>
    <row r="7531" spans="20:22">
      <c r="T7531" s="146"/>
      <c r="V7531" s="147"/>
    </row>
    <row r="7532" spans="20:22">
      <c r="T7532" s="146"/>
      <c r="V7532" s="147"/>
    </row>
    <row r="7533" spans="20:22">
      <c r="T7533" s="146"/>
      <c r="V7533" s="147"/>
    </row>
    <row r="7534" spans="20:22">
      <c r="T7534" s="146"/>
      <c r="V7534" s="147"/>
    </row>
    <row r="7535" spans="20:22">
      <c r="T7535" s="146"/>
      <c r="V7535" s="147"/>
    </row>
    <row r="7536" spans="20:22">
      <c r="T7536" s="146"/>
      <c r="V7536" s="147"/>
    </row>
    <row r="7537" spans="20:22">
      <c r="T7537" s="146"/>
      <c r="V7537" s="147"/>
    </row>
    <row r="7538" spans="20:22">
      <c r="T7538" s="146"/>
      <c r="V7538" s="147"/>
    </row>
    <row r="7539" spans="20:22">
      <c r="T7539" s="146"/>
      <c r="V7539" s="147"/>
    </row>
    <row r="7540" spans="20:22">
      <c r="T7540" s="146"/>
      <c r="V7540" s="147"/>
    </row>
    <row r="7541" spans="20:22">
      <c r="T7541" s="146"/>
      <c r="V7541" s="147"/>
    </row>
    <row r="7542" spans="20:22">
      <c r="T7542" s="146"/>
      <c r="V7542" s="147"/>
    </row>
    <row r="7543" spans="20:22">
      <c r="T7543" s="146"/>
      <c r="V7543" s="147"/>
    </row>
    <row r="7544" spans="20:22">
      <c r="T7544" s="146"/>
      <c r="V7544" s="147"/>
    </row>
    <row r="7545" spans="20:22">
      <c r="T7545" s="146"/>
      <c r="V7545" s="147"/>
    </row>
    <row r="7546" spans="20:22">
      <c r="T7546" s="146"/>
      <c r="V7546" s="147"/>
    </row>
    <row r="7547" spans="20:22">
      <c r="T7547" s="146"/>
      <c r="V7547" s="147"/>
    </row>
    <row r="7548" spans="20:22">
      <c r="T7548" s="146"/>
      <c r="V7548" s="147"/>
    </row>
    <row r="7549" spans="20:22">
      <c r="T7549" s="146"/>
      <c r="V7549" s="147"/>
    </row>
    <row r="7550" spans="20:22">
      <c r="T7550" s="146"/>
      <c r="V7550" s="147"/>
    </row>
    <row r="7551" spans="20:22">
      <c r="T7551" s="146"/>
      <c r="V7551" s="147"/>
    </row>
    <row r="7552" spans="20:22">
      <c r="T7552" s="146"/>
      <c r="V7552" s="147"/>
    </row>
    <row r="7553" spans="20:22">
      <c r="T7553" s="146"/>
      <c r="V7553" s="147"/>
    </row>
    <row r="7554" spans="20:22">
      <c r="T7554" s="146"/>
      <c r="V7554" s="147"/>
    </row>
    <row r="7555" spans="20:22">
      <c r="T7555" s="146"/>
      <c r="V7555" s="147"/>
    </row>
    <row r="7556" spans="20:22">
      <c r="T7556" s="146"/>
      <c r="V7556" s="147"/>
    </row>
    <row r="7557" spans="20:22">
      <c r="T7557" s="146"/>
      <c r="V7557" s="147"/>
    </row>
    <row r="7558" spans="20:22">
      <c r="T7558" s="146"/>
      <c r="V7558" s="147"/>
    </row>
    <row r="7559" spans="20:22">
      <c r="T7559" s="146"/>
      <c r="V7559" s="147"/>
    </row>
    <row r="7560" spans="20:22">
      <c r="T7560" s="146"/>
      <c r="V7560" s="147"/>
    </row>
    <row r="7561" spans="20:22">
      <c r="T7561" s="146"/>
      <c r="V7561" s="147"/>
    </row>
    <row r="7562" spans="20:22">
      <c r="T7562" s="146"/>
      <c r="V7562" s="147"/>
    </row>
    <row r="7563" spans="20:22">
      <c r="T7563" s="146"/>
      <c r="V7563" s="147"/>
    </row>
    <row r="7564" spans="20:22">
      <c r="T7564" s="146"/>
      <c r="V7564" s="147"/>
    </row>
    <row r="7565" spans="20:22">
      <c r="T7565" s="146"/>
      <c r="V7565" s="147"/>
    </row>
    <row r="7566" spans="20:22">
      <c r="T7566" s="146"/>
      <c r="V7566" s="147"/>
    </row>
    <row r="7567" spans="20:22">
      <c r="T7567" s="146"/>
      <c r="V7567" s="147"/>
    </row>
    <row r="7568" spans="20:22">
      <c r="T7568" s="146"/>
      <c r="V7568" s="147"/>
    </row>
    <row r="7569" spans="20:22">
      <c r="T7569" s="146"/>
      <c r="V7569" s="147"/>
    </row>
    <row r="7570" spans="20:22">
      <c r="T7570" s="146"/>
      <c r="V7570" s="147"/>
    </row>
    <row r="7571" spans="20:22">
      <c r="T7571" s="146"/>
      <c r="V7571" s="147"/>
    </row>
    <row r="7572" spans="20:22">
      <c r="T7572" s="146"/>
      <c r="V7572" s="147"/>
    </row>
    <row r="7573" spans="20:22">
      <c r="T7573" s="146"/>
      <c r="V7573" s="147"/>
    </row>
    <row r="7574" spans="20:22">
      <c r="T7574" s="146"/>
      <c r="V7574" s="147"/>
    </row>
    <row r="7575" spans="20:22">
      <c r="T7575" s="146"/>
      <c r="V7575" s="147"/>
    </row>
    <row r="7576" spans="20:22">
      <c r="T7576" s="146"/>
      <c r="V7576" s="147"/>
    </row>
    <row r="7577" spans="20:22">
      <c r="T7577" s="146"/>
      <c r="V7577" s="147"/>
    </row>
    <row r="7578" spans="20:22">
      <c r="T7578" s="146"/>
      <c r="V7578" s="147"/>
    </row>
    <row r="7579" spans="20:22">
      <c r="T7579" s="146"/>
      <c r="V7579" s="147"/>
    </row>
    <row r="7580" spans="20:22">
      <c r="T7580" s="146"/>
      <c r="V7580" s="147"/>
    </row>
    <row r="7581" spans="20:22">
      <c r="T7581" s="146"/>
      <c r="V7581" s="147"/>
    </row>
    <row r="7582" spans="20:22" ht="16.5" thickBot="1">
      <c r="T7582" s="359"/>
      <c r="U7582" s="362"/>
      <c r="V7582" s="361"/>
    </row>
  </sheetData>
  <scenarios current="0" show="0" sqref="E3:F7">
    <scenario name="ok" locked="1" count="15" user="CP56" comment="Criado por CP56 em 20/04/2022">
      <inputCells r="D3" val="79"/>
      <inputCells r="E3" val=""/>
      <inputCells r="D4" val="266"/>
      <inputCells r="E4" val=""/>
      <inputCells r="D5" val="140"/>
      <inputCells r="E5" val=""/>
      <inputCells r="D6" val="49"/>
      <inputCells r="E6" val=""/>
      <inputCells r="D7" val="20"/>
      <inputCells r="E7" val=""/>
      <inputCells r="E7" undone="1" val="18"/>
      <inputCells r="E6" undone="1" val="43"/>
      <inputCells r="E5" undone="1" val="139"/>
      <inputCells r="E4" undone="1" val="253"/>
      <inputCells r="E3" undone="1" val="40"/>
    </scenario>
  </scenarios>
  <mergeCells count="26">
    <mergeCell ref="A1:Y1"/>
    <mergeCell ref="Z1:Z14"/>
    <mergeCell ref="C12:E12"/>
    <mergeCell ref="F12:I12"/>
    <mergeCell ref="J12:M12"/>
    <mergeCell ref="C13:D13"/>
    <mergeCell ref="F13:G13"/>
    <mergeCell ref="J13:K13"/>
    <mergeCell ref="N13:O13"/>
    <mergeCell ref="N12:P12"/>
    <mergeCell ref="Q13:R13"/>
    <mergeCell ref="T12:V12"/>
    <mergeCell ref="Q12:S12"/>
    <mergeCell ref="W12:Y12"/>
    <mergeCell ref="E13:E14"/>
    <mergeCell ref="Z215:Z217"/>
    <mergeCell ref="H13:H14"/>
    <mergeCell ref="L13:L14"/>
    <mergeCell ref="M13:M14"/>
    <mergeCell ref="I13:I14"/>
    <mergeCell ref="T13:U13"/>
    <mergeCell ref="W13:X13"/>
    <mergeCell ref="P13:P14"/>
    <mergeCell ref="V13:V14"/>
    <mergeCell ref="Y13:Y14"/>
    <mergeCell ref="S13:S14"/>
  </mergeCells>
  <phoneticPr fontId="10" type="noConversion"/>
  <conditionalFormatting sqref="A15:A1628">
    <cfRule type="cellIs" dxfId="5" priority="20" stopIfTrue="1" operator="equal">
      <formula>TODAY()</formula>
    </cfRule>
  </conditionalFormatting>
  <conditionalFormatting sqref="B568:B1628">
    <cfRule type="timePeriod" dxfId="4" priority="1" timePeriod="lastWeek">
      <formula>AND(TODAY()-ROUNDDOWN(B568,0)&gt;=(WEEKDAY(TODAY())),TODAY()-ROUNDDOWN(B568,0)&lt;(WEEKDAY(TODAY())+7))</formula>
    </cfRule>
  </conditionalFormatting>
  <conditionalFormatting sqref="D15:D1330">
    <cfRule type="cellIs" dxfId="3" priority="3" operator="greaterThanOrEqual">
      <formula>3000</formula>
    </cfRule>
  </conditionalFormatting>
  <conditionalFormatting sqref="G15:G1330">
    <cfRule type="cellIs" dxfId="2" priority="2" operator="greaterThan">
      <formula>10000</formula>
    </cfRule>
  </conditionalFormatting>
  <conditionalFormatting sqref="K15:K1330">
    <cfRule type="cellIs" dxfId="1" priority="43" operator="greaterThanOrEqual">
      <formula>7000</formula>
    </cfRule>
  </conditionalFormatting>
  <conditionalFormatting sqref="O2:O11 O13:O1048576">
    <cfRule type="cellIs" dxfId="0" priority="38" operator="greaterThan">
      <formula>#REF!</formula>
    </cfRule>
    <cfRule type="iconSet" priority="39">
      <iconSet iconSet="3Symbols" reverse="1">
        <cfvo type="percent" val="0"/>
        <cfvo type="num" val="799"/>
        <cfvo type="num" val="800"/>
      </iconSet>
    </cfRule>
  </conditionalFormatting>
  <dataValidations disablePrompts="1" count="119">
    <dataValidation allowBlank="1" showInputMessage="1" showErrorMessage="1" promptTitle="FECHAMENTO" prompt="-FECHAMENTO 476_x000a_-M³_x000a_-CORTAR ÚLTIMOS 3 NÚMEROS_x000a_" sqref="E13" xr:uid="{03928360-07BA-4931-80C7-2A18B00C86FC}"/>
    <dataValidation allowBlank="1" showInputMessage="1" showErrorMessage="1" promptTitle="FECHAMENTO" prompt="-FECHAMENTO 494_x000a_-M³_x000a_-CORTAR ÚLTIMOS 3 NÚMEROS DO CONSUMO MENSAL TOTAL " sqref="I15:I224 I226:I254 I256:I284 I286:I295" xr:uid="{AC6A039D-2523-43F5-B157-AC6915769F4A}"/>
    <dataValidation allowBlank="1" showInputMessage="1" showErrorMessage="1" promptTitle="FECHAMENTO" prompt="-FECHAMENTO BELA CINTRA_x000a_-M³_x000a_-CORTAR ÚLTIMOS 3 NÚMEROS DO CONSUMO MENSAL TOTAL _x000a_" sqref="P15:P219 P221:P249 P251:P280 P282:P295" xr:uid="{0AD09A8E-489A-4E75-86CD-A53D92422F79}"/>
    <dataValidation allowBlank="1" showInputMessage="1" showErrorMessage="1" promptTitle="FECHAMENTO" prompt="-FECHAMENTO MAMORÉ _x000a_-M³_x000a_-CORTAR ÚLTIMOS 3 NÚMEROS DO CONSUMO TOTAL MENSAL" sqref="M15:M224 M226:M251 M253:M254 M13 M256:M284 M286:M295" xr:uid="{90BFF819-EAF2-41CD-B690-7234D23F4420}"/>
    <dataValidation allowBlank="1" showInputMessage="1" showErrorMessage="1" promptTitle="FECHAMENTO" prompt="-FECHAMENTO 476_x000a_-M³_x000a_-CORTAR ÚLTIMOS 3 NÚMEROS DO CONSUMO MENSAL TOTAL _x000a_" sqref="E15:E224 E226:E254 E256:E284 E286:E295" xr:uid="{0B9EEB7B-B0F5-4888-8767-2A8BED3BEA18}"/>
    <dataValidation allowBlank="1" showInputMessage="1" showErrorMessage="1" promptTitle="OBS" prompt="Limpeza caixa d'água." sqref="Z19" xr:uid="{97158D38-033E-4CDC-9C02-B05804357277}"/>
    <dataValidation allowBlank="1" showInputMessage="1" showErrorMessage="1" promptTitle="OBS" prompt="Consumo alterado para o preenchimento do sistema dos bombeiros" sqref="Z73:Z74" xr:uid="{3AC937D5-0A80-445E-880D-12F000D2A604}"/>
    <dataValidation allowBlank="1" showInputMessage="1" showErrorMessage="1" promptTitle="OBS" prompt="FOI AVERIGUADO E NÃO FOI LOCALIZADO VAZAMENTO" sqref="Z86:Z88" xr:uid="{5B998F46-BED6-424B-B71A-610F34F43D79}"/>
    <dataValidation allowBlank="1" showInputMessage="1" showErrorMessage="1" promptTitle="OBS" prompt="19/04 - 494- fechamento do registro devido obra do 3° pavimento. Térreo, 1°,2° e 3° andar sem água na mesma coluna do banheiro superior ( apenas banheiros femininos ficaram sem água)/ 14:30 até às 16:05. TEMPO ESTIMADO SEM ÁGUA: 1HORA E 35 MINUTOS" sqref="Z141" xr:uid="{957A52B4-B440-4853-898B-97BDD83F3A7F}"/>
    <dataValidation allowBlank="1" showInputMessage="1" showErrorMessage="1" promptTitle="OBS" prompt="PEQUENO VAZAMENTO ENCONTRADO NA CAMISARIA/ VISTORIADO PELO ALEXANDRE" sqref="Z151" xr:uid="{75C09385-8828-4679-99D1-CC6609660FA1}"/>
    <dataValidation allowBlank="1" showInputMessage="1" showErrorMessage="1" promptTitle="OBS" prompt="VAZAMENTO 494, BANHEIRO PRODUÇÃO" sqref="Z152" xr:uid="{C49EC503-83D7-4C6D-BF53-EB2BE0FF9DED}"/>
    <dataValidation allowBlank="1" showInputMessage="1" showErrorMessage="1" promptTitle="OBS" prompt="LEITUR NÃO REGISTRADA/BELA CINTRA" sqref="Z154" xr:uid="{82EEB4B9-BACE-4E89-94D5-D6667B89414C}"/>
    <dataValidation allowBlank="1" showInputMessage="1" showErrorMessage="1" promptTitle="OBS" prompt="LEITURA ATRASADA/BELA CINTRA" sqref="Z158" xr:uid="{145D1DF6-4EFD-4305-8B57-9D047E74AE2B}"/>
    <dataValidation allowBlank="1" showInputMessage="1" showErrorMessage="1" promptTitle="OBS" prompt="Não enviaram leitura de sábado, por isso foi adicionado um consumo médio, não real." sqref="Z159" xr:uid="{8E6880A8-5DE7-4950-9911-BFA2898A0F06}"/>
    <dataValidation allowBlank="1" showInputMessage="1" showErrorMessage="1" promptTitle="OBS" prompt="CONSUMO ESTIMADO " sqref="Z162" xr:uid="{A61E7FF1-8E35-4A0C-BD9E-3042C6A6314D}"/>
    <dataValidation allowBlank="1" showInputMessage="1" showErrorMessage="1" promptTitle="OBS" prompt="LEITURA BELA CINTRA NÃO ENVIADA" sqref="Z163" xr:uid="{A48B342E-A4D1-4528-B260-14AD4159CD56}"/>
    <dataValidation allowBlank="1" showInputMessage="1" showErrorMessage="1" prompt="LEITURA BC/NÃO ENVIADA " sqref="Z173" xr:uid="{DDE7CF89-4044-46E4-8317-9659A8326BBE}"/>
    <dataValidation allowBlank="1" showInputMessage="1" showErrorMessage="1" promptTitle="OBS" prompt="ALTO CONSUMO DECORRENTE DA LAVAGEM DA CALÇADA E OUTRAS MANUTENÇÕES (BC) _x000a__x000a_CAMINHÃO PIPA_x000a_20000LITROS" sqref="Z177" xr:uid="{9FBA4725-E1EB-4062-BA92-DF9D4B3F4788}"/>
    <dataValidation allowBlank="1" showInputMessage="1" showErrorMessage="1" promptTitle="BELVEDERE " prompt="ÍNICIO LEITURA BELVEDERE " sqref="Z179" xr:uid="{EB98E31B-A433-45AB-B557-A718B3EB1FD4}"/>
    <dataValidation allowBlank="1" showInputMessage="1" showErrorMessage="1" promptTitle="CAMINHÃO PIPA" prompt="20000 LITROS" sqref="Z181" xr:uid="{2FBEBB8A-0652-4B28-A649-6FB4C5FD81F0}"/>
    <dataValidation allowBlank="1" showInputMessage="1" showErrorMessage="1" promptTitle="Abastecimento " prompt="Consumo elevado na expedição, decorrente do transporte entre os reservatórios. " sqref="Z184" xr:uid="{8A476681-18D3-4E6F-827F-7380F76DE731}"/>
    <dataValidation allowBlank="1" showInputMessage="1" showErrorMessage="1" promptTitle="ATIVAMENTO BOMBA" prompt="Ativamento bomba do reservatório EXPEDIÇÃO" sqref="Z214" xr:uid="{7DBD17A7-0485-4612-A836-9FD6BCDDB03E}"/>
    <dataValidation allowBlank="1" showInputMessage="1" showErrorMessage="1" promptTitle="LEITURA NÃO ENVIADA" prompt="leitura não enviada " sqref="Z215:Z217" xr:uid="{5A0F6F9D-C7C0-473D-987D-27E8397ABBE1}"/>
    <dataValidation allowBlank="1" showInputMessage="1" showErrorMessage="1" promptTitle="FECHAMENTO" prompt="-FECHAMENTO BELA CINTRA_x000a_-M³_x000a_24_x000a_" sqref="P220" xr:uid="{AD7F5DB9-3550-451D-81FD-EA52D2301ADE}"/>
    <dataValidation allowBlank="1" showInputMessage="1" showErrorMessage="1" promptTitle="FECHAMENTO" prompt="-FECHAMENTO MAMORÉ _x000a_- 145M³_x000a_" sqref="M225" xr:uid="{0265715A-F899-41AD-855B-EE26D0EA8136}"/>
    <dataValidation allowBlank="1" showInputMessage="1" showErrorMessage="1" promptTitle="FECHAMENTO" prompt="-FECHAMENTO_x000a_- 79M³_x000a_" sqref="E225" xr:uid="{A35B0E48-9E89-4BA7-9757-C1FE61700E42}"/>
    <dataValidation allowBlank="1" showInputMessage="1" showErrorMessage="1" promptTitle="FECHAMENTO" prompt="-FECHAMENTO_x000a_- 262M³_x000a_" sqref="I225" xr:uid="{425D4B90-23D5-470E-BBDD-A2CA4F54A55B}"/>
    <dataValidation allowBlank="1" showInputMessage="1" showErrorMessage="1" prompt="ativação bomba da expedição_x000a_" sqref="Z247" xr:uid="{1BC2E17B-610F-42E5-A943-4573E75A84D9}"/>
    <dataValidation allowBlank="1" showInputMessage="1" showErrorMessage="1" promptTitle="Aumento consumo/ Camisaria " prompt="Consumo alto na Camisaria._x000a_Foi vericado se possui vazamentos e não foi encontrado nada de grave._x000a__x000a_O aumento do consumo pode ser explicado pelo aumento do número de funcionários._x000a_" sqref="Z277" xr:uid="{81BC97D4-C3F2-420D-B116-7151D6E12765}"/>
    <dataValidation allowBlank="1" showInputMessage="1" showErrorMessage="1" promptTitle="FECHAMENTO" prompt="-FECHAMENTO MAMORÉ _x000a_- 174M³_x000a_" sqref="M252 M255" xr:uid="{46842512-A2C4-43EA-8709-A33941CD2B9F}"/>
    <dataValidation allowBlank="1" showInputMessage="1" showErrorMessage="1" promptTitle="FECHAMENTO" prompt="-FECHAMENTO_x000a_- 241M³_x000a_" sqref="I255" xr:uid="{DD3C28C1-D31D-404D-B106-4C9D7A686A5A}"/>
    <dataValidation allowBlank="1" showInputMessage="1" showErrorMessage="1" promptTitle="FECHAMENTO" prompt="-FECHAMENTO BELA CINTRA_x000a_-M³_x000a_22_x000a_" sqref="P250" xr:uid="{56D1CA69-FDB4-4A92-8BF9-7F65D286F610}"/>
    <dataValidation allowBlank="1" showInputMessage="1" showErrorMessage="1" promptTitle="Leitura não enviada BELVEDERE " prompt="Leitura de BELVEDERE NÃO ENVIADA" sqref="Z278" xr:uid="{FBEB6E9A-2F08-4BD7-BD75-F82506914C30}"/>
    <dataValidation allowBlank="1" showInputMessage="1" showErrorMessage="1" promptTitle="FECHAMENTO" prompt="-FECHAMENTO_x000a_- 93M³_x000a_" sqref="E255" xr:uid="{10E3E5C9-5564-4FC0-92CF-17F067603689}"/>
    <dataValidation allowBlank="1" showInputMessage="1" showErrorMessage="1" promptTitle="FECHAMENTO" prompt="-FECHAMENTO_x000a_- 71M³_x000a_" sqref="E285" xr:uid="{84070099-692B-443D-93C9-4961C93B880B}"/>
    <dataValidation allowBlank="1" showInputMessage="1" showErrorMessage="1" promptTitle="FECHAMENTO" prompt="-FECHAMENTO MAMORÉ _x000a_- 172M³_x000a_" sqref="M285" xr:uid="{06ED5245-B1CA-414D-B1DC-ED327FA4E755}"/>
    <dataValidation allowBlank="1" showInputMessage="1" showErrorMessage="1" promptTitle="FECHAMENTO" prompt="-FECHAMENTO_x000a_- 249M³_x000a_" sqref="I285" xr:uid="{B64E6A84-D930-415A-99A1-43873149935F}"/>
    <dataValidation allowBlank="1" showInputMessage="1" showErrorMessage="1" promptTitle="FECHAMENTO" prompt="-FECHAMENTO BELA CINTRA_x000a_-M³_x000a_23_x000a_" sqref="P281" xr:uid="{2B0CDA64-C2B2-48D5-B591-7FA33CC7B56B}"/>
    <dataValidation allowBlank="1" showInputMessage="1" showErrorMessage="1" promptTitle="FECHAMENTO" prompt="-FECHAMENTO GALPÃO_x000a_-M³_x000a_11_x000a_" sqref="V285 V466" xr:uid="{7E2458B1-7A0D-4F6D-80B6-0F7343176E75}"/>
    <dataValidation allowBlank="1" showInputMessage="1" showErrorMessage="1" promptTitle="FECHAMENTO" prompt="-FECHAMENTO GALPÃO_x000a_-M³_x000a_6_x000a_" sqref="Y285 Y316" xr:uid="{0904E22E-5BEA-48B7-BFBB-907FA4961B2E}"/>
    <dataValidation allowBlank="1" showInputMessage="1" showErrorMessage="1" promptTitle="Leitura não enviada Mamore" prompt="Leitura da Mamoré não foi enviada" sqref="Z289" xr:uid="{CFEED074-20AB-4134-8F74-120519E188EB}"/>
    <dataValidation allowBlank="1" showInputMessage="1" showErrorMessage="1" promptTitle="FECHAMENTO" prompt="-FECHAMENTO_x000a_- 116m³_x000a_" sqref="E316" xr:uid="{F4383994-B30D-4D40-8E36-EE219A15CD70}"/>
    <dataValidation allowBlank="1" showInputMessage="1" showErrorMessage="1" promptTitle="FECHAMENTO" prompt="-FECHAMENTO_x000a_- 247M³_x000a_" sqref="I316" xr:uid="{F4666384-ACAE-457E-A210-1B1256D33B06}"/>
    <dataValidation allowBlank="1" showInputMessage="1" showErrorMessage="1" promptTitle="FECHAMENTO" prompt="-FECHAMENTO MAMORÉ _x000a_- 169M³_x000a_" sqref="M316" xr:uid="{13669DF3-855D-4467-ADB5-0DCFA3817F7D}"/>
    <dataValidation allowBlank="1" showInputMessage="1" showErrorMessage="1" promptTitle="FECHAMENTO" prompt="-FECHAMENTO BELA CINTRA_x000a_-M³_x000a_21_x000a_" sqref="P311" xr:uid="{33D4CB91-BDF1-4C99-A76D-D070EEFA78F5}"/>
    <dataValidation allowBlank="1" showInputMessage="1" showErrorMessage="1" promptTitle="FECHAMENTO" prompt="-FECHAMENTO GALPÃO_x000a_-M³_x000a_15_x000a_" sqref="V316 V407 V497" xr:uid="{822BA29C-3A53-4380-BC5B-30E800E3819F}"/>
    <dataValidation allowBlank="1" showInputMessage="1" showErrorMessage="1" promptTitle="Leitura foi enviada tarde" prompt="Leitura foi enviada tarde" sqref="Z332" xr:uid="{C1EBC7F9-E2DE-4FE9-91B1-F83FD1AC8725}"/>
    <dataValidation allowBlank="1" showInputMessage="1" showErrorMessage="1" promptTitle="Limpeza da fachada" prompt="Limpeza da fachada" sqref="Z333" xr:uid="{33C4D54E-4D97-40E4-84A8-247B08F15443}"/>
    <dataValidation allowBlank="1" showInputMessage="1" showErrorMessage="1" promptTitle="FECHAMENTO" prompt="-FECHAMENTO_x000a_- 124m³_x000a_" sqref="E346" xr:uid="{9E116B72-5D21-4FDB-A17D-11BDCDBD7E70}"/>
    <dataValidation allowBlank="1" showInputMessage="1" showErrorMessage="1" promptTitle="FECHAMENTO" prompt="-FECHAMENTO_x000a_- 218M³_x000a_" sqref="I346" xr:uid="{4148768E-2CEA-4EC4-A25B-2772AA1703AE}"/>
    <dataValidation allowBlank="1" showInputMessage="1" showErrorMessage="1" promptTitle="FECHAMENTO" prompt="-FECHAMENTO MAMORÉ _x000a_- 142M³_x000a_" sqref="M346" xr:uid="{83162BAF-003C-4042-BA9E-F785B3074B34}"/>
    <dataValidation allowBlank="1" showInputMessage="1" showErrorMessage="1" promptTitle="FECHAMENTO" prompt="-FECHAMENTO BELA CINTRA_x000a_-M³_x000a_19_x000a_" sqref="P341 P372" xr:uid="{43E04ED2-5EE0-4E54-898F-F6C7795CC95B}"/>
    <dataValidation allowBlank="1" showInputMessage="1" showErrorMessage="1" promptTitle="FECHAMENTO" prompt="-FECHAMENTO GALPÃO_x000a_-M³_x000a_8_x000a_" sqref="V346" xr:uid="{DF21C635-CE3B-4CDB-ABF1-ECC2EE2BB810}"/>
    <dataValidation allowBlank="1" showInputMessage="1" showErrorMessage="1" promptTitle="FECHAMENTO" prompt="-FECHAMENTO GALPÃO_x000a_-M³_x000a_9_x000a_" sqref="Y346" xr:uid="{9AAFC052-6547-4590-80CA-090C82096536}"/>
    <dataValidation allowBlank="1" showInputMessage="1" showErrorMessage="1" promptTitle="FECHAMENTO" prompt="-FECHAMENTO GALPÃO_x000a_-M³_x000a_20_x000a_" sqref="V376" xr:uid="{C26BA2DB-AB78-475F-940A-8F8CBFD03902}"/>
    <dataValidation allowBlank="1" showInputMessage="1" showErrorMessage="1" promptTitle="FECHAMENTO" prompt="-FECHAMENTO GALPÃO_x000a_-M³_x000a_2_x000a_" sqref="Y376 Y527 Y558 Y619" xr:uid="{335AA4C3-93B4-4380-AF32-B29F1FB6FC63}"/>
    <dataValidation allowBlank="1" showInputMessage="1" showErrorMessage="1" promptTitle="FECHAMENTO" prompt="-FECHAMENTO MAMORÉ _x000a_- 138m³" sqref="M376" xr:uid="{5BF349D8-EF10-4673-B72C-CF4F3785FC76}"/>
    <dataValidation allowBlank="1" showInputMessage="1" showErrorMessage="1" promptTitle="FECHAMENTO" prompt="-FECHAMENTO_x000a_- 120m³_x000a_" sqref="E376" xr:uid="{9DA2A3CD-EA85-47AC-B657-6F6594996387}"/>
    <dataValidation allowBlank="1" showInputMessage="1" showErrorMessage="1" promptTitle="FECHAMENTO" prompt="-FECHAMENTO_x000a_- 187M³_x000a_" sqref="I376" xr:uid="{148DFEF2-3A4B-40D3-AE6F-58912C8E90EF}"/>
    <dataValidation allowBlank="1" showInputMessage="1" showErrorMessage="1" promptTitle="Não foi possível fotografar." prompt="Estavam trabalhando perto do hidrometro_x000a_O 116 estava fechado e com alarme, no qual eu não possuo a senha." sqref="Z381" xr:uid="{99D49D8F-0CF5-42DB-A677-CFA34112C106}"/>
    <dataValidation allowBlank="1" showInputMessage="1" showErrorMessage="1" promptTitle="FECHAMENTO" prompt="-FECHAMENTO_x000a_- 53m³_x000a_" sqref="E407" xr:uid="{A9F2CE88-8C6B-4D90-9C3E-E5FA076E3BC5}"/>
    <dataValidation allowBlank="1" showInputMessage="1" showErrorMessage="1" promptTitle="FECHAMENTO" prompt="-FECHAMENTO_x000a_- 208M³_x000a_" sqref="I407" xr:uid="{96F00760-63CB-4F5C-B84B-10C958F17576}"/>
    <dataValidation allowBlank="1" showInputMessage="1" showErrorMessage="1" promptTitle="FECHAMENTO" prompt="-FECHAMENTO MAMORÉ _x000a_- 73m³" sqref="M407" xr:uid="{410D6ECB-AB1F-4B32-96F2-386A8310565B}"/>
    <dataValidation allowBlank="1" showInputMessage="1" showErrorMessage="1" promptTitle="FECHAMENTO" prompt="-FECHAMENTO GALPÃO_x000a_-M³_x000a_4_x000a_" sqref="Y407" xr:uid="{DA1FF543-B2AA-426E-9634-7626299C540B}"/>
    <dataValidation allowBlank="1" showInputMessage="1" showErrorMessage="1" promptTitle="FECHAMENTO" prompt="-FECHAMENTO BELA CINTRA_x000a_-M³_x000a_20" sqref="P403" xr:uid="{A8476315-D7A2-4A80-97E1-80FBAD4BF14E}"/>
    <dataValidation allowBlank="1" showInputMessage="1" showErrorMessage="1" promptTitle="FECHAMENTO" prompt="-FECHAMENTO GALPÃO_x000a_-M³_x000a_13_x000a_" sqref="V437" xr:uid="{DA465729-7D4F-400E-8A52-F177B8BF1462}"/>
    <dataValidation allowBlank="1" showInputMessage="1" showErrorMessage="1" promptTitle="FECHAMENTO" prompt="-FECHAMENTO GALPÃO_x000a_-M³_x000a_1_x000a_" sqref="Y437 Y466 Y497" xr:uid="{3B37CE39-339C-43B1-AE3D-C8C1184E1A7B}"/>
    <dataValidation allowBlank="1" showInputMessage="1" showErrorMessage="1" promptTitle="FECHAMENTO" prompt="-FECHAMENTO_x000a_- 90m³_x000a_" sqref="E437" xr:uid="{0FF3AE01-1397-408F-AE88-5B9564E434DC}"/>
    <dataValidation allowBlank="1" showInputMessage="1" showErrorMessage="1" promptTitle="FECHAMENTO" prompt="-FECHAMENTO_x000a_- 216M³_x000a_" sqref="I437" xr:uid="{25115810-2C4F-4A91-B418-21633C61249E}"/>
    <dataValidation allowBlank="1" showInputMessage="1" showErrorMessage="1" promptTitle="FECHAMENTO" prompt="-FECHAMENTO MAMORÉ _x000a_- 132m³" sqref="M437" xr:uid="{4C36F648-5C6A-44BE-9656-0D013AD0ECA5}"/>
    <dataValidation allowBlank="1" showInputMessage="1" showErrorMessage="1" promptTitle="FECHAMENTO" prompt="-FECHAMENTO BELA CINTRA_x000a_-M³_x000a_17" sqref="P432" xr:uid="{69EA6430-0902-45A3-A32D-57CB22BF9EFB}"/>
    <dataValidation allowBlank="1" showInputMessage="1" showErrorMessage="1" promptTitle="obs" prompt="Vazamento da mangueira do bebedouro do adm (Matriz) " sqref="Z445" xr:uid="{2008B27B-D469-4EDF-88DB-11CB6825DF40}"/>
    <dataValidation allowBlank="1" showInputMessage="1" showErrorMessage="1" promptTitle="FECHAMENTO" prompt="-FECHAMENTO_x000a_- 238M³_x000a_" sqref="I466" xr:uid="{E4E85233-8069-4C06-B4C3-A90127ABE883}"/>
    <dataValidation allowBlank="1" showInputMessage="1" showErrorMessage="1" promptTitle="FECHAMENTO" prompt="-FECHAMENTO MAMORÉ _x000a_- 151m³" sqref="M466" xr:uid="{4C92A761-30C0-4D5A-A123-6A0A269645FE}"/>
    <dataValidation allowBlank="1" showInputMessage="1" showErrorMessage="1" promptTitle="FECHAMENTO" prompt="-FECHAMENTO_x000a_- 130m³_x000a_" sqref="E466" xr:uid="{E1AE4FD3-3E2F-4825-9DFA-6BA0F298491C}"/>
    <dataValidation allowBlank="1" showInputMessage="1" showErrorMessage="1" promptTitle="FECHAMENTO" prompt="-FECHAMENTO BELA CINTRA_x000a_-M³_x000a_19" sqref="P462" xr:uid="{35D86251-7FA8-4407-AFC8-42AE547C6DD0}"/>
    <dataValidation allowBlank="1" showInputMessage="1" showErrorMessage="1" promptTitle="obs" prompt="Troca de hidrometro _x000a_Galpão, 92 " sqref="Z484" xr:uid="{D6DB81B7-BA1E-4A41-B66A-75F80D9DB206}"/>
    <dataValidation allowBlank="1" showInputMessage="1" showErrorMessage="1" promptTitle="obs" prompt="92_x000a_Enchimento da caixa dagua " sqref="Z491" xr:uid="{90171C68-6884-4744-9ABB-63C5D14090BE}"/>
    <dataValidation allowBlank="1" showInputMessage="1" showErrorMessage="1" promptTitle="FECHAMENTO" prompt="-FECHAMENTO_x000a_- 271M³_x000a_" sqref="I497" xr:uid="{6D09D6AD-62FC-40D9-9A28-281C63326F2A}"/>
    <dataValidation allowBlank="1" showInputMessage="1" showErrorMessage="1" promptTitle="FECHAMENTO" prompt="-FECHAMENTO_x000a_- 124_x000a_" sqref="E497" xr:uid="{C2410C29-7216-4033-89F9-7BBE1C003B57}"/>
    <dataValidation allowBlank="1" showInputMessage="1" showErrorMessage="1" promptTitle="FECHAMENTO" prompt="-FECHAMENTO MAMORÉ _x000a_- 141m³" sqref="M497" xr:uid="{B718A1F7-6047-4CCF-ACF5-F67F4C7E975F}"/>
    <dataValidation allowBlank="1" showInputMessage="1" showErrorMessage="1" promptTitle="FECHAMENTO" prompt="-FECHAMENTO BELA CINTRA_x000a_-M³_x000a_23" sqref="P492" xr:uid="{BB85D187-AB93-4A32-A423-42A4C8B0659A}"/>
    <dataValidation allowBlank="1" showInputMessage="1" showErrorMessage="1" promptTitle="obs" prompt="A leitura da 494 não foi enviada na segunda feira." sqref="Z507" xr:uid="{649A0A7A-F6BD-4B56-A74B-18E084307BF0}"/>
    <dataValidation allowBlank="1" showInputMessage="1" showErrorMessage="1" promptTitle="obs" prompt="No final de semana do feriado (01/05) foi realizado o teste de possíveis vazamentos na Bela Cintra. De acordo com o consumo e a leitura, não foi detectado vazamento. " sqref="Z516" xr:uid="{C598D2E7-CB2F-4374-8664-E837201652AC}"/>
    <dataValidation allowBlank="1" showInputMessage="1" showErrorMessage="1" promptTitle="FECHAMENTO" prompt="-FECHAMENTO_x000a_- 253M³_x000a_" sqref="I527 I742" xr:uid="{C1A9B73D-80B6-41FA-A740-02CA8AFBDFD7}"/>
    <dataValidation allowBlank="1" showInputMessage="1" showErrorMessage="1" promptTitle="FECHAMENTO" prompt="-FECHAMENTO MAMORÉ _x000a_- 140m³" sqref="M527" xr:uid="{AD31AFA6-6F1D-42C7-8754-4C46B221AA94}"/>
    <dataValidation allowBlank="1" showInputMessage="1" showErrorMessage="1" promptTitle="FECHAMENTO" prompt="-FECHAMENTO_x000a_- 105_x000a_" sqref="E527" xr:uid="{D409F44C-C306-4585-821B-EFF47085FEA3}"/>
    <dataValidation allowBlank="1" showInputMessage="1" showErrorMessage="1" promptTitle="FECHAMENTO" prompt="-FECHAMENTO BELA CINTRA_x000a_-20M³" sqref="P522 P553" xr:uid="{23AFA3D5-7F90-49D9-A444-3D7436F5C981}"/>
    <dataValidation allowBlank="1" showInputMessage="1" showErrorMessage="1" promptTitle="FECHAMENTO" prompt="-FECHAMENTO GALPÃO_x000a_-M³_x000a_14_x000a_" sqref="V527 V558" xr:uid="{3DEA1F80-01C4-4786-BD75-51F136EEC27E}"/>
    <dataValidation allowBlank="1" showInputMessage="1" showErrorMessage="1" promptTitle="obs" prompt="A leitura da sexta-feira não foi enviada para nós. " sqref="Z543" xr:uid="{41DD39DE-B9A4-4D9F-A703-D356913AB5A4}"/>
    <dataValidation allowBlank="1" showInputMessage="1" showErrorMessage="1" promptTitle="obs" prompt="A leitura do sábado  não foi enviada para nós. " sqref="Z551" xr:uid="{E6F84A04-EA42-46CF-8751-D9CDA68087AC}"/>
    <dataValidation allowBlank="1" showInputMessage="1" showErrorMessage="1" promptTitle="obs" prompt="Interferência dos feriado. " sqref="Z556:Z560" xr:uid="{03D9107C-8172-41B1-986A-62266A797742}"/>
    <dataValidation allowBlank="1" showInputMessage="1" showErrorMessage="1" promptTitle="FECHAMENTO" prompt="-FECHAMENTO_x000a_- 245M³_x000a_" sqref="I558" xr:uid="{E2567119-C107-496C-9EBE-95DFC42BDAA3}"/>
    <dataValidation allowBlank="1" showInputMessage="1" showErrorMessage="1" promptTitle="FECHAMENTO" prompt="-FECHAMENTO_x000a_- 116_x000a__x000a_" sqref="E558" xr:uid="{AA7E495E-83D7-4C75-B343-82FF72F784DA}"/>
    <dataValidation allowBlank="1" showInputMessage="1" showErrorMessage="1" promptTitle="FECHAMENTO" prompt="-FECHAMENTO MAMORÉ _x000a_- 135m³" sqref="M558" xr:uid="{A09248F3-9109-461A-9F1B-F688B5A1BD02}"/>
    <dataValidation allowBlank="1" showInputMessage="1" showErrorMessage="1" promptTitle="FECHAMENTO" prompt="-FECHAMENTO BELA CINTRA_x000a_-22M³" sqref="P583" xr:uid="{BCD0D8B7-63F7-4DB0-B614-71885F99D262}"/>
    <dataValidation allowBlank="1" showInputMessage="1" showErrorMessage="1" promptTitle="FECHAMENTO" prompt="-FECHAMENTO_x000a_- 217M³_x000a_" sqref="I589" xr:uid="{3B72F585-6CDB-4EE4-BD40-178D58B6B543}"/>
    <dataValidation allowBlank="1" showInputMessage="1" showErrorMessage="1" promptTitle="FECHAMENTO" prompt="-FECHAMENTO_x000a_CONTA - 343_x000a_PLANILHA - 114_x000a_" sqref="E589" xr:uid="{4427010A-0D7C-4793-BC0A-D6745A2B91A9}"/>
    <dataValidation allowBlank="1" showInputMessage="1" showErrorMessage="1" promptTitle="FECHAMENTO" prompt="-FECHAMENTO MAMORÉ _x000a_- 116_x000a_" sqref="M589" xr:uid="{2FD8A4B4-2100-4299-8058-44AC4FBBFDF3}"/>
    <dataValidation allowBlank="1" showInputMessage="1" showErrorMessage="1" promptTitle="FECHAMENTO" prompt="-FECHAMENTO BELVEDERE _x000a_-79" sqref="S578" xr:uid="{9B858704-28C2-4610-A149-622D49730FD7}"/>
    <dataValidation allowBlank="1" showInputMessage="1" showErrorMessage="1" promptTitle="FECHAMENTO" prompt="-FECHAMENTO GALPÃO_x000a_-M³_x000a_0_x000a__x000a_" sqref="V619" xr:uid="{B55F2ED2-A86B-4BC9-B5CE-D1691AAE4DCF}"/>
    <dataValidation allowBlank="1" showInputMessage="1" showErrorMessage="1" promptTitle="FECHAMENTO" prompt="-FECHAMENTO MAMORÉ _x000a_- 134_x000a_" sqref="M620" xr:uid="{84939AF3-E415-4C3A-94E1-060BC0BC5A2E}"/>
    <dataValidation allowBlank="1" showInputMessage="1" showErrorMessage="1" promptTitle="FECHAMENTO" prompt="-FECHAMENTO_x000a_- 257M³_x000a_" sqref="I620" xr:uid="{82B07217-2838-4365-912C-F67F1D2F062F}"/>
    <dataValidation allowBlank="1" showInputMessage="1" showErrorMessage="1" promptTitle="FECHAMENTO" prompt="-FECHAMENTO_x000a_- 99_x000a__x000a_" sqref="E620" xr:uid="{BC0E3BF8-D8F0-420D-B0F5-91FB5F346C93}"/>
    <dataValidation allowBlank="1" showInputMessage="1" showErrorMessage="1" promptTitle="FECHAMENTO" prompt="-FECHAMENTO BELA CINTRA_x000a_-23M³" sqref="P614 P646" xr:uid="{85CF95A9-1F80-4FA0-ABE8-12F89D897030}"/>
    <dataValidation allowBlank="1" showInputMessage="1" showErrorMessage="1" promptTitle="FECHAMENTO" prompt="-FECHAMENTO_x000a_- 36M³_x000a_" sqref="I651" xr:uid="{7B152725-0D0B-4CD1-9D64-204464A6784D}"/>
    <dataValidation allowBlank="1" showInputMessage="1" showErrorMessage="1" promptTitle="FECHAMENTO" prompt="-FECHAMENTO_x000a_- 267_x000a_" sqref="E651" xr:uid="{AC79251B-80E2-493F-A61F-B11E02FEC6C2}"/>
    <dataValidation allowBlank="1" showInputMessage="1" showErrorMessage="1" promptTitle="FECHAMENTO" prompt="-FECHAMENTO MAMORÉ _x000a_- 115_x000a_" sqref="M651" xr:uid="{351B5455-8485-414E-BF04-13DC5FC92548}"/>
    <dataValidation allowBlank="1" showInputMessage="1" showErrorMessage="1" promptTitle="FECHAMENTO" prompt="-FECHAMENTO_x000a_- 2M³_x000a_" sqref="I682" xr:uid="{521D3B89-AA2F-4545-9936-1DFD3C37A049}"/>
    <dataValidation allowBlank="1" showInputMessage="1" showErrorMessage="1" promptTitle="FECHAMENTO" prompt="-FECHAMENTO_x000a_- 355_x000a_" sqref="E682" xr:uid="{0A171393-703D-4A05-BCA0-FAD87BD103C3}"/>
    <dataValidation allowBlank="1" showInputMessage="1" showErrorMessage="1" promptTitle="FECHAMENTO" prompt="-FECHAMENTO MAMORÉ _x000a_- 138_x000a_" sqref="M682" xr:uid="{83DBDEB5-2D80-432C-AD6A-4AE088C90D8B}"/>
    <dataValidation allowBlank="1" showInputMessage="1" showErrorMessage="1" promptTitle="FECHAMENTO" prompt="-FECHAMENTO BELA CINTRA_x000a_-21 m³" sqref="P675" xr:uid="{3E1B3B82-9B51-4035-9674-88D1F2D6905B}"/>
    <dataValidation allowBlank="1" showInputMessage="1" showErrorMessage="1" promptTitle="FECHAMENTO" prompt="-FECHAMENTO_x000a_97_x000a__x000a_" sqref="E711" xr:uid="{E577913F-032A-423E-9949-5F3A99E468D3}"/>
    <dataValidation allowBlank="1" showInputMessage="1" showErrorMessage="1" promptTitle="FECHAMENTO" prompt="-FECHAMENTO_x000a_- 184M³_x000a_" sqref="I711" xr:uid="{E78AFC07-440D-472D-95E6-03E9BF2BE128}"/>
    <dataValidation allowBlank="1" showInputMessage="1" showErrorMessage="1" promptTitle="FECHAMENTO" prompt="-FECHAMENTO MAMORÉ _x000a_- 124_x000a_" sqref="M711" xr:uid="{0D6661F9-0E31-40C1-91B8-A926E4B08B81}"/>
    <dataValidation allowBlank="1" showInputMessage="1" showErrorMessage="1" promptTitle="FECHAMENTO" prompt="-FECHAMENTO BELA CINTRA_x000a_-22" sqref="P707" xr:uid="{0E37FC92-2302-4143-B96D-83A04A1EA148}"/>
    <dataValidation allowBlank="1" showInputMessage="1" showErrorMessage="1" promptTitle="Irregularidade no consumo diário" prompt="Pode haver anormalidades em decorrência do desnivel entre os reservatórios, além da reestruturação da equipe. No entanto, o consumo mensal segue padronizado, apenas o diário que pode estar alterado em determinados dias. " sqref="Z743 AA1" xr:uid="{8D72E5B2-EE0D-4043-A54F-C54FE80FE840}"/>
    <dataValidation allowBlank="1" showInputMessage="1" showErrorMessage="1" promptTitle="FECHAMENTO" prompt="-FECHAMENTO_x000a_107_x000a__x000a_" sqref="E742" xr:uid="{B80686E1-B6C2-4C0B-8449-2E279590D289}"/>
    <dataValidation allowBlank="1" showInputMessage="1" showErrorMessage="1" prompt="Foi tirada a leitura média, pois os técnicos estão sem acesso aos galpões. " sqref="V742" xr:uid="{8C12D56F-8E97-4C2D-9BAB-7E9D049CA044}"/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H499" evalError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8" id="{DA647724-543D-46B5-B72F-34980B375DD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3000</xm:f>
              </x14:cfvo>
              <x14:cfIcon iconSet="3Symbols" iconId="2"/>
              <x14:cfIcon iconSet="3Symbols" iconId="2"/>
              <x14:cfIcon iconSet="3Symbols" iconId="0"/>
            </x14:iconSet>
          </x14:cfRule>
          <xm:sqref>D15:D1330</xm:sqref>
        </x14:conditionalFormatting>
        <x14:conditionalFormatting xmlns:xm="http://schemas.microsoft.com/office/excel/2006/main">
          <x14:cfRule type="iconSet" priority="37" id="{C518CF04-62A8-46A7-B3C2-C1BBAF681C1F}">
            <x14:iconSet iconSet="3Symbol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10000</xm:f>
              </x14:cfvo>
              <x14:cfIcon iconSet="3Symbols" iconId="2"/>
              <x14:cfIcon iconSet="3Symbols" iconId="2"/>
              <x14:cfIcon iconSet="3Symbols" iconId="0"/>
            </x14:iconSet>
          </x14:cfRule>
          <xm:sqref>G15:G1330</xm:sqref>
        </x14:conditionalFormatting>
        <x14:conditionalFormatting xmlns:xm="http://schemas.microsoft.com/office/excel/2006/main">
          <x14:cfRule type="iconSet" priority="42" id="{597D9D2D-E66E-4146-9518-118EDC30C27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7000</xm:f>
              </x14:cfvo>
              <x14:cfIcon iconSet="3Symbols" iconId="2"/>
              <x14:cfIcon iconSet="3Symbols" iconId="2"/>
              <x14:cfIcon iconSet="3Symbols" iconId="0"/>
            </x14:iconSet>
          </x14:cfRule>
          <xm:sqref>K15:K1330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E558-42FB-4EA1-9182-C1B10139E914}">
  <sheetPr codeName="Planilha4">
    <pageSetUpPr fitToPage="1"/>
  </sheetPr>
  <dimension ref="A1:AD39"/>
  <sheetViews>
    <sheetView zoomScale="37" zoomScaleNormal="37" workbookViewId="0">
      <selection activeCell="N3" sqref="N3:N4"/>
    </sheetView>
  </sheetViews>
  <sheetFormatPr defaultRowHeight="28.5"/>
  <cols>
    <col min="1" max="1" width="33.28515625" style="179" bestFit="1" customWidth="1"/>
    <col min="2" max="2" width="13.85546875" style="179" bestFit="1" customWidth="1"/>
    <col min="3" max="3" width="14.42578125" style="179" bestFit="1" customWidth="1"/>
    <col min="4" max="4" width="16" style="179" bestFit="1" customWidth="1"/>
    <col min="5" max="5" width="14.85546875" style="179" bestFit="1" customWidth="1"/>
    <col min="6" max="6" width="15.5703125" style="179" bestFit="1" customWidth="1"/>
    <col min="7" max="7" width="14.140625" style="179" bestFit="1" customWidth="1"/>
    <col min="8" max="8" width="13.7109375" style="179" bestFit="1" customWidth="1"/>
    <col min="9" max="9" width="15.140625" style="179" bestFit="1" customWidth="1"/>
    <col min="10" max="10" width="14.42578125" style="179" bestFit="1" customWidth="1"/>
    <col min="11" max="11" width="15.140625" style="179" bestFit="1" customWidth="1"/>
    <col min="12" max="12" width="15.5703125" style="179" bestFit="1" customWidth="1"/>
    <col min="13" max="13" width="15.140625" style="179" bestFit="1" customWidth="1"/>
    <col min="14" max="14" width="22" style="179" customWidth="1"/>
    <col min="15" max="15" width="28" style="179" bestFit="1" customWidth="1"/>
    <col min="16" max="16" width="32.5703125" style="179" bestFit="1" customWidth="1"/>
    <col min="17" max="17" width="28" style="179" bestFit="1" customWidth="1"/>
    <col min="18" max="18" width="25.7109375" style="179" bestFit="1" customWidth="1"/>
    <col min="19" max="19" width="30.42578125" style="179" bestFit="1" customWidth="1"/>
    <col min="20" max="21" width="9.140625" style="179"/>
    <col min="22" max="22" width="28.85546875" style="179" customWidth="1"/>
    <col min="23" max="23" width="26.85546875" style="179" customWidth="1"/>
    <col min="26" max="26" width="14.42578125" bestFit="1" customWidth="1"/>
    <col min="27" max="27" width="15.7109375" bestFit="1" customWidth="1"/>
    <col min="28" max="28" width="14.42578125" bestFit="1" customWidth="1"/>
    <col min="29" max="29" width="13.42578125" bestFit="1" customWidth="1"/>
    <col min="30" max="30" width="12.140625" bestFit="1" customWidth="1"/>
  </cols>
  <sheetData>
    <row r="1" spans="1:30" ht="29.25" thickBot="1"/>
    <row r="2" spans="1:30">
      <c r="A2" s="180" t="s">
        <v>97</v>
      </c>
      <c r="B2" s="181">
        <v>44562</v>
      </c>
      <c r="C2" s="181">
        <v>44593</v>
      </c>
      <c r="D2" s="181">
        <v>44621</v>
      </c>
      <c r="E2" s="181">
        <v>44652</v>
      </c>
      <c r="F2" s="181">
        <v>44682</v>
      </c>
      <c r="G2" s="181">
        <v>44713</v>
      </c>
      <c r="H2" s="181">
        <v>44743</v>
      </c>
      <c r="I2" s="181">
        <v>44774</v>
      </c>
      <c r="J2" s="181">
        <v>44805</v>
      </c>
      <c r="K2" s="181">
        <v>44835</v>
      </c>
      <c r="L2" s="181">
        <v>44866</v>
      </c>
      <c r="M2" s="182">
        <v>44896</v>
      </c>
      <c r="N2" s="183" t="s">
        <v>96</v>
      </c>
    </row>
    <row r="3" spans="1:30">
      <c r="A3" s="184" t="s">
        <v>15</v>
      </c>
      <c r="B3" s="185">
        <v>64</v>
      </c>
      <c r="C3" s="186">
        <v>62</v>
      </c>
      <c r="D3" s="185">
        <v>79</v>
      </c>
      <c r="E3" s="186">
        <v>40</v>
      </c>
      <c r="F3" s="186">
        <v>14</v>
      </c>
      <c r="G3" s="186">
        <v>52</v>
      </c>
      <c r="H3" s="186">
        <v>79</v>
      </c>
      <c r="I3" s="186">
        <v>93</v>
      </c>
      <c r="J3" s="186">
        <v>71</v>
      </c>
      <c r="K3" s="186">
        <v>116</v>
      </c>
      <c r="L3" s="186">
        <v>124</v>
      </c>
      <c r="M3" s="187">
        <v>120</v>
      </c>
      <c r="N3" s="188">
        <f t="shared" ref="N3:N10" si="0">SUM(B3:M3)</f>
        <v>914</v>
      </c>
    </row>
    <row r="4" spans="1:30">
      <c r="A4" s="189" t="s">
        <v>16</v>
      </c>
      <c r="B4" s="185">
        <v>145</v>
      </c>
      <c r="C4" s="185">
        <v>233</v>
      </c>
      <c r="D4" s="185">
        <v>266</v>
      </c>
      <c r="E4" s="186">
        <v>253</v>
      </c>
      <c r="F4" s="186">
        <v>224</v>
      </c>
      <c r="G4" s="186">
        <v>211</v>
      </c>
      <c r="H4" s="186">
        <v>262</v>
      </c>
      <c r="I4" s="186">
        <v>241</v>
      </c>
      <c r="J4" s="186">
        <v>249</v>
      </c>
      <c r="K4" s="186">
        <v>247</v>
      </c>
      <c r="L4" s="186">
        <v>218</v>
      </c>
      <c r="M4" s="187">
        <v>187</v>
      </c>
      <c r="N4" s="188">
        <f t="shared" si="0"/>
        <v>2736</v>
      </c>
    </row>
    <row r="5" spans="1:30">
      <c r="A5" s="190" t="s">
        <v>0</v>
      </c>
      <c r="B5" s="191">
        <v>72</v>
      </c>
      <c r="C5" s="192">
        <v>136</v>
      </c>
      <c r="D5" s="192">
        <v>140</v>
      </c>
      <c r="E5" s="193">
        <v>139</v>
      </c>
      <c r="F5" s="193">
        <v>144</v>
      </c>
      <c r="G5" s="186">
        <v>139</v>
      </c>
      <c r="H5" s="186">
        <v>145</v>
      </c>
      <c r="I5" s="186">
        <v>174</v>
      </c>
      <c r="J5" s="186">
        <v>172</v>
      </c>
      <c r="K5" s="186">
        <v>169</v>
      </c>
      <c r="L5" s="186">
        <v>142</v>
      </c>
      <c r="M5" s="187">
        <v>138</v>
      </c>
      <c r="N5" s="188">
        <f t="shared" si="0"/>
        <v>1710</v>
      </c>
    </row>
    <row r="6" spans="1:30">
      <c r="A6" s="194" t="s">
        <v>2</v>
      </c>
      <c r="B6" s="185">
        <v>38</v>
      </c>
      <c r="C6" s="185">
        <v>40</v>
      </c>
      <c r="D6" s="185">
        <v>49</v>
      </c>
      <c r="E6" s="186">
        <v>43</v>
      </c>
      <c r="F6" s="186">
        <v>43</v>
      </c>
      <c r="G6" s="186">
        <v>51</v>
      </c>
      <c r="H6" s="186">
        <v>43</v>
      </c>
      <c r="I6" s="186">
        <v>47</v>
      </c>
      <c r="J6" s="186">
        <v>44</v>
      </c>
      <c r="K6" s="186">
        <v>51</v>
      </c>
      <c r="L6" s="186">
        <v>58</v>
      </c>
      <c r="M6" s="195">
        <v>51</v>
      </c>
      <c r="N6" s="188">
        <f t="shared" si="0"/>
        <v>558</v>
      </c>
      <c r="Z6" s="175"/>
      <c r="AA6" s="175">
        <v>476</v>
      </c>
      <c r="AB6" s="175">
        <v>494</v>
      </c>
      <c r="AC6" s="175" t="s">
        <v>98</v>
      </c>
      <c r="AD6" s="175" t="s">
        <v>99</v>
      </c>
    </row>
    <row r="7" spans="1:30">
      <c r="A7" s="196" t="s">
        <v>1</v>
      </c>
      <c r="B7" s="185">
        <v>16</v>
      </c>
      <c r="C7" s="185">
        <v>16</v>
      </c>
      <c r="D7" s="185">
        <v>20</v>
      </c>
      <c r="E7" s="186">
        <v>18</v>
      </c>
      <c r="F7" s="186">
        <v>19</v>
      </c>
      <c r="G7" s="186">
        <v>25</v>
      </c>
      <c r="H7" s="186">
        <v>24</v>
      </c>
      <c r="I7" s="186">
        <v>22</v>
      </c>
      <c r="J7" s="186">
        <v>23</v>
      </c>
      <c r="K7" s="186">
        <v>21</v>
      </c>
      <c r="L7" s="186">
        <v>19</v>
      </c>
      <c r="M7" s="187">
        <v>19</v>
      </c>
      <c r="N7" s="188">
        <f t="shared" si="0"/>
        <v>242</v>
      </c>
      <c r="Z7" s="175"/>
      <c r="AA7" s="176">
        <v>1314.32</v>
      </c>
      <c r="AB7" s="176">
        <v>6769.91</v>
      </c>
      <c r="AC7" s="176">
        <v>2752.07</v>
      </c>
      <c r="AD7" s="175">
        <v>253.71</v>
      </c>
    </row>
    <row r="8" spans="1:30">
      <c r="A8" s="197" t="s">
        <v>53</v>
      </c>
      <c r="B8" s="185">
        <v>0</v>
      </c>
      <c r="C8" s="185">
        <v>0</v>
      </c>
      <c r="D8" s="185">
        <v>0</v>
      </c>
      <c r="E8" s="186">
        <v>0</v>
      </c>
      <c r="F8" s="186">
        <v>0</v>
      </c>
      <c r="G8" s="186">
        <v>0</v>
      </c>
      <c r="H8" s="186">
        <v>0</v>
      </c>
      <c r="I8" s="186">
        <v>0</v>
      </c>
      <c r="J8" s="186">
        <v>0</v>
      </c>
      <c r="K8" s="186">
        <v>0</v>
      </c>
      <c r="L8" s="186">
        <v>0</v>
      </c>
      <c r="M8" s="187">
        <v>0</v>
      </c>
      <c r="N8" s="188">
        <f t="shared" si="0"/>
        <v>0</v>
      </c>
      <c r="Z8" s="175"/>
      <c r="AA8" s="175">
        <v>230.86</v>
      </c>
      <c r="AB8" s="176">
        <v>10922.44</v>
      </c>
      <c r="AC8" s="176">
        <v>5564.6</v>
      </c>
      <c r="AD8" s="175">
        <v>262.14999999999998</v>
      </c>
    </row>
    <row r="9" spans="1:30">
      <c r="A9" s="198" t="s">
        <v>93</v>
      </c>
      <c r="B9" s="185">
        <v>0</v>
      </c>
      <c r="C9" s="185">
        <v>0</v>
      </c>
      <c r="D9" s="185">
        <v>0</v>
      </c>
      <c r="E9" s="186">
        <v>0</v>
      </c>
      <c r="F9" s="186">
        <v>0</v>
      </c>
      <c r="G9" s="186">
        <v>0</v>
      </c>
      <c r="H9" s="186">
        <v>0</v>
      </c>
      <c r="I9" s="186">
        <v>0</v>
      </c>
      <c r="J9" s="186">
        <v>11</v>
      </c>
      <c r="K9" s="186">
        <v>15</v>
      </c>
      <c r="L9" s="186">
        <v>8</v>
      </c>
      <c r="M9" s="187">
        <v>20</v>
      </c>
      <c r="N9" s="188">
        <f t="shared" si="0"/>
        <v>54</v>
      </c>
      <c r="Z9" s="175"/>
      <c r="AA9" s="176">
        <v>2155.92</v>
      </c>
      <c r="AB9" s="176">
        <v>12565.36</v>
      </c>
      <c r="AC9" s="176">
        <v>5746.47</v>
      </c>
      <c r="AD9" s="175">
        <v>341.14</v>
      </c>
    </row>
    <row r="10" spans="1:30" ht="29.25" thickBot="1">
      <c r="A10" s="199" t="s">
        <v>94</v>
      </c>
      <c r="B10" s="200">
        <v>0</v>
      </c>
      <c r="C10" s="200">
        <v>0</v>
      </c>
      <c r="D10" s="200">
        <v>0</v>
      </c>
      <c r="E10" s="201">
        <v>0</v>
      </c>
      <c r="F10" s="201">
        <v>0</v>
      </c>
      <c r="G10" s="201">
        <v>0</v>
      </c>
      <c r="H10" s="201">
        <v>0</v>
      </c>
      <c r="I10" s="201">
        <v>0</v>
      </c>
      <c r="J10" s="201">
        <v>6</v>
      </c>
      <c r="K10" s="201">
        <v>6</v>
      </c>
      <c r="L10" s="201">
        <v>9</v>
      </c>
      <c r="M10" s="202">
        <v>2</v>
      </c>
      <c r="N10" s="188">
        <f t="shared" si="0"/>
        <v>23</v>
      </c>
      <c r="Z10" s="175"/>
      <c r="AA10" s="176">
        <v>3646.92</v>
      </c>
      <c r="AB10" s="176">
        <v>11895.51</v>
      </c>
      <c r="AC10" s="176">
        <v>5680.32</v>
      </c>
      <c r="AD10" s="175">
        <v>299.25</v>
      </c>
    </row>
    <row r="11" spans="1:30" ht="29.25" thickBot="1">
      <c r="A11" s="203" t="s">
        <v>96</v>
      </c>
      <c r="B11" s="204">
        <f t="shared" ref="B11:N11" si="1">SUM(B3:B10)</f>
        <v>335</v>
      </c>
      <c r="C11" s="204">
        <f t="shared" si="1"/>
        <v>487</v>
      </c>
      <c r="D11" s="204">
        <f t="shared" si="1"/>
        <v>554</v>
      </c>
      <c r="E11" s="204">
        <f t="shared" si="1"/>
        <v>493</v>
      </c>
      <c r="F11" s="204">
        <f t="shared" si="1"/>
        <v>444</v>
      </c>
      <c r="G11" s="204">
        <f t="shared" si="1"/>
        <v>478</v>
      </c>
      <c r="H11" s="204">
        <f t="shared" si="1"/>
        <v>553</v>
      </c>
      <c r="I11" s="204">
        <f t="shared" si="1"/>
        <v>577</v>
      </c>
      <c r="J11" s="204">
        <f t="shared" si="1"/>
        <v>576</v>
      </c>
      <c r="K11" s="204">
        <f t="shared" si="1"/>
        <v>625</v>
      </c>
      <c r="L11" s="204">
        <f t="shared" si="1"/>
        <v>578</v>
      </c>
      <c r="M11" s="205">
        <f t="shared" si="1"/>
        <v>537</v>
      </c>
      <c r="N11" s="206">
        <f t="shared" si="1"/>
        <v>6237</v>
      </c>
      <c r="Z11" s="175"/>
      <c r="AA11" s="176">
        <v>4458.8100000000004</v>
      </c>
      <c r="AB11" s="176">
        <v>10608.63</v>
      </c>
      <c r="AC11" s="176">
        <v>6004.31</v>
      </c>
      <c r="AD11" s="175">
        <v>322.02</v>
      </c>
    </row>
    <row r="12" spans="1:30">
      <c r="Z12" s="175"/>
      <c r="AA12" s="176">
        <v>3223.11</v>
      </c>
      <c r="AB12" s="176">
        <v>10918.16</v>
      </c>
      <c r="AC12" s="176">
        <v>6431.56</v>
      </c>
      <c r="AD12" s="175">
        <v>288.83999999999997</v>
      </c>
    </row>
    <row r="13" spans="1:30">
      <c r="Z13" s="175"/>
      <c r="AA13" s="176">
        <v>5725.15</v>
      </c>
      <c r="AB13" s="176">
        <v>13925.71</v>
      </c>
      <c r="AC13" s="176">
        <v>6716.02</v>
      </c>
      <c r="AD13" s="175">
        <v>585.91</v>
      </c>
    </row>
    <row r="14" spans="1:30">
      <c r="Z14" s="175"/>
      <c r="AA14" s="176">
        <v>6200.03</v>
      </c>
      <c r="AB14" s="176">
        <v>12659.38</v>
      </c>
      <c r="AC14" s="176">
        <v>8226.9</v>
      </c>
      <c r="AD14" s="175">
        <v>487.43</v>
      </c>
    </row>
    <row r="15" spans="1:30">
      <c r="Z15" s="175"/>
      <c r="AA15" s="176">
        <v>5975.36</v>
      </c>
      <c r="AB15" s="176">
        <v>13221.06</v>
      </c>
      <c r="AC15" s="176">
        <v>8124.3</v>
      </c>
      <c r="AD15" s="175">
        <v>516.79</v>
      </c>
    </row>
    <row r="16" spans="1:30">
      <c r="Z16" s="175"/>
      <c r="AA16" s="177">
        <f>SUBTOTAL(9,AA7:AA15)</f>
        <v>32930.480000000003</v>
      </c>
      <c r="AB16" s="176">
        <v>13083.19</v>
      </c>
      <c r="AC16" s="176">
        <v>7947.1</v>
      </c>
      <c r="AD16" s="175">
        <v>438.18</v>
      </c>
    </row>
    <row r="17" spans="26:30">
      <c r="Z17" s="175"/>
      <c r="AA17" s="175"/>
      <c r="AB17" s="176">
        <v>11479.84</v>
      </c>
      <c r="AC17" s="176">
        <v>6585.44</v>
      </c>
      <c r="AD17" s="175">
        <v>363.24</v>
      </c>
    </row>
    <row r="18" spans="26:30">
      <c r="Z18" s="175"/>
      <c r="AA18" s="175"/>
      <c r="AB18" s="176">
        <v>9738.6299999999992</v>
      </c>
      <c r="AC18" s="176">
        <v>6380.26</v>
      </c>
      <c r="AD18" s="175">
        <v>359.12</v>
      </c>
    </row>
    <row r="19" spans="26:30">
      <c r="Z19" s="175"/>
      <c r="AA19" s="175"/>
      <c r="AB19" s="175"/>
      <c r="AC19" s="175"/>
      <c r="AD19" s="175"/>
    </row>
    <row r="20" spans="26:30">
      <c r="Z20" s="175"/>
      <c r="AA20" s="175"/>
      <c r="AB20" s="177">
        <f>SUBTOTAL(9,AB7:AB19)</f>
        <v>137787.82</v>
      </c>
      <c r="AC20" s="177">
        <f>SUBTOTAL(9,AC7:AC19)</f>
        <v>76159.350000000006</v>
      </c>
      <c r="AD20" s="177">
        <f>SUBTOTAL(9,AD7:AD19)</f>
        <v>4517.78</v>
      </c>
    </row>
    <row r="21" spans="26:30">
      <c r="Z21" s="175">
        <v>476</v>
      </c>
      <c r="AA21" s="175">
        <v>494</v>
      </c>
      <c r="AB21" s="175" t="s">
        <v>98</v>
      </c>
      <c r="AC21" s="175" t="s">
        <v>100</v>
      </c>
      <c r="AD21" s="175"/>
    </row>
    <row r="22" spans="26:30">
      <c r="Z22" s="177">
        <v>32930.480000000003</v>
      </c>
      <c r="AA22" s="177">
        <v>137787.82</v>
      </c>
      <c r="AB22" s="177">
        <v>76159.350000000006</v>
      </c>
      <c r="AC22" s="177">
        <v>4517.78</v>
      </c>
      <c r="AD22" s="175"/>
    </row>
    <row r="23" spans="26:30">
      <c r="Z23" s="175"/>
      <c r="AA23" s="175"/>
      <c r="AB23" s="175"/>
      <c r="AC23" s="175"/>
      <c r="AD23" s="175"/>
    </row>
    <row r="38" spans="15:19">
      <c r="O38" s="207">
        <v>476</v>
      </c>
      <c r="P38" s="207">
        <v>494</v>
      </c>
      <c r="Q38" s="207" t="s">
        <v>98</v>
      </c>
      <c r="R38" s="207" t="s">
        <v>99</v>
      </c>
      <c r="S38" s="179" t="s">
        <v>96</v>
      </c>
    </row>
    <row r="39" spans="15:19">
      <c r="O39" s="208">
        <v>32930.480000000003</v>
      </c>
      <c r="P39" s="208">
        <v>137787.82</v>
      </c>
      <c r="Q39" s="208">
        <v>76159.350000000006</v>
      </c>
      <c r="R39" s="208">
        <v>4517.78</v>
      </c>
      <c r="S39" s="209">
        <f>SUM(O39:R39)</f>
        <v>251395.43000000002</v>
      </c>
    </row>
  </sheetData>
  <pageMargins left="0" right="0" top="0" bottom="0" header="0" footer="0"/>
  <pageSetup paperSize="8" scale="38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E888-2C40-4188-943E-51E65305CBFB}">
  <sheetPr codeName="Planilha5">
    <pageSetUpPr fitToPage="1"/>
  </sheetPr>
  <dimension ref="A1:AD40"/>
  <sheetViews>
    <sheetView zoomScale="36" zoomScaleNormal="36" workbookViewId="0">
      <selection activeCell="N3" sqref="N3:N4"/>
    </sheetView>
  </sheetViews>
  <sheetFormatPr defaultRowHeight="28.5"/>
  <cols>
    <col min="1" max="1" width="47.7109375" style="179" bestFit="1" customWidth="1"/>
    <col min="2" max="2" width="36.7109375" style="179" bestFit="1" customWidth="1"/>
    <col min="3" max="13" width="32.85546875" style="179" bestFit="1" customWidth="1"/>
    <col min="14" max="14" width="44.7109375" style="179" bestFit="1" customWidth="1"/>
    <col min="15" max="15" width="28" style="179" bestFit="1" customWidth="1"/>
    <col min="16" max="16" width="30.28515625" style="179" bestFit="1" customWidth="1"/>
    <col min="17" max="17" width="28" style="179" bestFit="1" customWidth="1"/>
    <col min="18" max="18" width="25.7109375" style="179" bestFit="1" customWidth="1"/>
    <col min="19" max="19" width="30.42578125" style="179" bestFit="1" customWidth="1"/>
    <col min="20" max="21" width="9.140625" style="179"/>
    <col min="22" max="22" width="28.85546875" style="179" customWidth="1"/>
    <col min="23" max="23" width="26.85546875" style="179" customWidth="1"/>
    <col min="26" max="26" width="14.42578125" bestFit="1" customWidth="1"/>
    <col min="27" max="27" width="15.7109375" bestFit="1" customWidth="1"/>
    <col min="28" max="28" width="14.42578125" bestFit="1" customWidth="1"/>
    <col min="29" max="29" width="13.42578125" bestFit="1" customWidth="1"/>
    <col min="30" max="30" width="12.140625" bestFit="1" customWidth="1"/>
  </cols>
  <sheetData>
    <row r="1" spans="1:30" ht="29.25" thickBot="1"/>
    <row r="2" spans="1:30">
      <c r="A2" s="180" t="s">
        <v>97</v>
      </c>
      <c r="B2" s="181">
        <v>44927</v>
      </c>
      <c r="C2" s="181">
        <v>44958</v>
      </c>
      <c r="D2" s="181">
        <v>44986</v>
      </c>
      <c r="E2" s="181">
        <v>45017</v>
      </c>
      <c r="F2" s="181">
        <v>45047</v>
      </c>
      <c r="G2" s="181">
        <v>45078</v>
      </c>
      <c r="H2" s="181">
        <v>45108</v>
      </c>
      <c r="I2" s="181">
        <v>45139</v>
      </c>
      <c r="J2" s="181">
        <v>45170</v>
      </c>
      <c r="K2" s="181">
        <v>45200</v>
      </c>
      <c r="L2" s="181">
        <v>45231</v>
      </c>
      <c r="M2" s="181">
        <v>45261</v>
      </c>
      <c r="N2" s="183" t="s">
        <v>96</v>
      </c>
    </row>
    <row r="3" spans="1:30">
      <c r="A3" s="184" t="s">
        <v>15</v>
      </c>
      <c r="B3" s="185">
        <v>53</v>
      </c>
      <c r="C3" s="186">
        <v>90</v>
      </c>
      <c r="D3" s="185">
        <v>130</v>
      </c>
      <c r="E3" s="186">
        <v>124</v>
      </c>
      <c r="F3" s="186">
        <v>105</v>
      </c>
      <c r="G3" s="186">
        <v>116</v>
      </c>
      <c r="H3" s="186">
        <v>114</v>
      </c>
      <c r="I3" s="186">
        <v>99</v>
      </c>
      <c r="J3" s="186">
        <v>267</v>
      </c>
      <c r="K3" s="186">
        <v>355</v>
      </c>
      <c r="L3" s="186">
        <v>97</v>
      </c>
      <c r="M3" s="187">
        <v>107</v>
      </c>
      <c r="N3" s="188">
        <f t="shared" ref="N3:N8" si="0">SUM(B3:M3)</f>
        <v>1657</v>
      </c>
    </row>
    <row r="4" spans="1:30">
      <c r="A4" s="189" t="s">
        <v>16</v>
      </c>
      <c r="B4" s="185">
        <v>208</v>
      </c>
      <c r="C4" s="185">
        <v>216</v>
      </c>
      <c r="D4" s="185">
        <v>238</v>
      </c>
      <c r="E4" s="186">
        <v>271</v>
      </c>
      <c r="F4" s="186">
        <v>253</v>
      </c>
      <c r="G4" s="186">
        <v>245</v>
      </c>
      <c r="H4" s="186">
        <v>217</v>
      </c>
      <c r="I4" s="186">
        <v>257</v>
      </c>
      <c r="J4" s="186">
        <v>36</v>
      </c>
      <c r="K4" s="186">
        <v>2</v>
      </c>
      <c r="L4" s="186">
        <v>184</v>
      </c>
      <c r="M4" s="187">
        <v>253</v>
      </c>
      <c r="N4" s="188">
        <f t="shared" si="0"/>
        <v>2380</v>
      </c>
    </row>
    <row r="5" spans="1:30">
      <c r="A5" s="190" t="s">
        <v>0</v>
      </c>
      <c r="B5" s="191">
        <v>73</v>
      </c>
      <c r="C5" s="192">
        <v>132</v>
      </c>
      <c r="D5" s="192">
        <v>151</v>
      </c>
      <c r="E5" s="193">
        <v>141</v>
      </c>
      <c r="F5" s="193">
        <v>140</v>
      </c>
      <c r="G5" s="186">
        <v>135</v>
      </c>
      <c r="H5" s="186">
        <v>116</v>
      </c>
      <c r="I5" s="186">
        <v>134</v>
      </c>
      <c r="J5" s="186">
        <v>115</v>
      </c>
      <c r="K5" s="186">
        <v>138</v>
      </c>
      <c r="L5" s="186">
        <v>124</v>
      </c>
      <c r="M5" s="187">
        <v>111</v>
      </c>
      <c r="N5" s="188">
        <f t="shared" si="0"/>
        <v>1510</v>
      </c>
    </row>
    <row r="6" spans="1:30">
      <c r="A6" s="194" t="s">
        <v>2</v>
      </c>
      <c r="B6" s="185">
        <v>48</v>
      </c>
      <c r="C6" s="185">
        <v>42</v>
      </c>
      <c r="D6" s="185">
        <v>54</v>
      </c>
      <c r="E6" s="186">
        <v>54</v>
      </c>
      <c r="F6" s="186">
        <v>38</v>
      </c>
      <c r="G6" s="186">
        <v>51</v>
      </c>
      <c r="H6" s="186">
        <v>52</v>
      </c>
      <c r="I6" s="186">
        <v>43</v>
      </c>
      <c r="J6" s="186">
        <v>43</v>
      </c>
      <c r="K6" s="186">
        <v>39</v>
      </c>
      <c r="L6" s="186">
        <v>39</v>
      </c>
      <c r="M6" s="195">
        <v>39</v>
      </c>
      <c r="N6" s="188">
        <f t="shared" si="0"/>
        <v>542</v>
      </c>
      <c r="Z6" s="175"/>
      <c r="AA6" s="175">
        <v>476</v>
      </c>
      <c r="AB6" s="175">
        <v>494</v>
      </c>
      <c r="AC6" s="175" t="s">
        <v>98</v>
      </c>
      <c r="AD6" s="175" t="s">
        <v>99</v>
      </c>
    </row>
    <row r="7" spans="1:30">
      <c r="A7" s="196" t="s">
        <v>1</v>
      </c>
      <c r="B7" s="185">
        <v>20</v>
      </c>
      <c r="C7" s="185">
        <v>17</v>
      </c>
      <c r="D7" s="185">
        <v>19</v>
      </c>
      <c r="E7" s="186">
        <v>23</v>
      </c>
      <c r="F7" s="186">
        <v>20</v>
      </c>
      <c r="G7" s="186">
        <v>20</v>
      </c>
      <c r="H7" s="186">
        <v>22</v>
      </c>
      <c r="I7" s="186">
        <v>23</v>
      </c>
      <c r="J7" s="186">
        <v>22</v>
      </c>
      <c r="K7" s="186">
        <v>21</v>
      </c>
      <c r="L7" s="186">
        <v>22</v>
      </c>
      <c r="M7" s="187">
        <v>23</v>
      </c>
      <c r="N7" s="188">
        <f t="shared" si="0"/>
        <v>252</v>
      </c>
      <c r="Z7" s="175"/>
      <c r="AA7" s="176">
        <v>1314.32</v>
      </c>
      <c r="AB7" s="176">
        <v>6769.91</v>
      </c>
      <c r="AC7" s="176">
        <v>2752.07</v>
      </c>
      <c r="AD7" s="175">
        <v>253.71</v>
      </c>
    </row>
    <row r="8" spans="1:30">
      <c r="A8" s="197" t="s">
        <v>53</v>
      </c>
      <c r="B8" s="185" t="s">
        <v>104</v>
      </c>
      <c r="C8" s="185" t="s">
        <v>104</v>
      </c>
      <c r="D8" s="185" t="s">
        <v>104</v>
      </c>
      <c r="E8" s="186">
        <v>36</v>
      </c>
      <c r="F8" s="186">
        <v>46</v>
      </c>
      <c r="G8" s="186"/>
      <c r="H8" s="186">
        <v>79</v>
      </c>
      <c r="I8" s="186" t="s">
        <v>104</v>
      </c>
      <c r="J8" s="186" t="s">
        <v>104</v>
      </c>
      <c r="K8" s="186" t="s">
        <v>104</v>
      </c>
      <c r="L8" s="186" t="s">
        <v>104</v>
      </c>
      <c r="M8" s="187"/>
      <c r="N8" s="188">
        <f t="shared" si="0"/>
        <v>161</v>
      </c>
      <c r="Z8" s="175"/>
      <c r="AA8" s="175">
        <v>230.86</v>
      </c>
      <c r="AB8" s="176">
        <v>10922.44</v>
      </c>
      <c r="AC8" s="176">
        <v>5564.6</v>
      </c>
      <c r="AD8" s="175">
        <v>262.14999999999998</v>
      </c>
    </row>
    <row r="9" spans="1:30">
      <c r="A9" s="198" t="s">
        <v>93</v>
      </c>
      <c r="B9" s="185">
        <v>15</v>
      </c>
      <c r="C9" s="185">
        <v>13</v>
      </c>
      <c r="D9" s="185">
        <v>11</v>
      </c>
      <c r="E9" s="186">
        <v>15</v>
      </c>
      <c r="F9" s="186">
        <v>14</v>
      </c>
      <c r="G9" s="186">
        <v>14</v>
      </c>
      <c r="H9" s="186">
        <v>14</v>
      </c>
      <c r="I9" s="186">
        <v>0</v>
      </c>
      <c r="J9" s="186">
        <v>20</v>
      </c>
      <c r="K9" s="186">
        <v>21</v>
      </c>
      <c r="L9" s="186">
        <v>20</v>
      </c>
      <c r="M9" s="187">
        <v>20</v>
      </c>
      <c r="N9" s="188">
        <f>SUM(B9:M9)</f>
        <v>177</v>
      </c>
      <c r="Z9" s="175"/>
      <c r="AA9" s="176">
        <v>2155.92</v>
      </c>
      <c r="AB9" s="176">
        <v>12565.36</v>
      </c>
      <c r="AC9" s="176">
        <v>5746.47</v>
      </c>
      <c r="AD9" s="175">
        <v>341.14</v>
      </c>
    </row>
    <row r="10" spans="1:30" ht="29.25" thickBot="1">
      <c r="A10" s="199" t="s">
        <v>94</v>
      </c>
      <c r="B10" s="200">
        <v>4</v>
      </c>
      <c r="C10" s="200">
        <v>1</v>
      </c>
      <c r="D10" s="200">
        <v>1</v>
      </c>
      <c r="E10" s="201">
        <v>1</v>
      </c>
      <c r="F10" s="201">
        <v>2</v>
      </c>
      <c r="G10" s="201">
        <v>2</v>
      </c>
      <c r="H10" s="201">
        <v>2</v>
      </c>
      <c r="I10" s="201">
        <v>2</v>
      </c>
      <c r="J10" s="201">
        <v>6</v>
      </c>
      <c r="K10" s="201">
        <v>5</v>
      </c>
      <c r="L10" s="201">
        <v>1</v>
      </c>
      <c r="M10" s="202">
        <v>1</v>
      </c>
      <c r="N10" s="188">
        <f>SUM(B10:M10)</f>
        <v>28</v>
      </c>
      <c r="Z10" s="175"/>
      <c r="AA10" s="176">
        <v>3646.92</v>
      </c>
      <c r="AB10" s="176">
        <v>11895.51</v>
      </c>
      <c r="AC10" s="176">
        <v>5680.32</v>
      </c>
      <c r="AD10" s="175">
        <v>299.25</v>
      </c>
    </row>
    <row r="11" spans="1:30" ht="29.25" thickBot="1">
      <c r="A11" s="203" t="s">
        <v>96</v>
      </c>
      <c r="B11" s="204">
        <f>SUM(B3:B10)</f>
        <v>421</v>
      </c>
      <c r="C11" s="204">
        <f t="shared" ref="C11:L11" si="1">SUM(C3:C10)</f>
        <v>511</v>
      </c>
      <c r="D11" s="204">
        <f t="shared" si="1"/>
        <v>604</v>
      </c>
      <c r="E11" s="204">
        <f t="shared" si="1"/>
        <v>665</v>
      </c>
      <c r="F11" s="204">
        <f t="shared" si="1"/>
        <v>618</v>
      </c>
      <c r="G11" s="204">
        <f t="shared" si="1"/>
        <v>583</v>
      </c>
      <c r="H11" s="204">
        <f t="shared" si="1"/>
        <v>616</v>
      </c>
      <c r="I11" s="204">
        <f t="shared" si="1"/>
        <v>558</v>
      </c>
      <c r="J11" s="204">
        <f t="shared" si="1"/>
        <v>509</v>
      </c>
      <c r="K11" s="204">
        <f t="shared" si="1"/>
        <v>581</v>
      </c>
      <c r="L11" s="204">
        <f t="shared" si="1"/>
        <v>487</v>
      </c>
      <c r="M11" s="205">
        <f>SUM(M3:M10)</f>
        <v>554</v>
      </c>
      <c r="N11" s="206">
        <f>SUM(N3:N10)</f>
        <v>6707</v>
      </c>
      <c r="Z11" s="175"/>
      <c r="AA11" s="176">
        <v>4458.8100000000004</v>
      </c>
      <c r="AB11" s="176">
        <v>10608.63</v>
      </c>
      <c r="AC11" s="176">
        <v>6004.31</v>
      </c>
      <c r="AD11" s="175">
        <v>322.02</v>
      </c>
    </row>
    <row r="12" spans="1:30">
      <c r="Z12" s="175"/>
      <c r="AA12" s="176">
        <v>3223.11</v>
      </c>
      <c r="AB12" s="176">
        <v>10918.16</v>
      </c>
      <c r="AC12" s="176">
        <v>6431.56</v>
      </c>
      <c r="AD12" s="175">
        <v>288.83999999999997</v>
      </c>
    </row>
    <row r="13" spans="1:30">
      <c r="Z13" s="175"/>
      <c r="AA13" s="176">
        <v>5725.15</v>
      </c>
      <c r="AB13" s="176">
        <v>13925.71</v>
      </c>
      <c r="AC13" s="176">
        <v>6716.02</v>
      </c>
      <c r="AD13" s="175">
        <v>585.91</v>
      </c>
    </row>
    <row r="14" spans="1:30">
      <c r="Z14" s="175"/>
      <c r="AA14" s="176">
        <v>6200.03</v>
      </c>
      <c r="AB14" s="176">
        <v>12659.38</v>
      </c>
      <c r="AC14" s="176">
        <v>8226.9</v>
      </c>
      <c r="AD14" s="175">
        <v>487.43</v>
      </c>
    </row>
    <row r="15" spans="1:30">
      <c r="Z15" s="175"/>
      <c r="AA15" s="176">
        <v>5975.36</v>
      </c>
      <c r="AB15" s="176">
        <v>13221.06</v>
      </c>
      <c r="AC15" s="176">
        <v>8124.3</v>
      </c>
      <c r="AD15" s="175">
        <v>516.79</v>
      </c>
    </row>
    <row r="16" spans="1:30">
      <c r="Z16" s="175"/>
      <c r="AA16" s="177">
        <f>SUBTOTAL(9,AA7:AA15)</f>
        <v>32930.480000000003</v>
      </c>
      <c r="AB16" s="176">
        <v>13083.19</v>
      </c>
      <c r="AC16" s="176">
        <v>7947.1</v>
      </c>
      <c r="AD16" s="175">
        <v>438.18</v>
      </c>
    </row>
    <row r="17" spans="1:30">
      <c r="Z17" s="175"/>
      <c r="AA17" s="175"/>
      <c r="AB17" s="176">
        <v>11479.84</v>
      </c>
      <c r="AC17" s="176">
        <v>6585.44</v>
      </c>
      <c r="AD17" s="175">
        <v>363.24</v>
      </c>
    </row>
    <row r="18" spans="1:30">
      <c r="Z18" s="175"/>
      <c r="AA18" s="175"/>
      <c r="AB18" s="176">
        <v>9738.6299999999992</v>
      </c>
      <c r="AC18" s="176">
        <v>6380.26</v>
      </c>
      <c r="AD18" s="175">
        <v>359.12</v>
      </c>
    </row>
    <row r="19" spans="1:30">
      <c r="Z19" s="175"/>
      <c r="AA19" s="175"/>
      <c r="AB19" s="175"/>
      <c r="AC19" s="175"/>
      <c r="AD19" s="175"/>
    </row>
    <row r="20" spans="1:30">
      <c r="Z20" s="175"/>
      <c r="AA20" s="175"/>
      <c r="AB20" s="177">
        <f>SUBTOTAL(9,AB7:AB19)</f>
        <v>137787.82</v>
      </c>
      <c r="AC20" s="177">
        <f>SUBTOTAL(9,AC7:AC19)</f>
        <v>76159.350000000006</v>
      </c>
      <c r="AD20" s="177">
        <f>SUBTOTAL(9,AD7:AD19)</f>
        <v>4517.78</v>
      </c>
    </row>
    <row r="21" spans="1:30">
      <c r="Z21" s="175">
        <v>476</v>
      </c>
      <c r="AA21" s="175">
        <v>494</v>
      </c>
      <c r="AB21" s="175" t="s">
        <v>98</v>
      </c>
      <c r="AC21" s="175" t="s">
        <v>100</v>
      </c>
      <c r="AD21" s="175"/>
    </row>
    <row r="22" spans="1:30">
      <c r="Z22" s="177">
        <v>32930.480000000003</v>
      </c>
      <c r="AA22" s="177">
        <v>137787.82</v>
      </c>
      <c r="AB22" s="177">
        <v>76159.350000000006</v>
      </c>
      <c r="AC22" s="177">
        <v>4517.78</v>
      </c>
      <c r="AD22" s="175"/>
    </row>
    <row r="23" spans="1:30">
      <c r="Z23" s="175"/>
      <c r="AA23" s="175"/>
      <c r="AB23" s="175"/>
      <c r="AC23" s="175"/>
      <c r="AD23" s="175"/>
    </row>
    <row r="30" spans="1:30" ht="29.25" thickBot="1"/>
    <row r="31" spans="1:30">
      <c r="A31" s="180" t="s">
        <v>121</v>
      </c>
      <c r="B31" s="181">
        <v>44927</v>
      </c>
      <c r="C31" s="181">
        <v>44958</v>
      </c>
      <c r="D31" s="181">
        <v>44986</v>
      </c>
      <c r="E31" s="181">
        <v>45017</v>
      </c>
      <c r="F31" s="181">
        <v>45047</v>
      </c>
      <c r="G31" s="181">
        <v>45078</v>
      </c>
      <c r="H31" s="181">
        <v>45108</v>
      </c>
      <c r="I31" s="181">
        <v>45139</v>
      </c>
      <c r="J31" s="181">
        <v>45170</v>
      </c>
      <c r="K31" s="181">
        <v>45200</v>
      </c>
      <c r="L31" s="181">
        <v>45231</v>
      </c>
      <c r="M31" s="181">
        <v>45261</v>
      </c>
      <c r="N31" s="183" t="s">
        <v>96</v>
      </c>
    </row>
    <row r="32" spans="1:30">
      <c r="A32" s="184" t="s">
        <v>15</v>
      </c>
      <c r="B32" s="287">
        <v>2186.5500000000002</v>
      </c>
      <c r="C32" s="288">
        <v>3827</v>
      </c>
      <c r="D32" s="287">
        <v>6562.58</v>
      </c>
      <c r="E32" s="288">
        <v>6174.5</v>
      </c>
      <c r="F32" s="288">
        <v>5149.1899999999996</v>
      </c>
      <c r="G32" s="288">
        <v>5780</v>
      </c>
      <c r="H32" s="288">
        <v>7098.45</v>
      </c>
      <c r="I32" s="288">
        <v>5254.16</v>
      </c>
      <c r="J32" s="288">
        <v>15592.63</v>
      </c>
      <c r="K32" s="288">
        <v>21008.04</v>
      </c>
      <c r="L32" s="288">
        <v>5131.08</v>
      </c>
      <c r="M32" s="289">
        <v>5746.47</v>
      </c>
      <c r="N32" s="304">
        <f>SUM(B32:M32)</f>
        <v>89510.65</v>
      </c>
    </row>
    <row r="33" spans="1:27">
      <c r="A33" s="189" t="s">
        <v>16</v>
      </c>
      <c r="B33" s="287">
        <v>10892.62</v>
      </c>
      <c r="C33" s="287">
        <v>11367.5</v>
      </c>
      <c r="D33" s="287">
        <v>12628.75</v>
      </c>
      <c r="E33" s="288">
        <v>14431.23</v>
      </c>
      <c r="F33" s="288">
        <v>13488.55</v>
      </c>
      <c r="G33" s="288">
        <v>14210.79</v>
      </c>
      <c r="H33" s="288">
        <v>12487.72</v>
      </c>
      <c r="I33" s="288">
        <v>14977.25</v>
      </c>
      <c r="J33" s="288">
        <v>1411.73</v>
      </c>
      <c r="K33" s="288">
        <v>158.41999999999999</v>
      </c>
      <c r="L33" s="288">
        <v>10484.93</v>
      </c>
      <c r="M33" s="289">
        <v>14731.1</v>
      </c>
      <c r="N33" s="304">
        <f>SUM(B33:M33)</f>
        <v>131270.59</v>
      </c>
      <c r="Z33">
        <v>476</v>
      </c>
      <c r="AA33" s="301">
        <v>89510.95</v>
      </c>
    </row>
    <row r="34" spans="1:27">
      <c r="A34" s="190" t="s">
        <v>0</v>
      </c>
      <c r="B34" s="290">
        <v>3022.76</v>
      </c>
      <c r="C34" s="291">
        <v>5867.32</v>
      </c>
      <c r="D34" s="291">
        <v>7070.42</v>
      </c>
      <c r="E34" s="292">
        <v>6510.84</v>
      </c>
      <c r="F34" s="292">
        <v>6503.51</v>
      </c>
      <c r="G34" s="288">
        <v>6795</v>
      </c>
      <c r="H34" s="288">
        <v>5896.75</v>
      </c>
      <c r="I34" s="288">
        <v>6765.3</v>
      </c>
      <c r="J34" s="288">
        <v>5697.51</v>
      </c>
      <c r="K34" s="288">
        <v>6990.1</v>
      </c>
      <c r="L34" s="288">
        <v>6203.3</v>
      </c>
      <c r="M34" s="289">
        <v>5472.71</v>
      </c>
      <c r="N34" s="304">
        <f>SUM(B34:M34)</f>
        <v>72795.520000000004</v>
      </c>
      <c r="Z34">
        <v>494</v>
      </c>
      <c r="AA34" s="301">
        <v>131270.56</v>
      </c>
    </row>
    <row r="35" spans="1:27">
      <c r="A35" s="194" t="s">
        <v>2</v>
      </c>
      <c r="B35" s="287"/>
      <c r="C35" s="287"/>
      <c r="D35" s="287"/>
      <c r="E35" s="288"/>
      <c r="F35" s="288"/>
      <c r="G35" s="288"/>
      <c r="H35" s="288"/>
      <c r="I35" s="288"/>
      <c r="J35" s="288"/>
      <c r="K35" s="288"/>
      <c r="L35" s="288"/>
      <c r="M35" s="293"/>
      <c r="N35" s="304"/>
      <c r="Z35" t="s">
        <v>98</v>
      </c>
      <c r="AA35" s="301">
        <v>72795.520000000004</v>
      </c>
    </row>
    <row r="36" spans="1:27">
      <c r="A36" s="196" t="s">
        <v>1</v>
      </c>
      <c r="B36" s="297">
        <v>517.91999999999996</v>
      </c>
      <c r="C36" s="297">
        <v>517.91999999999996</v>
      </c>
      <c r="D36" s="287">
        <v>363.24</v>
      </c>
      <c r="E36" s="288">
        <v>536.66999999999996</v>
      </c>
      <c r="F36" s="288">
        <v>388.93</v>
      </c>
      <c r="G36" s="288">
        <v>416.83</v>
      </c>
      <c r="H36" s="288">
        <v>533.97</v>
      </c>
      <c r="I36" s="288">
        <v>587.91999999999996</v>
      </c>
      <c r="J36" s="288">
        <v>533.97</v>
      </c>
      <c r="K36" s="288">
        <v>695.82</v>
      </c>
      <c r="L36" s="288">
        <v>533.97</v>
      </c>
      <c r="M36" s="293">
        <v>587.91999999999996</v>
      </c>
      <c r="N36" s="304">
        <f>SUM(B36:M36)</f>
        <v>6215.08</v>
      </c>
      <c r="Z36" t="s">
        <v>99</v>
      </c>
      <c r="AA36" s="301">
        <v>6215.08</v>
      </c>
    </row>
    <row r="37" spans="1:27">
      <c r="A37" s="197" t="s">
        <v>53</v>
      </c>
      <c r="B37" s="287"/>
      <c r="C37" s="287"/>
      <c r="D37" s="287"/>
      <c r="E37" s="288"/>
      <c r="F37" s="288"/>
      <c r="G37" s="288"/>
      <c r="H37" s="288"/>
      <c r="I37" s="288"/>
      <c r="J37" s="288"/>
      <c r="K37" s="288"/>
      <c r="L37" s="288"/>
      <c r="M37" s="289"/>
      <c r="N37" s="304"/>
    </row>
    <row r="38" spans="1:27">
      <c r="A38" s="198" t="s">
        <v>93</v>
      </c>
      <c r="B38" s="297">
        <v>0</v>
      </c>
      <c r="C38" s="287">
        <v>76.569999999999993</v>
      </c>
      <c r="D38" s="287">
        <v>163.56</v>
      </c>
      <c r="E38" s="288">
        <v>256.38</v>
      </c>
      <c r="F38" s="288">
        <v>241.44</v>
      </c>
      <c r="G38" s="288">
        <v>252.74</v>
      </c>
      <c r="H38" s="288">
        <v>252.74</v>
      </c>
      <c r="I38" s="288">
        <v>373.02</v>
      </c>
      <c r="J38" s="288">
        <v>480.02</v>
      </c>
      <c r="K38" s="288">
        <v>436.71</v>
      </c>
      <c r="L38" s="288">
        <v>426.08</v>
      </c>
      <c r="M38" s="289">
        <v>488.76</v>
      </c>
      <c r="N38" s="304">
        <f>SUM(B38:M38)</f>
        <v>3448.0200000000004</v>
      </c>
      <c r="O38" s="302"/>
      <c r="P38" s="302"/>
      <c r="Q38" s="302"/>
      <c r="R38" s="302"/>
    </row>
    <row r="39" spans="1:27" ht="29.25" thickBot="1">
      <c r="A39" s="199" t="s">
        <v>94</v>
      </c>
      <c r="B39" s="294">
        <v>4.57</v>
      </c>
      <c r="C39" s="294">
        <v>138.66</v>
      </c>
      <c r="D39" s="294">
        <v>137.15</v>
      </c>
      <c r="E39" s="295">
        <v>143.22999999999999</v>
      </c>
      <c r="F39" s="295">
        <v>142.38999999999999</v>
      </c>
      <c r="G39" s="295">
        <v>156.93</v>
      </c>
      <c r="H39" s="295">
        <v>156.93</v>
      </c>
      <c r="I39" s="295">
        <v>151.91</v>
      </c>
      <c r="J39" s="295">
        <v>162.22999999999999</v>
      </c>
      <c r="K39" s="295">
        <v>155.5</v>
      </c>
      <c r="L39" s="295">
        <v>151.91</v>
      </c>
      <c r="M39" s="296">
        <v>155.02000000000001</v>
      </c>
      <c r="N39" s="304">
        <f>SUM(B39:M39)</f>
        <v>1656.4300000000003</v>
      </c>
      <c r="O39" s="303"/>
      <c r="P39" s="303"/>
      <c r="Q39" s="303"/>
      <c r="R39" s="303"/>
      <c r="S39" s="209"/>
    </row>
    <row r="40" spans="1:27" ht="34.5" thickBot="1">
      <c r="A40" s="203" t="s">
        <v>96</v>
      </c>
      <c r="B40" s="298">
        <f t="shared" ref="B40:N40" si="2">SUM(B32:B39)</f>
        <v>16624.420000000002</v>
      </c>
      <c r="C40" s="298">
        <f t="shared" si="2"/>
        <v>21794.969999999998</v>
      </c>
      <c r="D40" s="298">
        <f t="shared" si="2"/>
        <v>26925.700000000004</v>
      </c>
      <c r="E40" s="298">
        <f t="shared" si="2"/>
        <v>28052.85</v>
      </c>
      <c r="F40" s="298">
        <f t="shared" si="2"/>
        <v>25914.01</v>
      </c>
      <c r="G40" s="298">
        <f t="shared" si="2"/>
        <v>27612.290000000005</v>
      </c>
      <c r="H40" s="298">
        <f t="shared" si="2"/>
        <v>26426.560000000001</v>
      </c>
      <c r="I40" s="298">
        <f t="shared" si="2"/>
        <v>28109.559999999998</v>
      </c>
      <c r="J40" s="298">
        <f t="shared" si="2"/>
        <v>23878.090000000004</v>
      </c>
      <c r="K40" s="298">
        <f t="shared" si="2"/>
        <v>29444.589999999997</v>
      </c>
      <c r="L40" s="298">
        <f t="shared" si="2"/>
        <v>22931.270000000004</v>
      </c>
      <c r="M40" s="299">
        <f t="shared" si="2"/>
        <v>27181.979999999996</v>
      </c>
      <c r="N40" s="300">
        <f t="shared" si="2"/>
        <v>304896.29000000004</v>
      </c>
    </row>
  </sheetData>
  <pageMargins left="0" right="0" top="0" bottom="0" header="0" footer="0"/>
  <pageSetup paperSize="8" scale="2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9008-89CA-41A3-A603-B19547590529}">
  <sheetPr codeName="Planilha6"/>
  <dimension ref="F8"/>
  <sheetViews>
    <sheetView topLeftCell="A8" workbookViewId="0">
      <selection activeCell="F19" sqref="F19"/>
    </sheetView>
  </sheetViews>
  <sheetFormatPr defaultRowHeight="15"/>
  <cols>
    <col min="6" max="6" width="10.28515625" bestFit="1" customWidth="1"/>
  </cols>
  <sheetData>
    <row r="8" spans="6:6" ht="18.75">
      <c r="F8" s="178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EA19-CB44-446E-A2C0-E91386C28BCB}">
  <sheetPr codeName="Planilha7"/>
  <dimension ref="A1:L2979"/>
  <sheetViews>
    <sheetView topLeftCell="A31" workbookViewId="0">
      <selection activeCell="F59" sqref="F59"/>
    </sheetView>
  </sheetViews>
  <sheetFormatPr defaultRowHeight="15"/>
  <cols>
    <col min="1" max="1" width="10.7109375" bestFit="1" customWidth="1"/>
    <col min="2" max="2" width="9.5703125" bestFit="1" customWidth="1"/>
    <col min="5" max="5" width="13.42578125" bestFit="1" customWidth="1"/>
    <col min="6" max="6" width="14.5703125" bestFit="1" customWidth="1"/>
    <col min="7" max="7" width="10.42578125" bestFit="1" customWidth="1"/>
    <col min="8" max="8" width="9.7109375" bestFit="1" customWidth="1"/>
    <col min="9" max="9" width="11.5703125" bestFit="1" customWidth="1"/>
    <col min="10" max="10" width="10.7109375" bestFit="1" customWidth="1"/>
  </cols>
  <sheetData>
    <row r="1" spans="1:12">
      <c r="A1" s="78" t="s">
        <v>61</v>
      </c>
      <c r="B1" s="79" t="s">
        <v>81</v>
      </c>
      <c r="C1" s="80" t="s">
        <v>80</v>
      </c>
      <c r="E1" s="442" t="s">
        <v>82</v>
      </c>
      <c r="F1" s="442"/>
      <c r="G1" s="442"/>
      <c r="H1" s="442"/>
      <c r="I1" s="442"/>
      <c r="J1" s="442"/>
      <c r="K1" s="82"/>
      <c r="L1" s="82"/>
    </row>
    <row r="2" spans="1:12">
      <c r="A2" s="81">
        <v>44775</v>
      </c>
      <c r="B2" s="3">
        <v>97</v>
      </c>
      <c r="C2" s="41"/>
      <c r="E2" s="83" t="s">
        <v>44</v>
      </c>
      <c r="F2" s="83" t="s">
        <v>83</v>
      </c>
      <c r="G2" s="83" t="s">
        <v>84</v>
      </c>
      <c r="H2" s="83" t="s">
        <v>85</v>
      </c>
      <c r="I2" s="83" t="s">
        <v>86</v>
      </c>
      <c r="J2" s="83" t="s">
        <v>87</v>
      </c>
    </row>
    <row r="3" spans="1:12">
      <c r="A3" s="81">
        <v>44776</v>
      </c>
      <c r="B3" s="3">
        <v>93</v>
      </c>
      <c r="C3" s="41"/>
      <c r="E3" s="3" t="s">
        <v>79</v>
      </c>
      <c r="F3" s="3"/>
      <c r="G3" s="3"/>
      <c r="H3" s="3"/>
      <c r="I3" s="3"/>
      <c r="J3" s="3"/>
    </row>
    <row r="4" spans="1:12">
      <c r="A4" s="81">
        <v>44777</v>
      </c>
      <c r="B4" s="3">
        <v>120</v>
      </c>
      <c r="C4" s="41"/>
      <c r="E4" s="3" t="s">
        <v>80</v>
      </c>
      <c r="F4" s="3"/>
      <c r="G4" s="3"/>
      <c r="H4" s="3"/>
      <c r="I4" s="3"/>
      <c r="J4" s="3"/>
    </row>
    <row r="5" spans="1:12">
      <c r="A5" s="81">
        <v>44778</v>
      </c>
      <c r="B5" s="3">
        <v>93</v>
      </c>
      <c r="C5" s="41"/>
    </row>
    <row r="6" spans="1:12">
      <c r="A6" s="81">
        <v>44779</v>
      </c>
      <c r="B6" s="3">
        <v>115</v>
      </c>
      <c r="C6" s="41"/>
    </row>
    <row r="7" spans="1:12">
      <c r="A7" s="81">
        <v>44780</v>
      </c>
      <c r="B7" s="3">
        <v>115</v>
      </c>
      <c r="C7" s="41"/>
    </row>
    <row r="8" spans="1:12">
      <c r="A8" s="81">
        <v>44781</v>
      </c>
      <c r="B8" s="3">
        <v>115</v>
      </c>
      <c r="C8" s="41"/>
    </row>
    <row r="9" spans="1:12">
      <c r="A9" s="81">
        <v>44782</v>
      </c>
      <c r="B9" s="3">
        <v>96</v>
      </c>
      <c r="C9" s="41"/>
    </row>
    <row r="10" spans="1:12">
      <c r="A10" s="81">
        <v>44783</v>
      </c>
      <c r="B10" s="3">
        <v>78</v>
      </c>
      <c r="C10" s="41"/>
    </row>
    <row r="11" spans="1:12">
      <c r="A11" s="81">
        <v>44784</v>
      </c>
      <c r="B11" s="3">
        <v>93</v>
      </c>
      <c r="C11" s="41"/>
    </row>
    <row r="12" spans="1:12">
      <c r="A12" s="81">
        <v>44785</v>
      </c>
      <c r="B12" s="3">
        <v>111</v>
      </c>
      <c r="C12" s="41"/>
    </row>
    <row r="13" spans="1:12">
      <c r="A13" s="81">
        <v>44786</v>
      </c>
      <c r="B13" s="3">
        <v>102</v>
      </c>
      <c r="C13" s="41"/>
    </row>
    <row r="14" spans="1:12">
      <c r="A14" s="81">
        <v>44787</v>
      </c>
      <c r="B14" s="3">
        <v>102</v>
      </c>
      <c r="C14" s="41"/>
    </row>
    <row r="15" spans="1:12">
      <c r="A15" s="81">
        <v>44788</v>
      </c>
      <c r="B15" s="3">
        <v>102</v>
      </c>
      <c r="C15" s="41"/>
    </row>
    <row r="16" spans="1:12">
      <c r="A16" s="81">
        <v>44789</v>
      </c>
      <c r="B16" s="3">
        <v>102</v>
      </c>
      <c r="C16" s="41"/>
    </row>
    <row r="17" spans="1:3">
      <c r="A17" s="81">
        <v>44790</v>
      </c>
      <c r="B17" s="3" t="s">
        <v>88</v>
      </c>
      <c r="C17" s="41"/>
    </row>
    <row r="18" spans="1:3">
      <c r="A18" s="81">
        <v>44791</v>
      </c>
      <c r="B18" s="3">
        <v>80</v>
      </c>
      <c r="C18" s="41"/>
    </row>
    <row r="19" spans="1:3">
      <c r="A19" s="81">
        <v>44792</v>
      </c>
      <c r="B19" s="3">
        <v>117</v>
      </c>
      <c r="C19" s="41"/>
    </row>
    <row r="20" spans="1:3">
      <c r="A20" s="81">
        <v>44793</v>
      </c>
      <c r="B20" s="3" t="s">
        <v>89</v>
      </c>
      <c r="C20" s="41"/>
    </row>
    <row r="21" spans="1:3">
      <c r="A21" s="81">
        <v>44794</v>
      </c>
      <c r="B21" s="3" t="s">
        <v>89</v>
      </c>
      <c r="C21" s="41"/>
    </row>
    <row r="22" spans="1:3">
      <c r="A22" s="81">
        <v>44795</v>
      </c>
      <c r="B22" s="3">
        <v>126</v>
      </c>
      <c r="C22" s="41"/>
    </row>
    <row r="23" spans="1:3">
      <c r="A23" s="81">
        <v>44796</v>
      </c>
      <c r="B23" s="3" t="s">
        <v>89</v>
      </c>
      <c r="C23" s="41"/>
    </row>
    <row r="24" spans="1:3">
      <c r="A24" s="81">
        <v>44797</v>
      </c>
      <c r="B24" s="3">
        <v>100</v>
      </c>
      <c r="C24" s="41"/>
    </row>
    <row r="25" spans="1:3">
      <c r="A25" s="81">
        <v>44798</v>
      </c>
      <c r="B25" s="3" t="s">
        <v>89</v>
      </c>
      <c r="C25" s="41"/>
    </row>
    <row r="26" spans="1:3">
      <c r="A26" s="81">
        <v>44799</v>
      </c>
      <c r="B26" s="3">
        <v>106</v>
      </c>
      <c r="C26" s="41"/>
    </row>
    <row r="27" spans="1:3">
      <c r="A27" s="81">
        <v>44800</v>
      </c>
      <c r="B27" s="3"/>
      <c r="C27" s="41"/>
    </row>
    <row r="28" spans="1:3">
      <c r="A28" s="81">
        <v>44801</v>
      </c>
      <c r="B28" s="3"/>
      <c r="C28" s="41"/>
    </row>
    <row r="29" spans="1:3">
      <c r="A29" s="81">
        <v>44802</v>
      </c>
      <c r="B29" s="3">
        <v>123</v>
      </c>
      <c r="C29" s="41"/>
    </row>
    <row r="30" spans="1:3">
      <c r="A30" s="81">
        <v>44803</v>
      </c>
      <c r="B30" s="3">
        <v>106</v>
      </c>
      <c r="C30" s="41"/>
    </row>
    <row r="31" spans="1:3">
      <c r="A31" s="81">
        <v>44804</v>
      </c>
      <c r="B31" s="3">
        <v>83</v>
      </c>
      <c r="C31" s="41"/>
    </row>
    <row r="32" spans="1:3">
      <c r="A32" s="81">
        <v>44805</v>
      </c>
      <c r="B32" s="3">
        <v>130</v>
      </c>
      <c r="C32" s="41"/>
    </row>
    <row r="33" spans="1:3">
      <c r="A33" s="81">
        <v>44806</v>
      </c>
      <c r="B33" s="3">
        <v>107</v>
      </c>
      <c r="C33" s="41"/>
    </row>
    <row r="34" spans="1:3">
      <c r="A34" s="81">
        <v>44807</v>
      </c>
      <c r="B34" s="3"/>
      <c r="C34" s="41"/>
    </row>
    <row r="35" spans="1:3">
      <c r="A35" s="81">
        <v>44808</v>
      </c>
      <c r="B35" s="3"/>
      <c r="C35" s="41"/>
    </row>
    <row r="36" spans="1:3">
      <c r="A36" s="81">
        <v>44809</v>
      </c>
      <c r="B36" s="3">
        <v>123</v>
      </c>
      <c r="C36" s="41"/>
    </row>
    <row r="37" spans="1:3">
      <c r="A37" s="81">
        <v>44810</v>
      </c>
      <c r="B37" s="3">
        <v>107</v>
      </c>
      <c r="C37" s="41"/>
    </row>
    <row r="38" spans="1:3">
      <c r="A38" s="81">
        <v>44811</v>
      </c>
      <c r="B38" s="3">
        <v>100</v>
      </c>
      <c r="C38" s="41"/>
    </row>
    <row r="39" spans="1:3">
      <c r="A39" s="81">
        <v>44812</v>
      </c>
      <c r="B39" s="3"/>
      <c r="C39" s="41"/>
    </row>
    <row r="40" spans="1:3">
      <c r="A40" s="81">
        <v>44813</v>
      </c>
      <c r="B40" s="3"/>
      <c r="C40" s="41"/>
    </row>
    <row r="41" spans="1:3">
      <c r="A41" s="81">
        <v>44814</v>
      </c>
      <c r="B41" s="3"/>
      <c r="C41" s="41"/>
    </row>
    <row r="42" spans="1:3">
      <c r="A42" s="81">
        <v>44815</v>
      </c>
      <c r="B42" s="3"/>
      <c r="C42" s="41"/>
    </row>
    <row r="43" spans="1:3">
      <c r="A43" s="81">
        <v>44816</v>
      </c>
      <c r="B43" s="3"/>
      <c r="C43" s="41"/>
    </row>
    <row r="44" spans="1:3">
      <c r="A44" s="81">
        <v>44817</v>
      </c>
      <c r="B44" s="3">
        <v>100</v>
      </c>
      <c r="C44" s="41"/>
    </row>
    <row r="45" spans="1:3">
      <c r="A45" s="81">
        <v>44818</v>
      </c>
      <c r="B45" s="3"/>
      <c r="C45" s="41"/>
    </row>
    <row r="46" spans="1:3">
      <c r="A46" s="81">
        <v>44819</v>
      </c>
      <c r="B46" s="3"/>
      <c r="C46" s="41"/>
    </row>
    <row r="47" spans="1:3">
      <c r="A47" s="81">
        <v>44820</v>
      </c>
      <c r="B47" s="3">
        <v>140</v>
      </c>
      <c r="C47" s="41"/>
    </row>
    <row r="48" spans="1:3">
      <c r="A48" s="81">
        <v>44821</v>
      </c>
      <c r="B48" s="3">
        <v>109</v>
      </c>
      <c r="C48" s="41"/>
    </row>
    <row r="49" spans="1:3">
      <c r="A49" s="81">
        <v>44822</v>
      </c>
      <c r="B49" s="3"/>
      <c r="C49" s="41"/>
    </row>
    <row r="50" spans="1:3">
      <c r="A50" s="81">
        <v>44823</v>
      </c>
      <c r="B50" s="3">
        <v>128</v>
      </c>
      <c r="C50" s="41"/>
    </row>
    <row r="51" spans="1:3">
      <c r="A51" s="81">
        <v>44824</v>
      </c>
      <c r="B51" s="3">
        <v>119</v>
      </c>
      <c r="C51" s="41"/>
    </row>
    <row r="52" spans="1:3">
      <c r="A52" s="81">
        <v>44825</v>
      </c>
      <c r="B52" s="3"/>
      <c r="C52" s="41"/>
    </row>
    <row r="53" spans="1:3">
      <c r="A53" s="81">
        <v>44826</v>
      </c>
      <c r="B53" s="3"/>
      <c r="C53" s="41"/>
    </row>
    <row r="54" spans="1:3">
      <c r="A54" s="81">
        <v>44827</v>
      </c>
      <c r="B54" s="3"/>
      <c r="C54" s="41"/>
    </row>
    <row r="55" spans="1:3">
      <c r="A55" s="81">
        <v>44828</v>
      </c>
      <c r="B55" s="3"/>
      <c r="C55" s="41"/>
    </row>
    <row r="56" spans="1:3">
      <c r="A56" s="81">
        <v>44829</v>
      </c>
      <c r="B56" s="3"/>
      <c r="C56" s="41"/>
    </row>
    <row r="57" spans="1:3">
      <c r="A57" s="81">
        <v>44830</v>
      </c>
      <c r="B57" s="3"/>
      <c r="C57" s="41"/>
    </row>
    <row r="58" spans="1:3">
      <c r="A58" s="81">
        <v>44831</v>
      </c>
      <c r="B58" s="3"/>
      <c r="C58" s="41"/>
    </row>
    <row r="59" spans="1:3">
      <c r="A59" s="81">
        <v>44832</v>
      </c>
      <c r="B59" s="3">
        <v>78</v>
      </c>
      <c r="C59" s="41"/>
    </row>
    <row r="60" spans="1:3">
      <c r="A60" s="81">
        <v>44833</v>
      </c>
      <c r="B60" s="3">
        <v>93</v>
      </c>
      <c r="C60" s="41"/>
    </row>
    <row r="61" spans="1:3">
      <c r="A61" s="81">
        <v>44834</v>
      </c>
      <c r="B61" s="3">
        <v>78</v>
      </c>
      <c r="C61" s="41"/>
    </row>
    <row r="62" spans="1:3">
      <c r="A62" s="81">
        <v>44835</v>
      </c>
      <c r="B62" s="3"/>
      <c r="C62" s="41"/>
    </row>
    <row r="63" spans="1:3">
      <c r="A63" s="81">
        <v>44836</v>
      </c>
      <c r="B63" s="3"/>
      <c r="C63" s="41"/>
    </row>
    <row r="64" spans="1:3">
      <c r="A64" s="81">
        <v>44837</v>
      </c>
      <c r="B64" s="3"/>
      <c r="C64" s="41"/>
    </row>
    <row r="65" spans="1:3">
      <c r="A65" s="81">
        <v>44838</v>
      </c>
      <c r="B65" s="3"/>
      <c r="C65" s="41"/>
    </row>
    <row r="66" spans="1:3">
      <c r="A66" s="81">
        <v>44839</v>
      </c>
      <c r="B66" s="3"/>
      <c r="C66" s="41"/>
    </row>
    <row r="67" spans="1:3">
      <c r="A67" s="81">
        <v>44840</v>
      </c>
      <c r="B67" s="3"/>
      <c r="C67" s="41"/>
    </row>
    <row r="68" spans="1:3">
      <c r="A68" s="81">
        <v>44841</v>
      </c>
      <c r="B68" s="3"/>
      <c r="C68" s="41"/>
    </row>
    <row r="69" spans="1:3">
      <c r="A69" s="81">
        <v>44842</v>
      </c>
      <c r="B69" s="3"/>
      <c r="C69" s="41"/>
    </row>
    <row r="70" spans="1:3">
      <c r="A70" s="81">
        <v>44843</v>
      </c>
      <c r="B70" s="3"/>
      <c r="C70" s="41"/>
    </row>
    <row r="71" spans="1:3">
      <c r="A71" s="81">
        <v>44844</v>
      </c>
      <c r="B71" s="3"/>
      <c r="C71" s="41"/>
    </row>
    <row r="72" spans="1:3">
      <c r="A72" s="81">
        <v>44845</v>
      </c>
      <c r="B72" s="3"/>
      <c r="C72" s="41"/>
    </row>
    <row r="73" spans="1:3">
      <c r="A73" s="81">
        <v>44846</v>
      </c>
      <c r="B73" s="3"/>
      <c r="C73" s="41"/>
    </row>
    <row r="74" spans="1:3">
      <c r="A74" s="81">
        <v>44847</v>
      </c>
      <c r="B74" s="3"/>
      <c r="C74" s="41"/>
    </row>
    <row r="75" spans="1:3">
      <c r="A75" s="81">
        <v>44848</v>
      </c>
      <c r="B75" s="3"/>
      <c r="C75" s="41"/>
    </row>
    <row r="76" spans="1:3">
      <c r="A76" s="81">
        <v>44849</v>
      </c>
      <c r="B76" s="3"/>
      <c r="C76" s="41"/>
    </row>
    <row r="77" spans="1:3">
      <c r="A77" s="81">
        <v>44850</v>
      </c>
      <c r="B77" s="3"/>
      <c r="C77" s="41"/>
    </row>
    <row r="78" spans="1:3">
      <c r="A78" s="81">
        <v>44851</v>
      </c>
      <c r="B78" s="3"/>
      <c r="C78" s="41"/>
    </row>
    <row r="79" spans="1:3">
      <c r="A79" s="81">
        <v>44852</v>
      </c>
      <c r="B79" s="3"/>
      <c r="C79" s="41"/>
    </row>
    <row r="80" spans="1:3">
      <c r="A80" s="81">
        <v>44853</v>
      </c>
      <c r="B80" s="3"/>
      <c r="C80" s="41"/>
    </row>
    <row r="81" spans="1:3">
      <c r="A81" s="81">
        <v>44854</v>
      </c>
      <c r="B81" s="3"/>
      <c r="C81" s="41"/>
    </row>
    <row r="82" spans="1:3">
      <c r="A82" s="81">
        <v>44855</v>
      </c>
      <c r="B82" s="3"/>
      <c r="C82" s="41"/>
    </row>
    <row r="83" spans="1:3">
      <c r="A83" s="81">
        <v>44856</v>
      </c>
      <c r="B83" s="3"/>
      <c r="C83" s="41"/>
    </row>
    <row r="84" spans="1:3">
      <c r="A84" s="81">
        <v>44857</v>
      </c>
      <c r="B84" s="3"/>
      <c r="C84" s="41"/>
    </row>
    <row r="85" spans="1:3">
      <c r="A85" s="81">
        <v>44858</v>
      </c>
      <c r="B85" s="3"/>
      <c r="C85" s="41"/>
    </row>
    <row r="86" spans="1:3">
      <c r="A86" s="81">
        <v>44859</v>
      </c>
      <c r="B86" s="3"/>
      <c r="C86" s="41"/>
    </row>
    <row r="87" spans="1:3">
      <c r="A87" s="81">
        <v>44860</v>
      </c>
      <c r="B87" s="3"/>
      <c r="C87" s="41"/>
    </row>
    <row r="88" spans="1:3">
      <c r="A88" s="81">
        <v>44861</v>
      </c>
      <c r="B88" s="3"/>
      <c r="C88" s="41"/>
    </row>
    <row r="89" spans="1:3">
      <c r="A89" s="81">
        <v>44862</v>
      </c>
      <c r="B89" s="3"/>
      <c r="C89" s="41"/>
    </row>
    <row r="90" spans="1:3">
      <c r="A90" s="81">
        <v>44863</v>
      </c>
      <c r="B90" s="3"/>
      <c r="C90" s="41"/>
    </row>
    <row r="91" spans="1:3">
      <c r="A91" s="81">
        <v>44864</v>
      </c>
      <c r="B91" s="3"/>
      <c r="C91" s="41"/>
    </row>
    <row r="92" spans="1:3">
      <c r="A92" s="81">
        <v>44865</v>
      </c>
      <c r="B92" s="3"/>
      <c r="C92" s="41"/>
    </row>
    <row r="93" spans="1:3">
      <c r="A93" s="81">
        <v>44866</v>
      </c>
      <c r="B93" s="3"/>
      <c r="C93" s="41"/>
    </row>
    <row r="94" spans="1:3">
      <c r="A94" s="81">
        <v>44867</v>
      </c>
      <c r="B94" s="3"/>
      <c r="C94" s="41"/>
    </row>
    <row r="95" spans="1:3">
      <c r="A95" s="81">
        <v>44868</v>
      </c>
      <c r="B95" s="3"/>
      <c r="C95" s="41"/>
    </row>
    <row r="96" spans="1:3">
      <c r="A96" s="81">
        <v>44869</v>
      </c>
      <c r="B96" s="3"/>
      <c r="C96" s="41"/>
    </row>
    <row r="97" spans="1:3">
      <c r="A97" s="81">
        <v>44870</v>
      </c>
      <c r="B97" s="3"/>
      <c r="C97" s="41"/>
    </row>
    <row r="98" spans="1:3">
      <c r="A98" s="81">
        <v>44871</v>
      </c>
      <c r="B98" s="3"/>
      <c r="C98" s="41"/>
    </row>
    <row r="99" spans="1:3">
      <c r="A99" s="81">
        <v>44872</v>
      </c>
      <c r="B99" s="3"/>
      <c r="C99" s="41"/>
    </row>
    <row r="100" spans="1:3">
      <c r="A100" s="81">
        <v>44873</v>
      </c>
      <c r="B100" s="3"/>
      <c r="C100" s="41"/>
    </row>
    <row r="101" spans="1:3">
      <c r="A101" s="81">
        <v>44874</v>
      </c>
      <c r="B101" s="3"/>
      <c r="C101" s="41"/>
    </row>
    <row r="102" spans="1:3">
      <c r="A102" s="81">
        <v>44875</v>
      </c>
      <c r="B102" s="3"/>
      <c r="C102" s="41"/>
    </row>
    <row r="103" spans="1:3">
      <c r="A103" s="81">
        <v>44876</v>
      </c>
      <c r="B103" s="3"/>
      <c r="C103" s="41"/>
    </row>
    <row r="104" spans="1:3">
      <c r="A104" s="81">
        <v>44877</v>
      </c>
      <c r="B104" s="3"/>
      <c r="C104" s="41"/>
    </row>
    <row r="105" spans="1:3">
      <c r="A105" s="81">
        <v>44878</v>
      </c>
      <c r="B105" s="3"/>
      <c r="C105" s="41"/>
    </row>
    <row r="106" spans="1:3">
      <c r="A106" s="81">
        <v>44879</v>
      </c>
      <c r="B106" s="3"/>
      <c r="C106" s="41"/>
    </row>
    <row r="107" spans="1:3">
      <c r="A107" s="81">
        <v>44880</v>
      </c>
      <c r="B107" s="3"/>
      <c r="C107" s="41"/>
    </row>
    <row r="108" spans="1:3">
      <c r="A108" s="81">
        <v>44881</v>
      </c>
      <c r="B108" s="3"/>
      <c r="C108" s="41"/>
    </row>
    <row r="109" spans="1:3">
      <c r="A109" s="81">
        <v>44882</v>
      </c>
      <c r="B109" s="3"/>
      <c r="C109" s="41"/>
    </row>
    <row r="110" spans="1:3">
      <c r="A110" s="81">
        <v>44883</v>
      </c>
      <c r="B110" s="3"/>
      <c r="C110" s="41"/>
    </row>
    <row r="111" spans="1:3">
      <c r="A111" s="81">
        <v>44884</v>
      </c>
      <c r="B111" s="3"/>
      <c r="C111" s="41"/>
    </row>
    <row r="112" spans="1:3">
      <c r="A112" s="81">
        <v>44885</v>
      </c>
      <c r="B112" s="3"/>
      <c r="C112" s="41"/>
    </row>
    <row r="113" spans="1:3">
      <c r="A113" s="81">
        <v>44886</v>
      </c>
      <c r="B113" s="3"/>
      <c r="C113" s="41"/>
    </row>
    <row r="114" spans="1:3">
      <c r="A114" s="81">
        <v>44887</v>
      </c>
      <c r="B114" s="3"/>
      <c r="C114" s="41"/>
    </row>
    <row r="115" spans="1:3">
      <c r="A115" s="81">
        <v>44888</v>
      </c>
      <c r="B115" s="3"/>
      <c r="C115" s="41"/>
    </row>
    <row r="116" spans="1:3">
      <c r="A116" s="81">
        <v>44889</v>
      </c>
      <c r="B116" s="3"/>
      <c r="C116" s="41"/>
    </row>
    <row r="117" spans="1:3">
      <c r="A117" s="81">
        <v>44890</v>
      </c>
      <c r="B117" s="3"/>
      <c r="C117" s="41"/>
    </row>
    <row r="118" spans="1:3">
      <c r="A118" s="81">
        <v>44891</v>
      </c>
      <c r="B118" s="3"/>
      <c r="C118" s="41"/>
    </row>
    <row r="119" spans="1:3">
      <c r="A119" s="81">
        <v>44892</v>
      </c>
      <c r="B119" s="3"/>
      <c r="C119" s="41"/>
    </row>
    <row r="120" spans="1:3">
      <c r="A120" s="81">
        <v>44893</v>
      </c>
      <c r="B120" s="3"/>
      <c r="C120" s="41"/>
    </row>
    <row r="121" spans="1:3">
      <c r="A121" s="81">
        <v>44894</v>
      </c>
      <c r="B121" s="3"/>
      <c r="C121" s="41"/>
    </row>
    <row r="122" spans="1:3">
      <c r="A122" s="81">
        <v>44895</v>
      </c>
      <c r="B122" s="3"/>
      <c r="C122" s="41"/>
    </row>
    <row r="123" spans="1:3">
      <c r="A123" s="81">
        <v>44896</v>
      </c>
      <c r="B123" s="3"/>
      <c r="C123" s="41"/>
    </row>
    <row r="124" spans="1:3">
      <c r="A124" s="81">
        <v>44897</v>
      </c>
      <c r="B124" s="3"/>
      <c r="C124" s="41"/>
    </row>
    <row r="125" spans="1:3">
      <c r="A125" s="81">
        <v>44898</v>
      </c>
      <c r="B125" s="3"/>
      <c r="C125" s="41"/>
    </row>
    <row r="126" spans="1:3">
      <c r="A126" s="81">
        <v>44899</v>
      </c>
      <c r="B126" s="3"/>
      <c r="C126" s="41"/>
    </row>
    <row r="127" spans="1:3">
      <c r="A127" s="81">
        <v>44900</v>
      </c>
      <c r="B127" s="3"/>
      <c r="C127" s="41"/>
    </row>
    <row r="128" spans="1:3">
      <c r="A128" s="81">
        <v>44901</v>
      </c>
      <c r="B128" s="3"/>
      <c r="C128" s="41"/>
    </row>
    <row r="129" spans="1:3">
      <c r="A129" s="81">
        <v>44902</v>
      </c>
      <c r="B129" s="3"/>
      <c r="C129" s="41"/>
    </row>
    <row r="130" spans="1:3">
      <c r="A130" s="81">
        <v>44903</v>
      </c>
      <c r="B130" s="3"/>
      <c r="C130" s="41"/>
    </row>
    <row r="131" spans="1:3">
      <c r="A131" s="81">
        <v>44904</v>
      </c>
      <c r="B131" s="3"/>
      <c r="C131" s="41"/>
    </row>
    <row r="132" spans="1:3">
      <c r="A132" s="81">
        <v>44905</v>
      </c>
      <c r="B132" s="3"/>
      <c r="C132" s="41"/>
    </row>
    <row r="133" spans="1:3">
      <c r="A133" s="81">
        <v>44906</v>
      </c>
      <c r="B133" s="3"/>
      <c r="C133" s="41"/>
    </row>
    <row r="134" spans="1:3">
      <c r="A134" s="81">
        <v>44907</v>
      </c>
      <c r="B134" s="3"/>
      <c r="C134" s="41"/>
    </row>
    <row r="135" spans="1:3">
      <c r="A135" s="81">
        <v>44908</v>
      </c>
      <c r="B135" s="3"/>
      <c r="C135" s="41"/>
    </row>
    <row r="136" spans="1:3">
      <c r="A136" s="81">
        <v>44909</v>
      </c>
      <c r="B136" s="3"/>
      <c r="C136" s="41"/>
    </row>
    <row r="137" spans="1:3">
      <c r="A137" s="81">
        <v>44910</v>
      </c>
      <c r="B137" s="3"/>
      <c r="C137" s="41"/>
    </row>
    <row r="138" spans="1:3">
      <c r="A138" s="81">
        <v>44911</v>
      </c>
      <c r="B138" s="3"/>
      <c r="C138" s="41"/>
    </row>
    <row r="139" spans="1:3">
      <c r="A139" s="81">
        <v>44912</v>
      </c>
      <c r="B139" s="3"/>
      <c r="C139" s="41"/>
    </row>
    <row r="140" spans="1:3">
      <c r="A140" s="81">
        <v>44913</v>
      </c>
      <c r="B140" s="3"/>
      <c r="C140" s="41"/>
    </row>
    <row r="141" spans="1:3">
      <c r="A141" s="81">
        <v>44914</v>
      </c>
      <c r="B141" s="3"/>
      <c r="C141" s="41"/>
    </row>
    <row r="142" spans="1:3">
      <c r="A142" s="81">
        <v>44915</v>
      </c>
      <c r="B142" s="3"/>
      <c r="C142" s="41"/>
    </row>
    <row r="143" spans="1:3">
      <c r="A143" s="81">
        <v>44916</v>
      </c>
      <c r="B143" s="3"/>
      <c r="C143" s="41"/>
    </row>
    <row r="144" spans="1:3">
      <c r="A144" s="81">
        <v>44917</v>
      </c>
      <c r="B144" s="3"/>
      <c r="C144" s="41"/>
    </row>
    <row r="145" spans="1:3">
      <c r="A145" s="81">
        <v>44918</v>
      </c>
      <c r="B145" s="3"/>
      <c r="C145" s="41"/>
    </row>
    <row r="146" spans="1:3">
      <c r="A146" s="81">
        <v>44919</v>
      </c>
      <c r="B146" s="3"/>
      <c r="C146" s="41"/>
    </row>
    <row r="147" spans="1:3">
      <c r="A147" s="81">
        <v>44920</v>
      </c>
      <c r="B147" s="3"/>
      <c r="C147" s="41"/>
    </row>
    <row r="148" spans="1:3">
      <c r="A148" s="81">
        <v>44921</v>
      </c>
      <c r="B148" s="3"/>
      <c r="C148" s="41"/>
    </row>
    <row r="149" spans="1:3">
      <c r="A149" s="81">
        <v>44922</v>
      </c>
      <c r="B149" s="3"/>
      <c r="C149" s="41"/>
    </row>
    <row r="150" spans="1:3">
      <c r="A150" s="81">
        <v>44923</v>
      </c>
      <c r="B150" s="3"/>
      <c r="C150" s="41"/>
    </row>
    <row r="151" spans="1:3">
      <c r="A151" s="81">
        <v>44924</v>
      </c>
      <c r="B151" s="3"/>
      <c r="C151" s="41"/>
    </row>
    <row r="152" spans="1:3">
      <c r="A152" s="81">
        <v>44925</v>
      </c>
      <c r="B152" s="3"/>
      <c r="C152" s="41"/>
    </row>
    <row r="153" spans="1:3">
      <c r="A153" s="81">
        <v>44926</v>
      </c>
      <c r="B153" s="3"/>
      <c r="C153" s="41"/>
    </row>
    <row r="154" spans="1:3">
      <c r="A154" s="81">
        <v>44927</v>
      </c>
      <c r="B154" s="3"/>
      <c r="C154" s="41"/>
    </row>
    <row r="155" spans="1:3">
      <c r="A155" s="81">
        <v>44928</v>
      </c>
      <c r="B155" s="3"/>
      <c r="C155" s="41"/>
    </row>
    <row r="156" spans="1:3">
      <c r="A156" s="81">
        <v>44929</v>
      </c>
      <c r="B156" s="3"/>
      <c r="C156" s="41"/>
    </row>
    <row r="157" spans="1:3">
      <c r="A157" s="81">
        <v>44930</v>
      </c>
      <c r="B157" s="3"/>
      <c r="C157" s="41"/>
    </row>
    <row r="158" spans="1:3">
      <c r="A158" s="81">
        <v>44931</v>
      </c>
      <c r="B158" s="3"/>
      <c r="C158" s="41"/>
    </row>
    <row r="159" spans="1:3">
      <c r="A159" s="81">
        <v>44932</v>
      </c>
      <c r="B159" s="3"/>
      <c r="C159" s="41"/>
    </row>
    <row r="160" spans="1:3">
      <c r="A160" s="81">
        <v>44933</v>
      </c>
      <c r="B160" s="3"/>
      <c r="C160" s="41"/>
    </row>
    <row r="161" spans="1:3">
      <c r="A161" s="81">
        <v>44934</v>
      </c>
      <c r="B161" s="3"/>
      <c r="C161" s="41"/>
    </row>
    <row r="162" spans="1:3">
      <c r="A162" s="81">
        <v>44935</v>
      </c>
      <c r="B162" s="3"/>
      <c r="C162" s="41"/>
    </row>
    <row r="163" spans="1:3">
      <c r="A163" s="81">
        <v>44936</v>
      </c>
      <c r="B163" s="3"/>
      <c r="C163" s="41"/>
    </row>
    <row r="164" spans="1:3">
      <c r="A164" s="81">
        <v>44937</v>
      </c>
      <c r="B164" s="3"/>
      <c r="C164" s="41"/>
    </row>
    <row r="165" spans="1:3">
      <c r="A165" s="81">
        <v>44938</v>
      </c>
      <c r="B165" s="3"/>
      <c r="C165" s="41"/>
    </row>
    <row r="166" spans="1:3">
      <c r="A166" s="81">
        <v>44939</v>
      </c>
      <c r="B166" s="3"/>
      <c r="C166" s="41"/>
    </row>
    <row r="167" spans="1:3">
      <c r="A167" s="81">
        <v>44940</v>
      </c>
      <c r="B167" s="3"/>
      <c r="C167" s="41"/>
    </row>
    <row r="168" spans="1:3">
      <c r="A168" s="81">
        <v>44941</v>
      </c>
      <c r="B168" s="3"/>
      <c r="C168" s="41"/>
    </row>
    <row r="169" spans="1:3">
      <c r="A169" s="81">
        <v>44942</v>
      </c>
      <c r="B169" s="3"/>
      <c r="C169" s="41"/>
    </row>
    <row r="170" spans="1:3">
      <c r="A170" s="81">
        <v>44943</v>
      </c>
      <c r="B170" s="3"/>
      <c r="C170" s="41"/>
    </row>
    <row r="171" spans="1:3">
      <c r="A171" s="81">
        <v>44944</v>
      </c>
      <c r="B171" s="3"/>
      <c r="C171" s="41"/>
    </row>
    <row r="172" spans="1:3">
      <c r="A172" s="81">
        <v>44945</v>
      </c>
      <c r="B172" s="3"/>
      <c r="C172" s="41"/>
    </row>
    <row r="173" spans="1:3">
      <c r="A173" s="81">
        <v>44946</v>
      </c>
      <c r="B173" s="3"/>
      <c r="C173" s="41"/>
    </row>
    <row r="174" spans="1:3">
      <c r="A174" s="81">
        <v>44947</v>
      </c>
      <c r="B174" s="3"/>
      <c r="C174" s="41"/>
    </row>
    <row r="175" spans="1:3">
      <c r="A175" s="81">
        <v>44948</v>
      </c>
      <c r="B175" s="3"/>
      <c r="C175" s="41"/>
    </row>
    <row r="176" spans="1:3">
      <c r="A176" s="81">
        <v>44949</v>
      </c>
      <c r="B176" s="3"/>
      <c r="C176" s="41"/>
    </row>
    <row r="177" spans="1:3">
      <c r="A177" s="81">
        <v>44950</v>
      </c>
      <c r="B177" s="3"/>
      <c r="C177" s="41"/>
    </row>
    <row r="178" spans="1:3">
      <c r="A178" s="81">
        <v>44951</v>
      </c>
      <c r="B178" s="3"/>
      <c r="C178" s="41"/>
    </row>
    <row r="179" spans="1:3">
      <c r="A179" s="81">
        <v>44952</v>
      </c>
      <c r="B179" s="3"/>
      <c r="C179" s="41"/>
    </row>
    <row r="180" spans="1:3">
      <c r="A180" s="81">
        <v>44953</v>
      </c>
      <c r="B180" s="3"/>
      <c r="C180" s="41"/>
    </row>
    <row r="181" spans="1:3">
      <c r="A181" s="81">
        <v>44954</v>
      </c>
      <c r="B181" s="3"/>
      <c r="C181" s="41"/>
    </row>
    <row r="182" spans="1:3">
      <c r="A182" s="81">
        <v>44955</v>
      </c>
      <c r="B182" s="3"/>
      <c r="C182" s="41"/>
    </row>
    <row r="183" spans="1:3">
      <c r="A183" s="81">
        <v>44956</v>
      </c>
      <c r="B183" s="3"/>
      <c r="C183" s="41"/>
    </row>
    <row r="184" spans="1:3">
      <c r="A184" s="81">
        <v>44957</v>
      </c>
      <c r="B184" s="3"/>
      <c r="C184" s="41"/>
    </row>
    <row r="185" spans="1:3">
      <c r="A185" s="81">
        <v>44958</v>
      </c>
      <c r="B185" s="3"/>
      <c r="C185" s="41"/>
    </row>
    <row r="186" spans="1:3">
      <c r="A186" s="81">
        <v>44959</v>
      </c>
      <c r="B186" s="3"/>
      <c r="C186" s="41"/>
    </row>
    <row r="187" spans="1:3">
      <c r="A187" s="81">
        <v>44960</v>
      </c>
      <c r="B187" s="3"/>
      <c r="C187" s="41"/>
    </row>
    <row r="188" spans="1:3">
      <c r="A188" s="81">
        <v>44961</v>
      </c>
      <c r="B188" s="3"/>
      <c r="C188" s="41"/>
    </row>
    <row r="189" spans="1:3">
      <c r="A189" s="81">
        <v>44962</v>
      </c>
      <c r="B189" s="3"/>
      <c r="C189" s="41"/>
    </row>
    <row r="190" spans="1:3">
      <c r="A190" s="81">
        <v>44963</v>
      </c>
      <c r="B190" s="3"/>
      <c r="C190" s="41"/>
    </row>
    <row r="191" spans="1:3">
      <c r="A191" s="81">
        <v>44964</v>
      </c>
      <c r="B191" s="3"/>
      <c r="C191" s="41"/>
    </row>
    <row r="192" spans="1:3">
      <c r="A192" s="81">
        <v>44965</v>
      </c>
      <c r="B192" s="3"/>
      <c r="C192" s="41"/>
    </row>
    <row r="193" spans="1:3">
      <c r="A193" s="81">
        <v>44966</v>
      </c>
      <c r="B193" s="3"/>
      <c r="C193" s="41"/>
    </row>
    <row r="194" spans="1:3">
      <c r="A194" s="81">
        <v>44967</v>
      </c>
      <c r="B194" s="3"/>
      <c r="C194" s="41"/>
    </row>
    <row r="195" spans="1:3">
      <c r="A195" s="81">
        <v>44968</v>
      </c>
      <c r="B195" s="3"/>
      <c r="C195" s="41"/>
    </row>
    <row r="196" spans="1:3">
      <c r="A196" s="81">
        <v>44969</v>
      </c>
      <c r="B196" s="3"/>
      <c r="C196" s="41"/>
    </row>
    <row r="197" spans="1:3">
      <c r="A197" s="81">
        <v>44970</v>
      </c>
      <c r="B197" s="3"/>
      <c r="C197" s="41"/>
    </row>
    <row r="198" spans="1:3">
      <c r="A198" s="81">
        <v>44971</v>
      </c>
      <c r="B198" s="3"/>
      <c r="C198" s="41"/>
    </row>
    <row r="199" spans="1:3">
      <c r="A199" s="81">
        <v>44972</v>
      </c>
      <c r="B199" s="3"/>
      <c r="C199" s="41"/>
    </row>
    <row r="200" spans="1:3">
      <c r="A200" s="81">
        <v>44973</v>
      </c>
      <c r="B200" s="3"/>
      <c r="C200" s="41"/>
    </row>
    <row r="201" spans="1:3">
      <c r="A201" s="81">
        <v>44974</v>
      </c>
      <c r="B201" s="3"/>
      <c r="C201" s="41"/>
    </row>
    <row r="202" spans="1:3">
      <c r="A202" s="81">
        <v>44975</v>
      </c>
      <c r="B202" s="3"/>
      <c r="C202" s="41"/>
    </row>
    <row r="203" spans="1:3">
      <c r="A203" s="81">
        <v>44976</v>
      </c>
      <c r="B203" s="3"/>
      <c r="C203" s="41"/>
    </row>
    <row r="204" spans="1:3">
      <c r="A204" s="81">
        <v>44977</v>
      </c>
      <c r="B204" s="3"/>
      <c r="C204" s="41"/>
    </row>
    <row r="205" spans="1:3">
      <c r="A205" s="81">
        <v>44978</v>
      </c>
      <c r="B205" s="3"/>
      <c r="C205" s="41"/>
    </row>
    <row r="206" spans="1:3">
      <c r="A206" s="81">
        <v>44979</v>
      </c>
      <c r="B206" s="3"/>
      <c r="C206" s="41"/>
    </row>
    <row r="207" spans="1:3">
      <c r="A207" s="81">
        <v>44980</v>
      </c>
      <c r="B207" s="3"/>
      <c r="C207" s="41"/>
    </row>
    <row r="208" spans="1:3">
      <c r="A208" s="81">
        <v>44981</v>
      </c>
      <c r="B208" s="3"/>
      <c r="C208" s="41"/>
    </row>
    <row r="209" spans="1:3">
      <c r="A209" s="81">
        <v>44982</v>
      </c>
      <c r="B209" s="3"/>
      <c r="C209" s="41"/>
    </row>
    <row r="210" spans="1:3">
      <c r="A210" s="81">
        <v>44983</v>
      </c>
      <c r="B210" s="3"/>
      <c r="C210" s="41"/>
    </row>
    <row r="211" spans="1:3">
      <c r="A211" s="81">
        <v>44984</v>
      </c>
      <c r="B211" s="3"/>
      <c r="C211" s="41"/>
    </row>
    <row r="212" spans="1:3">
      <c r="A212" s="81">
        <v>44985</v>
      </c>
      <c r="B212" s="3"/>
      <c r="C212" s="41"/>
    </row>
    <row r="213" spans="1:3">
      <c r="A213" s="81">
        <v>44986</v>
      </c>
      <c r="B213" s="3"/>
      <c r="C213" s="41"/>
    </row>
    <row r="214" spans="1:3">
      <c r="A214" s="81">
        <v>44987</v>
      </c>
      <c r="B214" s="3"/>
      <c r="C214" s="41"/>
    </row>
    <row r="215" spans="1:3">
      <c r="A215" s="81">
        <v>44988</v>
      </c>
      <c r="B215" s="3"/>
      <c r="C215" s="41"/>
    </row>
    <row r="216" spans="1:3">
      <c r="A216" s="81">
        <v>44989</v>
      </c>
      <c r="B216" s="3"/>
      <c r="C216" s="41"/>
    </row>
    <row r="217" spans="1:3">
      <c r="A217" s="81">
        <v>44990</v>
      </c>
      <c r="B217" s="3"/>
      <c r="C217" s="41"/>
    </row>
    <row r="218" spans="1:3">
      <c r="A218" s="81">
        <v>44991</v>
      </c>
      <c r="B218" s="3"/>
      <c r="C218" s="41"/>
    </row>
    <row r="219" spans="1:3">
      <c r="A219" s="81">
        <v>44992</v>
      </c>
      <c r="B219" s="3"/>
      <c r="C219" s="41"/>
    </row>
    <row r="220" spans="1:3">
      <c r="A220" s="81">
        <v>44993</v>
      </c>
      <c r="B220" s="3"/>
      <c r="C220" s="41"/>
    </row>
    <row r="221" spans="1:3">
      <c r="A221" s="81">
        <v>44994</v>
      </c>
      <c r="B221" s="3"/>
      <c r="C221" s="41"/>
    </row>
    <row r="222" spans="1:3">
      <c r="A222" s="81">
        <v>44995</v>
      </c>
      <c r="B222" s="3"/>
      <c r="C222" s="41"/>
    </row>
    <row r="223" spans="1:3">
      <c r="A223" s="81">
        <v>44996</v>
      </c>
      <c r="B223" s="3"/>
      <c r="C223" s="41"/>
    </row>
    <row r="224" spans="1:3">
      <c r="A224" s="81">
        <v>44997</v>
      </c>
      <c r="B224" s="3"/>
      <c r="C224" s="41"/>
    </row>
    <row r="225" spans="1:3">
      <c r="A225" s="81">
        <v>44998</v>
      </c>
      <c r="B225" s="3"/>
      <c r="C225" s="41"/>
    </row>
    <row r="226" spans="1:3">
      <c r="A226" s="81">
        <v>44999</v>
      </c>
      <c r="B226" s="3"/>
      <c r="C226" s="41"/>
    </row>
    <row r="227" spans="1:3">
      <c r="A227" s="81">
        <v>45000</v>
      </c>
      <c r="B227" s="3"/>
      <c r="C227" s="41"/>
    </row>
    <row r="228" spans="1:3">
      <c r="A228" s="81">
        <v>45001</v>
      </c>
      <c r="B228" s="3"/>
      <c r="C228" s="41"/>
    </row>
    <row r="229" spans="1:3">
      <c r="A229" s="81">
        <v>45002</v>
      </c>
      <c r="B229" s="3"/>
      <c r="C229" s="41"/>
    </row>
    <row r="230" spans="1:3">
      <c r="A230" s="81">
        <v>45003</v>
      </c>
      <c r="B230" s="3"/>
      <c r="C230" s="41"/>
    </row>
    <row r="231" spans="1:3">
      <c r="A231" s="81">
        <v>45004</v>
      </c>
      <c r="B231" s="3"/>
      <c r="C231" s="41"/>
    </row>
    <row r="232" spans="1:3">
      <c r="A232" s="81">
        <v>45005</v>
      </c>
      <c r="B232" s="3"/>
      <c r="C232" s="41"/>
    </row>
    <row r="233" spans="1:3">
      <c r="A233" s="81">
        <v>45006</v>
      </c>
      <c r="B233" s="3"/>
      <c r="C233" s="41"/>
    </row>
    <row r="234" spans="1:3">
      <c r="A234" s="81">
        <v>45007</v>
      </c>
      <c r="B234" s="3"/>
      <c r="C234" s="41"/>
    </row>
    <row r="235" spans="1:3">
      <c r="A235" s="81">
        <v>45008</v>
      </c>
      <c r="B235" s="3"/>
      <c r="C235" s="41"/>
    </row>
    <row r="236" spans="1:3">
      <c r="A236" s="81">
        <v>45009</v>
      </c>
      <c r="B236" s="3"/>
      <c r="C236" s="41"/>
    </row>
    <row r="237" spans="1:3">
      <c r="A237" s="81">
        <v>45010</v>
      </c>
      <c r="B237" s="3"/>
      <c r="C237" s="41"/>
    </row>
    <row r="238" spans="1:3">
      <c r="A238" s="81">
        <v>45011</v>
      </c>
      <c r="B238" s="3"/>
      <c r="C238" s="41"/>
    </row>
    <row r="239" spans="1:3">
      <c r="A239" s="81">
        <v>45012</v>
      </c>
      <c r="B239" s="3"/>
      <c r="C239" s="41"/>
    </row>
    <row r="240" spans="1:3">
      <c r="A240" s="81">
        <v>45013</v>
      </c>
      <c r="B240" s="3"/>
      <c r="C240" s="41"/>
    </row>
    <row r="241" spans="1:3">
      <c r="A241" s="81">
        <v>45014</v>
      </c>
      <c r="B241" s="3"/>
      <c r="C241" s="41"/>
    </row>
    <row r="242" spans="1:3">
      <c r="A242" s="81">
        <v>45015</v>
      </c>
      <c r="B242" s="3"/>
      <c r="C242" s="41"/>
    </row>
    <row r="243" spans="1:3">
      <c r="A243" s="81">
        <v>45016</v>
      </c>
      <c r="B243" s="3"/>
      <c r="C243" s="41"/>
    </row>
    <row r="244" spans="1:3">
      <c r="A244" s="81">
        <v>45017</v>
      </c>
      <c r="B244" s="3"/>
      <c r="C244" s="41"/>
    </row>
    <row r="245" spans="1:3">
      <c r="A245" s="81">
        <v>45018</v>
      </c>
      <c r="B245" s="3"/>
      <c r="C245" s="41"/>
    </row>
    <row r="246" spans="1:3">
      <c r="A246" s="81">
        <v>45019</v>
      </c>
      <c r="B246" s="3"/>
      <c r="C246" s="41"/>
    </row>
    <row r="247" spans="1:3">
      <c r="A247" s="81">
        <v>45020</v>
      </c>
      <c r="B247" s="3"/>
      <c r="C247" s="41"/>
    </row>
    <row r="248" spans="1:3">
      <c r="A248" s="81">
        <v>45021</v>
      </c>
      <c r="B248" s="3"/>
      <c r="C248" s="41"/>
    </row>
    <row r="249" spans="1:3">
      <c r="A249" s="81">
        <v>45022</v>
      </c>
      <c r="B249" s="3"/>
      <c r="C249" s="41"/>
    </row>
    <row r="250" spans="1:3">
      <c r="A250" s="81">
        <v>45023</v>
      </c>
      <c r="B250" s="3"/>
      <c r="C250" s="41"/>
    </row>
    <row r="251" spans="1:3">
      <c r="A251" s="81">
        <v>45024</v>
      </c>
      <c r="B251" s="3"/>
      <c r="C251" s="41"/>
    </row>
    <row r="252" spans="1:3">
      <c r="A252" s="81">
        <v>45025</v>
      </c>
      <c r="B252" s="3"/>
      <c r="C252" s="41"/>
    </row>
    <row r="253" spans="1:3">
      <c r="A253" s="81">
        <v>45026</v>
      </c>
      <c r="B253" s="3"/>
      <c r="C253" s="41"/>
    </row>
    <row r="254" spans="1:3">
      <c r="A254" s="81">
        <v>45027</v>
      </c>
      <c r="B254" s="3"/>
      <c r="C254" s="41"/>
    </row>
    <row r="255" spans="1:3">
      <c r="A255" s="81">
        <v>45028</v>
      </c>
      <c r="B255" s="3"/>
      <c r="C255" s="41"/>
    </row>
    <row r="256" spans="1:3">
      <c r="A256" s="81">
        <v>45029</v>
      </c>
      <c r="B256" s="3"/>
      <c r="C256" s="41"/>
    </row>
    <row r="257" spans="1:3">
      <c r="A257" s="81">
        <v>45030</v>
      </c>
      <c r="B257" s="3"/>
      <c r="C257" s="41"/>
    </row>
    <row r="258" spans="1:3">
      <c r="A258" s="81">
        <v>45031</v>
      </c>
      <c r="B258" s="3"/>
      <c r="C258" s="41"/>
    </row>
    <row r="259" spans="1:3">
      <c r="A259" s="81">
        <v>45032</v>
      </c>
      <c r="B259" s="3"/>
      <c r="C259" s="41"/>
    </row>
    <row r="260" spans="1:3">
      <c r="A260" s="81">
        <v>45033</v>
      </c>
      <c r="B260" s="3"/>
      <c r="C260" s="41"/>
    </row>
    <row r="261" spans="1:3">
      <c r="A261" s="81">
        <v>45034</v>
      </c>
      <c r="B261" s="3"/>
      <c r="C261" s="41"/>
    </row>
    <row r="262" spans="1:3">
      <c r="A262" s="81">
        <v>45035</v>
      </c>
      <c r="B262" s="3"/>
      <c r="C262" s="41"/>
    </row>
    <row r="263" spans="1:3">
      <c r="A263" s="81">
        <v>45036</v>
      </c>
      <c r="B263" s="3"/>
      <c r="C263" s="41"/>
    </row>
    <row r="264" spans="1:3">
      <c r="A264" s="81">
        <v>45037</v>
      </c>
      <c r="B264" s="3"/>
      <c r="C264" s="41"/>
    </row>
    <row r="265" spans="1:3">
      <c r="A265" s="81">
        <v>45038</v>
      </c>
      <c r="B265" s="3"/>
      <c r="C265" s="41"/>
    </row>
    <row r="266" spans="1:3">
      <c r="A266" s="81">
        <v>45039</v>
      </c>
      <c r="B266" s="3"/>
      <c r="C266" s="41"/>
    </row>
    <row r="267" spans="1:3">
      <c r="A267" s="81">
        <v>45040</v>
      </c>
      <c r="B267" s="3"/>
      <c r="C267" s="41"/>
    </row>
    <row r="268" spans="1:3">
      <c r="A268" s="81">
        <v>45041</v>
      </c>
      <c r="B268" s="3"/>
      <c r="C268" s="41"/>
    </row>
    <row r="269" spans="1:3">
      <c r="A269" s="81">
        <v>45042</v>
      </c>
      <c r="B269" s="3"/>
      <c r="C269" s="41"/>
    </row>
    <row r="270" spans="1:3">
      <c r="A270" s="81">
        <v>45043</v>
      </c>
      <c r="B270" s="3"/>
      <c r="C270" s="41"/>
    </row>
    <row r="271" spans="1:3">
      <c r="A271" s="81">
        <v>45044</v>
      </c>
      <c r="B271" s="3"/>
      <c r="C271" s="41"/>
    </row>
    <row r="272" spans="1:3">
      <c r="A272" s="81">
        <v>45045</v>
      </c>
      <c r="B272" s="3"/>
      <c r="C272" s="41"/>
    </row>
    <row r="273" spans="1:3">
      <c r="A273" s="81">
        <v>45046</v>
      </c>
      <c r="B273" s="3"/>
      <c r="C273" s="41"/>
    </row>
    <row r="274" spans="1:3">
      <c r="A274" s="81">
        <v>45047</v>
      </c>
      <c r="B274" s="3"/>
      <c r="C274" s="41"/>
    </row>
    <row r="275" spans="1:3">
      <c r="A275" s="81">
        <v>45048</v>
      </c>
      <c r="B275" s="3"/>
      <c r="C275" s="41"/>
    </row>
    <row r="276" spans="1:3">
      <c r="A276" s="81">
        <v>45049</v>
      </c>
      <c r="B276" s="3"/>
      <c r="C276" s="41"/>
    </row>
    <row r="277" spans="1:3">
      <c r="A277" s="81">
        <v>45050</v>
      </c>
      <c r="B277" s="3"/>
      <c r="C277" s="41"/>
    </row>
    <row r="278" spans="1:3">
      <c r="A278" s="81">
        <v>45051</v>
      </c>
      <c r="B278" s="3"/>
      <c r="C278" s="41"/>
    </row>
    <row r="279" spans="1:3">
      <c r="A279" s="81">
        <v>45052</v>
      </c>
      <c r="B279" s="3"/>
      <c r="C279" s="41"/>
    </row>
    <row r="280" spans="1:3">
      <c r="A280" s="81">
        <v>45053</v>
      </c>
      <c r="B280" s="3"/>
      <c r="C280" s="41"/>
    </row>
    <row r="281" spans="1:3">
      <c r="A281" s="81">
        <v>45054</v>
      </c>
      <c r="B281" s="3"/>
      <c r="C281" s="41"/>
    </row>
    <row r="282" spans="1:3">
      <c r="A282" s="81">
        <v>45055</v>
      </c>
      <c r="B282" s="3"/>
      <c r="C282" s="41"/>
    </row>
    <row r="283" spans="1:3">
      <c r="A283" s="81">
        <v>45056</v>
      </c>
      <c r="B283" s="3"/>
      <c r="C283" s="41"/>
    </row>
    <row r="284" spans="1:3">
      <c r="A284" s="81">
        <v>45057</v>
      </c>
      <c r="B284" s="3"/>
      <c r="C284" s="41"/>
    </row>
    <row r="285" spans="1:3">
      <c r="A285" s="81">
        <v>45058</v>
      </c>
      <c r="B285" s="3"/>
      <c r="C285" s="41"/>
    </row>
    <row r="286" spans="1:3">
      <c r="A286" s="81">
        <v>45059</v>
      </c>
      <c r="B286" s="3"/>
      <c r="C286" s="41"/>
    </row>
    <row r="287" spans="1:3">
      <c r="A287" s="81">
        <v>45060</v>
      </c>
      <c r="B287" s="3"/>
      <c r="C287" s="41"/>
    </row>
    <row r="288" spans="1:3">
      <c r="A288" s="81">
        <v>45061</v>
      </c>
      <c r="B288" s="3"/>
      <c r="C288" s="41"/>
    </row>
    <row r="289" spans="1:3">
      <c r="A289" s="81">
        <v>45062</v>
      </c>
      <c r="B289" s="3"/>
      <c r="C289" s="41"/>
    </row>
    <row r="290" spans="1:3">
      <c r="A290" s="81">
        <v>45063</v>
      </c>
      <c r="B290" s="3"/>
      <c r="C290" s="41"/>
    </row>
    <row r="291" spans="1:3">
      <c r="A291" s="81">
        <v>45064</v>
      </c>
      <c r="B291" s="3"/>
      <c r="C291" s="41"/>
    </row>
    <row r="292" spans="1:3">
      <c r="A292" s="81">
        <v>45065</v>
      </c>
      <c r="B292" s="3"/>
      <c r="C292" s="41"/>
    </row>
    <row r="293" spans="1:3">
      <c r="A293" s="81">
        <v>45066</v>
      </c>
      <c r="B293" s="3"/>
      <c r="C293" s="41"/>
    </row>
    <row r="294" spans="1:3">
      <c r="A294" s="81">
        <v>45067</v>
      </c>
      <c r="B294" s="3"/>
      <c r="C294" s="41"/>
    </row>
    <row r="295" spans="1:3">
      <c r="A295" s="81">
        <v>45068</v>
      </c>
      <c r="B295" s="3"/>
      <c r="C295" s="41"/>
    </row>
    <row r="296" spans="1:3">
      <c r="A296" s="81">
        <v>45069</v>
      </c>
      <c r="B296" s="3"/>
      <c r="C296" s="41"/>
    </row>
    <row r="297" spans="1:3">
      <c r="A297" s="81">
        <v>45070</v>
      </c>
      <c r="B297" s="3"/>
      <c r="C297" s="41"/>
    </row>
    <row r="298" spans="1:3">
      <c r="A298" s="81">
        <v>45071</v>
      </c>
      <c r="B298" s="3"/>
      <c r="C298" s="41"/>
    </row>
    <row r="299" spans="1:3">
      <c r="A299" s="81">
        <v>45072</v>
      </c>
      <c r="B299" s="3"/>
      <c r="C299" s="41"/>
    </row>
    <row r="300" spans="1:3">
      <c r="A300" s="81">
        <v>45073</v>
      </c>
      <c r="B300" s="3"/>
      <c r="C300" s="41"/>
    </row>
    <row r="301" spans="1:3">
      <c r="A301" s="81">
        <v>45074</v>
      </c>
      <c r="B301" s="3"/>
      <c r="C301" s="41"/>
    </row>
    <row r="302" spans="1:3">
      <c r="A302" s="81">
        <v>45075</v>
      </c>
      <c r="B302" s="3"/>
      <c r="C302" s="41"/>
    </row>
    <row r="303" spans="1:3">
      <c r="A303" s="81">
        <v>45076</v>
      </c>
      <c r="B303" s="3"/>
      <c r="C303" s="41"/>
    </row>
    <row r="304" spans="1:3">
      <c r="A304" s="81">
        <v>45077</v>
      </c>
      <c r="B304" s="3"/>
      <c r="C304" s="41"/>
    </row>
    <row r="305" spans="1:3">
      <c r="A305" s="81">
        <v>45078</v>
      </c>
      <c r="B305" s="3"/>
      <c r="C305" s="41"/>
    </row>
    <row r="306" spans="1:3">
      <c r="A306" s="81">
        <v>45079</v>
      </c>
      <c r="B306" s="3"/>
      <c r="C306" s="41"/>
    </row>
    <row r="307" spans="1:3">
      <c r="A307" s="81">
        <v>45080</v>
      </c>
      <c r="B307" s="3"/>
      <c r="C307" s="41"/>
    </row>
    <row r="308" spans="1:3">
      <c r="A308" s="81">
        <v>45081</v>
      </c>
      <c r="B308" s="3"/>
      <c r="C308" s="41"/>
    </row>
    <row r="309" spans="1:3">
      <c r="A309" s="81">
        <v>45082</v>
      </c>
      <c r="B309" s="3"/>
      <c r="C309" s="41"/>
    </row>
    <row r="310" spans="1:3">
      <c r="A310" s="81">
        <v>45083</v>
      </c>
      <c r="B310" s="3"/>
      <c r="C310" s="41"/>
    </row>
    <row r="311" spans="1:3">
      <c r="A311" s="81">
        <v>45084</v>
      </c>
      <c r="B311" s="3"/>
      <c r="C311" s="41"/>
    </row>
    <row r="312" spans="1:3">
      <c r="A312" s="81">
        <v>45085</v>
      </c>
      <c r="B312" s="3"/>
      <c r="C312" s="41"/>
    </row>
    <row r="313" spans="1:3">
      <c r="A313" s="81">
        <v>45086</v>
      </c>
      <c r="B313" s="3"/>
      <c r="C313" s="41"/>
    </row>
    <row r="314" spans="1:3">
      <c r="A314" s="81">
        <v>45087</v>
      </c>
      <c r="B314" s="3"/>
      <c r="C314" s="41"/>
    </row>
    <row r="315" spans="1:3">
      <c r="A315" s="81">
        <v>45088</v>
      </c>
      <c r="B315" s="3"/>
      <c r="C315" s="41"/>
    </row>
    <row r="316" spans="1:3">
      <c r="A316" s="81">
        <v>45089</v>
      </c>
      <c r="B316" s="3"/>
      <c r="C316" s="41"/>
    </row>
    <row r="317" spans="1:3">
      <c r="A317" s="81">
        <v>45090</v>
      </c>
      <c r="B317" s="3"/>
      <c r="C317" s="41"/>
    </row>
    <row r="318" spans="1:3">
      <c r="A318" s="81">
        <v>45091</v>
      </c>
      <c r="B318" s="3"/>
      <c r="C318" s="41"/>
    </row>
    <row r="319" spans="1:3">
      <c r="A319" s="81">
        <v>45092</v>
      </c>
      <c r="B319" s="3"/>
      <c r="C319" s="41"/>
    </row>
    <row r="320" spans="1:3">
      <c r="A320" s="81">
        <v>45093</v>
      </c>
      <c r="B320" s="3"/>
      <c r="C320" s="41"/>
    </row>
    <row r="321" spans="1:3">
      <c r="A321" s="81">
        <v>45094</v>
      </c>
      <c r="B321" s="3"/>
      <c r="C321" s="41"/>
    </row>
    <row r="322" spans="1:3">
      <c r="A322" s="81">
        <v>45095</v>
      </c>
      <c r="B322" s="3"/>
      <c r="C322" s="41"/>
    </row>
    <row r="323" spans="1:3">
      <c r="A323" s="81">
        <v>45096</v>
      </c>
      <c r="B323" s="3"/>
      <c r="C323" s="41"/>
    </row>
    <row r="324" spans="1:3">
      <c r="A324" s="81">
        <v>45097</v>
      </c>
      <c r="B324" s="3"/>
      <c r="C324" s="41"/>
    </row>
    <row r="325" spans="1:3">
      <c r="A325" s="81">
        <v>45098</v>
      </c>
      <c r="B325" s="3"/>
      <c r="C325" s="41"/>
    </row>
    <row r="326" spans="1:3">
      <c r="A326" s="81">
        <v>45099</v>
      </c>
      <c r="B326" s="3"/>
      <c r="C326" s="41"/>
    </row>
    <row r="327" spans="1:3">
      <c r="A327" s="81">
        <v>45100</v>
      </c>
      <c r="B327" s="3"/>
      <c r="C327" s="41"/>
    </row>
    <row r="328" spans="1:3">
      <c r="A328" s="81">
        <v>45101</v>
      </c>
      <c r="B328" s="3"/>
      <c r="C328" s="41"/>
    </row>
    <row r="329" spans="1:3">
      <c r="A329" s="81">
        <v>45102</v>
      </c>
      <c r="B329" s="3"/>
      <c r="C329" s="41"/>
    </row>
    <row r="330" spans="1:3">
      <c r="A330" s="81">
        <v>45103</v>
      </c>
      <c r="B330" s="3"/>
      <c r="C330" s="41"/>
    </row>
    <row r="331" spans="1:3">
      <c r="A331" s="81">
        <v>45104</v>
      </c>
      <c r="B331" s="3"/>
      <c r="C331" s="41"/>
    </row>
    <row r="332" spans="1:3">
      <c r="A332" s="81">
        <v>45105</v>
      </c>
      <c r="B332" s="3"/>
      <c r="C332" s="41"/>
    </row>
    <row r="333" spans="1:3">
      <c r="A333" s="81">
        <v>45106</v>
      </c>
      <c r="B333" s="3"/>
      <c r="C333" s="41"/>
    </row>
    <row r="334" spans="1:3">
      <c r="A334" s="81">
        <v>45107</v>
      </c>
      <c r="B334" s="3"/>
      <c r="C334" s="41"/>
    </row>
    <row r="335" spans="1:3">
      <c r="A335" s="81">
        <v>45108</v>
      </c>
      <c r="B335" s="3"/>
      <c r="C335" s="41"/>
    </row>
    <row r="336" spans="1:3">
      <c r="A336" s="81">
        <v>45109</v>
      </c>
      <c r="B336" s="3"/>
      <c r="C336" s="41"/>
    </row>
    <row r="337" spans="1:3">
      <c r="A337" s="81">
        <v>45110</v>
      </c>
      <c r="B337" s="3"/>
      <c r="C337" s="41"/>
    </row>
    <row r="338" spans="1:3">
      <c r="A338" s="81">
        <v>45111</v>
      </c>
      <c r="B338" s="3"/>
      <c r="C338" s="41"/>
    </row>
    <row r="339" spans="1:3">
      <c r="A339" s="81">
        <v>45112</v>
      </c>
      <c r="B339" s="3"/>
      <c r="C339" s="41"/>
    </row>
    <row r="340" spans="1:3">
      <c r="A340" s="81">
        <v>45113</v>
      </c>
      <c r="B340" s="3"/>
      <c r="C340" s="41"/>
    </row>
    <row r="341" spans="1:3">
      <c r="A341" s="81">
        <v>45114</v>
      </c>
      <c r="B341" s="3"/>
      <c r="C341" s="41"/>
    </row>
    <row r="342" spans="1:3">
      <c r="A342" s="81">
        <v>45115</v>
      </c>
      <c r="B342" s="3"/>
      <c r="C342" s="41"/>
    </row>
    <row r="343" spans="1:3">
      <c r="A343" s="81">
        <v>45116</v>
      </c>
      <c r="B343" s="3"/>
      <c r="C343" s="41"/>
    </row>
    <row r="344" spans="1:3">
      <c r="A344" s="81">
        <v>45117</v>
      </c>
      <c r="B344" s="3"/>
      <c r="C344" s="41"/>
    </row>
    <row r="345" spans="1:3">
      <c r="A345" s="81">
        <v>45118</v>
      </c>
      <c r="B345" s="3"/>
      <c r="C345" s="41"/>
    </row>
    <row r="346" spans="1:3">
      <c r="A346" s="81">
        <v>45119</v>
      </c>
      <c r="B346" s="3"/>
      <c r="C346" s="41"/>
    </row>
    <row r="347" spans="1:3">
      <c r="A347" s="81">
        <v>45120</v>
      </c>
      <c r="B347" s="3"/>
      <c r="C347" s="41"/>
    </row>
    <row r="348" spans="1:3">
      <c r="A348" s="81">
        <v>45121</v>
      </c>
      <c r="B348" s="3"/>
      <c r="C348" s="41"/>
    </row>
    <row r="349" spans="1:3">
      <c r="A349" s="81">
        <v>45122</v>
      </c>
      <c r="B349" s="3"/>
      <c r="C349" s="41"/>
    </row>
    <row r="350" spans="1:3">
      <c r="A350" s="81">
        <v>45123</v>
      </c>
      <c r="B350" s="3"/>
      <c r="C350" s="41"/>
    </row>
    <row r="351" spans="1:3">
      <c r="A351" s="81">
        <v>45124</v>
      </c>
      <c r="B351" s="3"/>
      <c r="C351" s="41"/>
    </row>
    <row r="352" spans="1:3">
      <c r="A352" s="81">
        <v>45125</v>
      </c>
      <c r="B352" s="3"/>
      <c r="C352" s="41"/>
    </row>
    <row r="353" spans="1:3">
      <c r="A353" s="81">
        <v>45126</v>
      </c>
      <c r="B353" s="3"/>
      <c r="C353" s="41"/>
    </row>
    <row r="354" spans="1:3">
      <c r="A354" s="81">
        <v>45127</v>
      </c>
      <c r="B354" s="3"/>
      <c r="C354" s="41"/>
    </row>
    <row r="355" spans="1:3">
      <c r="A355" s="81">
        <v>45128</v>
      </c>
      <c r="B355" s="3"/>
      <c r="C355" s="41"/>
    </row>
    <row r="356" spans="1:3">
      <c r="A356" s="81">
        <v>45129</v>
      </c>
      <c r="B356" s="3"/>
      <c r="C356" s="41"/>
    </row>
    <row r="357" spans="1:3">
      <c r="A357" s="81">
        <v>45130</v>
      </c>
      <c r="B357" s="3"/>
      <c r="C357" s="41"/>
    </row>
    <row r="358" spans="1:3">
      <c r="A358" s="81">
        <v>45131</v>
      </c>
      <c r="B358" s="3"/>
      <c r="C358" s="41"/>
    </row>
    <row r="359" spans="1:3">
      <c r="A359" s="81">
        <v>45132</v>
      </c>
      <c r="B359" s="3"/>
      <c r="C359" s="41"/>
    </row>
    <row r="360" spans="1:3">
      <c r="A360" s="81">
        <v>45133</v>
      </c>
      <c r="B360" s="3"/>
      <c r="C360" s="41"/>
    </row>
    <row r="361" spans="1:3">
      <c r="A361" s="81">
        <v>45134</v>
      </c>
      <c r="B361" s="3"/>
      <c r="C361" s="41"/>
    </row>
    <row r="362" spans="1:3">
      <c r="A362" s="81">
        <v>45135</v>
      </c>
      <c r="B362" s="3"/>
      <c r="C362" s="41"/>
    </row>
    <row r="363" spans="1:3">
      <c r="A363" s="81">
        <v>45136</v>
      </c>
      <c r="B363" s="3"/>
      <c r="C363" s="41"/>
    </row>
    <row r="364" spans="1:3">
      <c r="A364" s="81">
        <v>45137</v>
      </c>
      <c r="B364" s="3"/>
      <c r="C364" s="41"/>
    </row>
    <row r="365" spans="1:3">
      <c r="A365" s="81">
        <v>45138</v>
      </c>
      <c r="B365" s="3"/>
      <c r="C365" s="41"/>
    </row>
    <row r="366" spans="1:3">
      <c r="A366" s="81">
        <v>45139</v>
      </c>
      <c r="B366" s="3"/>
      <c r="C366" s="41"/>
    </row>
    <row r="367" spans="1:3">
      <c r="A367" s="81">
        <v>45140</v>
      </c>
      <c r="B367" s="3"/>
      <c r="C367" s="41"/>
    </row>
    <row r="368" spans="1:3">
      <c r="A368" s="81">
        <v>45141</v>
      </c>
      <c r="B368" s="3"/>
      <c r="C368" s="41"/>
    </row>
    <row r="369" spans="1:3">
      <c r="A369" s="81">
        <v>45142</v>
      </c>
      <c r="B369" s="3"/>
      <c r="C369" s="41"/>
    </row>
    <row r="370" spans="1:3">
      <c r="A370" s="81">
        <v>45143</v>
      </c>
      <c r="B370" s="3"/>
      <c r="C370" s="41"/>
    </row>
    <row r="371" spans="1:3">
      <c r="A371" s="81">
        <v>45144</v>
      </c>
      <c r="B371" s="3"/>
      <c r="C371" s="41"/>
    </row>
    <row r="372" spans="1:3">
      <c r="A372" s="81">
        <v>45145</v>
      </c>
      <c r="B372" s="3"/>
      <c r="C372" s="41"/>
    </row>
    <row r="373" spans="1:3">
      <c r="A373" s="81">
        <v>45146</v>
      </c>
      <c r="B373" s="3"/>
      <c r="C373" s="41"/>
    </row>
    <row r="374" spans="1:3">
      <c r="A374" s="81">
        <v>45147</v>
      </c>
      <c r="B374" s="3"/>
      <c r="C374" s="41"/>
    </row>
    <row r="375" spans="1:3">
      <c r="A375" s="81">
        <v>45148</v>
      </c>
      <c r="B375" s="3"/>
      <c r="C375" s="41"/>
    </row>
    <row r="376" spans="1:3">
      <c r="A376" s="81">
        <v>45149</v>
      </c>
      <c r="B376" s="3"/>
      <c r="C376" s="41"/>
    </row>
    <row r="377" spans="1:3">
      <c r="A377" s="81">
        <v>45150</v>
      </c>
      <c r="B377" s="3"/>
      <c r="C377" s="41"/>
    </row>
    <row r="378" spans="1:3">
      <c r="A378" s="81">
        <v>45151</v>
      </c>
      <c r="B378" s="3"/>
      <c r="C378" s="41"/>
    </row>
    <row r="379" spans="1:3">
      <c r="A379" s="81">
        <v>45152</v>
      </c>
      <c r="B379" s="3"/>
      <c r="C379" s="41"/>
    </row>
    <row r="380" spans="1:3">
      <c r="A380" s="81">
        <v>45153</v>
      </c>
      <c r="B380" s="3"/>
      <c r="C380" s="41"/>
    </row>
    <row r="381" spans="1:3">
      <c r="A381" s="81">
        <v>45154</v>
      </c>
      <c r="B381" s="3"/>
      <c r="C381" s="41"/>
    </row>
    <row r="382" spans="1:3">
      <c r="A382" s="81">
        <v>45155</v>
      </c>
      <c r="B382" s="3"/>
      <c r="C382" s="41"/>
    </row>
    <row r="383" spans="1:3">
      <c r="A383" s="81">
        <v>45156</v>
      </c>
      <c r="B383" s="3"/>
      <c r="C383" s="41"/>
    </row>
    <row r="384" spans="1:3">
      <c r="A384" s="81">
        <v>45157</v>
      </c>
      <c r="B384" s="3"/>
      <c r="C384" s="41"/>
    </row>
    <row r="385" spans="1:3">
      <c r="A385" s="81">
        <v>45158</v>
      </c>
      <c r="B385" s="3"/>
      <c r="C385" s="41"/>
    </row>
    <row r="386" spans="1:3">
      <c r="A386" s="81">
        <v>45159</v>
      </c>
      <c r="B386" s="3"/>
      <c r="C386" s="41"/>
    </row>
    <row r="387" spans="1:3">
      <c r="A387" s="81">
        <v>45160</v>
      </c>
      <c r="B387" s="3"/>
      <c r="C387" s="41"/>
    </row>
    <row r="388" spans="1:3">
      <c r="A388" s="81">
        <v>45161</v>
      </c>
      <c r="B388" s="3"/>
      <c r="C388" s="41"/>
    </row>
    <row r="389" spans="1:3">
      <c r="A389" s="81">
        <v>45162</v>
      </c>
      <c r="B389" s="3"/>
      <c r="C389" s="41"/>
    </row>
    <row r="390" spans="1:3">
      <c r="A390" s="81">
        <v>45163</v>
      </c>
      <c r="B390" s="3"/>
      <c r="C390" s="41"/>
    </row>
    <row r="391" spans="1:3">
      <c r="A391" s="81">
        <v>45164</v>
      </c>
      <c r="B391" s="3"/>
      <c r="C391" s="41"/>
    </row>
    <row r="392" spans="1:3">
      <c r="A392" s="81">
        <v>45165</v>
      </c>
      <c r="B392" s="3"/>
      <c r="C392" s="41"/>
    </row>
    <row r="393" spans="1:3">
      <c r="A393" s="81">
        <v>45166</v>
      </c>
      <c r="B393" s="3"/>
      <c r="C393" s="41"/>
    </row>
    <row r="394" spans="1:3">
      <c r="A394" s="81">
        <v>45167</v>
      </c>
      <c r="B394" s="3"/>
      <c r="C394" s="41"/>
    </row>
    <row r="395" spans="1:3">
      <c r="A395" s="81">
        <v>45168</v>
      </c>
      <c r="B395" s="3"/>
      <c r="C395" s="41"/>
    </row>
    <row r="396" spans="1:3">
      <c r="A396" s="81">
        <v>45169</v>
      </c>
      <c r="B396" s="3"/>
      <c r="C396" s="41"/>
    </row>
    <row r="397" spans="1:3">
      <c r="A397" s="81">
        <v>45170</v>
      </c>
      <c r="B397" s="3"/>
      <c r="C397" s="41"/>
    </row>
    <row r="398" spans="1:3">
      <c r="A398" s="81">
        <v>45171</v>
      </c>
      <c r="B398" s="3"/>
      <c r="C398" s="41"/>
    </row>
    <row r="399" spans="1:3">
      <c r="A399" s="81">
        <v>45172</v>
      </c>
      <c r="B399" s="3"/>
      <c r="C399" s="41"/>
    </row>
    <row r="400" spans="1:3">
      <c r="A400" s="81">
        <v>45173</v>
      </c>
      <c r="B400" s="3"/>
      <c r="C400" s="41"/>
    </row>
    <row r="401" spans="1:3">
      <c r="A401" s="81">
        <v>45174</v>
      </c>
      <c r="B401" s="3"/>
      <c r="C401" s="41"/>
    </row>
    <row r="402" spans="1:3">
      <c r="A402" s="81">
        <v>45175</v>
      </c>
      <c r="B402" s="3"/>
      <c r="C402" s="41"/>
    </row>
    <row r="403" spans="1:3">
      <c r="A403" s="81">
        <v>45176</v>
      </c>
      <c r="B403" s="3"/>
      <c r="C403" s="41"/>
    </row>
    <row r="404" spans="1:3">
      <c r="A404" s="81">
        <v>45177</v>
      </c>
      <c r="B404" s="3"/>
      <c r="C404" s="41"/>
    </row>
    <row r="405" spans="1:3">
      <c r="A405" s="81">
        <v>45178</v>
      </c>
      <c r="B405" s="3"/>
      <c r="C405" s="41"/>
    </row>
    <row r="406" spans="1:3">
      <c r="A406" s="81">
        <v>45179</v>
      </c>
      <c r="B406" s="3"/>
      <c r="C406" s="41"/>
    </row>
    <row r="407" spans="1:3">
      <c r="A407" s="81">
        <v>45180</v>
      </c>
      <c r="B407" s="3"/>
      <c r="C407" s="41"/>
    </row>
    <row r="408" spans="1:3">
      <c r="A408" s="81">
        <v>45181</v>
      </c>
      <c r="B408" s="3"/>
      <c r="C408" s="41"/>
    </row>
    <row r="409" spans="1:3">
      <c r="A409" s="81">
        <v>45182</v>
      </c>
      <c r="B409" s="3"/>
      <c r="C409" s="41"/>
    </row>
    <row r="410" spans="1:3">
      <c r="A410" s="81">
        <v>45183</v>
      </c>
      <c r="B410" s="3"/>
      <c r="C410" s="41"/>
    </row>
    <row r="411" spans="1:3">
      <c r="A411" s="81">
        <v>45184</v>
      </c>
      <c r="B411" s="3"/>
      <c r="C411" s="41"/>
    </row>
    <row r="412" spans="1:3">
      <c r="A412" s="81">
        <v>45185</v>
      </c>
      <c r="B412" s="3"/>
      <c r="C412" s="41"/>
    </row>
    <row r="413" spans="1:3">
      <c r="A413" s="81">
        <v>45186</v>
      </c>
      <c r="B413" s="3"/>
      <c r="C413" s="41"/>
    </row>
    <row r="414" spans="1:3">
      <c r="A414" s="81">
        <v>45187</v>
      </c>
      <c r="B414" s="3"/>
      <c r="C414" s="41"/>
    </row>
    <row r="415" spans="1:3">
      <c r="A415" s="81">
        <v>45188</v>
      </c>
      <c r="B415" s="3"/>
      <c r="C415" s="41"/>
    </row>
    <row r="416" spans="1:3">
      <c r="A416" s="81">
        <v>45189</v>
      </c>
      <c r="B416" s="3"/>
      <c r="C416" s="41"/>
    </row>
    <row r="417" spans="1:3">
      <c r="A417" s="81">
        <v>45190</v>
      </c>
      <c r="B417" s="3"/>
      <c r="C417" s="41"/>
    </row>
    <row r="418" spans="1:3">
      <c r="A418" s="81">
        <v>45191</v>
      </c>
      <c r="B418" s="3"/>
      <c r="C418" s="41"/>
    </row>
    <row r="419" spans="1:3">
      <c r="A419" s="81">
        <v>45192</v>
      </c>
      <c r="B419" s="3"/>
      <c r="C419" s="41"/>
    </row>
    <row r="420" spans="1:3">
      <c r="A420" s="81">
        <v>45193</v>
      </c>
      <c r="B420" s="3"/>
      <c r="C420" s="41"/>
    </row>
    <row r="421" spans="1:3">
      <c r="A421" s="81">
        <v>45194</v>
      </c>
      <c r="B421" s="3"/>
      <c r="C421" s="41"/>
    </row>
    <row r="422" spans="1:3">
      <c r="A422" s="81">
        <v>45195</v>
      </c>
      <c r="B422" s="3"/>
      <c r="C422" s="41"/>
    </row>
    <row r="423" spans="1:3">
      <c r="A423" s="81">
        <v>45196</v>
      </c>
      <c r="B423" s="3"/>
      <c r="C423" s="41"/>
    </row>
    <row r="424" spans="1:3">
      <c r="A424" s="81">
        <v>45197</v>
      </c>
      <c r="B424" s="3"/>
      <c r="C424" s="41"/>
    </row>
    <row r="425" spans="1:3">
      <c r="A425" s="81">
        <v>45198</v>
      </c>
      <c r="B425" s="3"/>
      <c r="C425" s="41"/>
    </row>
    <row r="426" spans="1:3">
      <c r="A426" s="81">
        <v>45199</v>
      </c>
      <c r="B426" s="3"/>
      <c r="C426" s="41"/>
    </row>
    <row r="427" spans="1:3">
      <c r="A427" s="81">
        <v>45200</v>
      </c>
      <c r="B427" s="3"/>
      <c r="C427" s="41"/>
    </row>
    <row r="428" spans="1:3">
      <c r="A428" s="81">
        <v>45201</v>
      </c>
      <c r="B428" s="3"/>
      <c r="C428" s="41"/>
    </row>
    <row r="429" spans="1:3">
      <c r="A429" s="81">
        <v>45202</v>
      </c>
      <c r="B429" s="3"/>
      <c r="C429" s="41"/>
    </row>
    <row r="430" spans="1:3">
      <c r="A430" s="81">
        <v>45203</v>
      </c>
      <c r="B430" s="3"/>
      <c r="C430" s="41"/>
    </row>
    <row r="431" spans="1:3">
      <c r="A431" s="81">
        <v>45204</v>
      </c>
      <c r="B431" s="3"/>
      <c r="C431" s="41"/>
    </row>
    <row r="432" spans="1:3">
      <c r="A432" s="81">
        <v>45205</v>
      </c>
      <c r="B432" s="3"/>
      <c r="C432" s="41"/>
    </row>
    <row r="433" spans="1:3">
      <c r="A433" s="81">
        <v>45206</v>
      </c>
      <c r="B433" s="3"/>
      <c r="C433" s="41"/>
    </row>
    <row r="434" spans="1:3">
      <c r="A434" s="81">
        <v>45207</v>
      </c>
      <c r="B434" s="3"/>
      <c r="C434" s="41"/>
    </row>
    <row r="435" spans="1:3">
      <c r="A435" s="81">
        <v>45208</v>
      </c>
      <c r="B435" s="3"/>
      <c r="C435" s="41"/>
    </row>
    <row r="436" spans="1:3">
      <c r="A436" s="81">
        <v>45209</v>
      </c>
      <c r="B436" s="3"/>
      <c r="C436" s="41"/>
    </row>
    <row r="437" spans="1:3">
      <c r="A437" s="81">
        <v>45210</v>
      </c>
      <c r="B437" s="3"/>
      <c r="C437" s="41"/>
    </row>
    <row r="438" spans="1:3">
      <c r="A438" s="81">
        <v>45211</v>
      </c>
      <c r="B438" s="3"/>
      <c r="C438" s="41"/>
    </row>
    <row r="439" spans="1:3">
      <c r="A439" s="81">
        <v>45212</v>
      </c>
      <c r="B439" s="3"/>
      <c r="C439" s="41"/>
    </row>
    <row r="440" spans="1:3">
      <c r="A440" s="81">
        <v>45213</v>
      </c>
      <c r="B440" s="3"/>
      <c r="C440" s="41"/>
    </row>
    <row r="441" spans="1:3">
      <c r="A441" s="81">
        <v>45214</v>
      </c>
      <c r="B441" s="3"/>
      <c r="C441" s="41"/>
    </row>
    <row r="442" spans="1:3">
      <c r="A442" s="81">
        <v>45215</v>
      </c>
      <c r="B442" s="3"/>
      <c r="C442" s="41"/>
    </row>
    <row r="443" spans="1:3">
      <c r="A443" s="81">
        <v>45216</v>
      </c>
      <c r="B443" s="3"/>
      <c r="C443" s="41"/>
    </row>
    <row r="444" spans="1:3">
      <c r="A444" s="81">
        <v>45217</v>
      </c>
      <c r="B444" s="3"/>
      <c r="C444" s="41"/>
    </row>
    <row r="445" spans="1:3">
      <c r="A445" s="81">
        <v>45218</v>
      </c>
      <c r="B445" s="3"/>
      <c r="C445" s="41"/>
    </row>
    <row r="446" spans="1:3">
      <c r="A446" s="81">
        <v>45219</v>
      </c>
      <c r="B446" s="3"/>
      <c r="C446" s="41"/>
    </row>
    <row r="447" spans="1:3">
      <c r="A447" s="81">
        <v>45220</v>
      </c>
      <c r="B447" s="3"/>
      <c r="C447" s="41"/>
    </row>
    <row r="448" spans="1:3">
      <c r="A448" s="81">
        <v>45221</v>
      </c>
      <c r="B448" s="3"/>
      <c r="C448" s="41"/>
    </row>
    <row r="449" spans="1:3">
      <c r="A449" s="81">
        <v>45222</v>
      </c>
      <c r="B449" s="3"/>
      <c r="C449" s="41"/>
    </row>
    <row r="450" spans="1:3">
      <c r="A450" s="81">
        <v>45223</v>
      </c>
      <c r="B450" s="3"/>
      <c r="C450" s="41"/>
    </row>
    <row r="451" spans="1:3">
      <c r="A451" s="81">
        <v>45224</v>
      </c>
      <c r="B451" s="3"/>
      <c r="C451" s="41"/>
    </row>
    <row r="452" spans="1:3">
      <c r="A452" s="81">
        <v>45225</v>
      </c>
      <c r="B452" s="3"/>
      <c r="C452" s="41"/>
    </row>
    <row r="453" spans="1:3">
      <c r="A453" s="81">
        <v>45226</v>
      </c>
      <c r="B453" s="3"/>
      <c r="C453" s="41"/>
    </row>
    <row r="454" spans="1:3">
      <c r="A454" s="81">
        <v>45227</v>
      </c>
      <c r="B454" s="3"/>
      <c r="C454" s="41"/>
    </row>
    <row r="455" spans="1:3">
      <c r="A455" s="81">
        <v>45228</v>
      </c>
      <c r="B455" s="3"/>
      <c r="C455" s="41"/>
    </row>
    <row r="456" spans="1:3">
      <c r="A456" s="81">
        <v>45229</v>
      </c>
      <c r="B456" s="3"/>
      <c r="C456" s="41"/>
    </row>
    <row r="457" spans="1:3">
      <c r="A457" s="81">
        <v>45230</v>
      </c>
      <c r="B457" s="3"/>
      <c r="C457" s="41"/>
    </row>
    <row r="458" spans="1:3">
      <c r="A458" s="81">
        <v>45231</v>
      </c>
      <c r="B458" s="3"/>
      <c r="C458" s="41"/>
    </row>
    <row r="459" spans="1:3">
      <c r="A459" s="81">
        <v>45232</v>
      </c>
      <c r="B459" s="3"/>
      <c r="C459" s="41"/>
    </row>
    <row r="460" spans="1:3">
      <c r="A460" s="81">
        <v>45233</v>
      </c>
      <c r="B460" s="3"/>
      <c r="C460" s="41"/>
    </row>
    <row r="461" spans="1:3">
      <c r="A461" s="81">
        <v>45234</v>
      </c>
      <c r="B461" s="3"/>
      <c r="C461" s="41"/>
    </row>
    <row r="462" spans="1:3">
      <c r="A462" s="81">
        <v>45235</v>
      </c>
      <c r="B462" s="3"/>
      <c r="C462" s="41"/>
    </row>
    <row r="463" spans="1:3">
      <c r="A463" s="81">
        <v>45236</v>
      </c>
      <c r="B463" s="3"/>
      <c r="C463" s="41"/>
    </row>
    <row r="464" spans="1:3">
      <c r="A464" s="81">
        <v>45237</v>
      </c>
      <c r="B464" s="3"/>
      <c r="C464" s="41"/>
    </row>
    <row r="465" spans="1:3">
      <c r="A465" s="81">
        <v>45238</v>
      </c>
      <c r="B465" s="3"/>
      <c r="C465" s="41"/>
    </row>
    <row r="466" spans="1:3">
      <c r="A466" s="81">
        <v>45239</v>
      </c>
      <c r="B466" s="3"/>
      <c r="C466" s="41"/>
    </row>
    <row r="467" spans="1:3">
      <c r="A467" s="81">
        <v>45240</v>
      </c>
      <c r="B467" s="3"/>
      <c r="C467" s="41"/>
    </row>
    <row r="468" spans="1:3">
      <c r="A468" s="81">
        <v>45241</v>
      </c>
      <c r="B468" s="3"/>
      <c r="C468" s="41"/>
    </row>
    <row r="469" spans="1:3">
      <c r="A469" s="81">
        <v>45242</v>
      </c>
      <c r="B469" s="3"/>
      <c r="C469" s="41"/>
    </row>
    <row r="470" spans="1:3">
      <c r="A470" s="81">
        <v>45243</v>
      </c>
      <c r="B470" s="3"/>
      <c r="C470" s="41"/>
    </row>
    <row r="471" spans="1:3">
      <c r="A471" s="81">
        <v>45244</v>
      </c>
      <c r="B471" s="3"/>
      <c r="C471" s="41"/>
    </row>
    <row r="472" spans="1:3">
      <c r="A472" s="81">
        <v>45245</v>
      </c>
      <c r="B472" s="3"/>
      <c r="C472" s="41"/>
    </row>
    <row r="473" spans="1:3">
      <c r="A473" s="81">
        <v>45246</v>
      </c>
      <c r="B473" s="3"/>
      <c r="C473" s="41"/>
    </row>
    <row r="474" spans="1:3">
      <c r="A474" s="81">
        <v>45247</v>
      </c>
      <c r="B474" s="3"/>
      <c r="C474" s="41"/>
    </row>
    <row r="475" spans="1:3">
      <c r="A475" s="81">
        <v>45248</v>
      </c>
      <c r="B475" s="3"/>
      <c r="C475" s="41"/>
    </row>
    <row r="476" spans="1:3">
      <c r="A476" s="81">
        <v>45249</v>
      </c>
      <c r="B476" s="3"/>
      <c r="C476" s="41"/>
    </row>
    <row r="477" spans="1:3">
      <c r="A477" s="81">
        <v>45250</v>
      </c>
      <c r="B477" s="3"/>
      <c r="C477" s="41"/>
    </row>
    <row r="478" spans="1:3">
      <c r="A478" s="81">
        <v>45251</v>
      </c>
      <c r="B478" s="3"/>
      <c r="C478" s="41"/>
    </row>
    <row r="479" spans="1:3">
      <c r="A479" s="81">
        <v>45252</v>
      </c>
      <c r="B479" s="3"/>
      <c r="C479" s="41"/>
    </row>
    <row r="480" spans="1:3">
      <c r="A480" s="81">
        <v>45253</v>
      </c>
      <c r="B480" s="3"/>
      <c r="C480" s="41"/>
    </row>
    <row r="481" spans="1:3">
      <c r="A481" s="81">
        <v>45254</v>
      </c>
      <c r="B481" s="3"/>
      <c r="C481" s="41"/>
    </row>
    <row r="482" spans="1:3">
      <c r="A482" s="81">
        <v>45255</v>
      </c>
      <c r="B482" s="3"/>
      <c r="C482" s="41"/>
    </row>
    <row r="483" spans="1:3">
      <c r="A483" s="81">
        <v>45256</v>
      </c>
      <c r="B483" s="3"/>
      <c r="C483" s="41"/>
    </row>
    <row r="484" spans="1:3">
      <c r="A484" s="81">
        <v>45257</v>
      </c>
      <c r="B484" s="3"/>
      <c r="C484" s="41"/>
    </row>
    <row r="485" spans="1:3">
      <c r="A485" s="81">
        <v>45258</v>
      </c>
      <c r="B485" s="3"/>
      <c r="C485" s="41"/>
    </row>
    <row r="486" spans="1:3">
      <c r="A486" s="81">
        <v>45259</v>
      </c>
      <c r="B486" s="3"/>
      <c r="C486" s="41"/>
    </row>
    <row r="487" spans="1:3">
      <c r="A487" s="81">
        <v>45260</v>
      </c>
      <c r="B487" s="3"/>
      <c r="C487" s="41"/>
    </row>
    <row r="488" spans="1:3">
      <c r="A488" s="81">
        <v>45261</v>
      </c>
      <c r="B488" s="3"/>
      <c r="C488" s="41"/>
    </row>
    <row r="489" spans="1:3">
      <c r="A489" s="81">
        <v>45262</v>
      </c>
      <c r="B489" s="3"/>
      <c r="C489" s="41"/>
    </row>
    <row r="490" spans="1:3">
      <c r="A490" s="81">
        <v>45263</v>
      </c>
      <c r="B490" s="3"/>
      <c r="C490" s="41"/>
    </row>
    <row r="491" spans="1:3">
      <c r="A491" s="81">
        <v>45264</v>
      </c>
      <c r="B491" s="3"/>
      <c r="C491" s="41"/>
    </row>
    <row r="492" spans="1:3">
      <c r="A492" s="81">
        <v>45265</v>
      </c>
      <c r="B492" s="3"/>
      <c r="C492" s="41"/>
    </row>
    <row r="493" spans="1:3">
      <c r="A493" s="81">
        <v>45266</v>
      </c>
      <c r="B493" s="3"/>
      <c r="C493" s="41"/>
    </row>
    <row r="494" spans="1:3">
      <c r="A494" s="81">
        <v>45267</v>
      </c>
      <c r="B494" s="3"/>
      <c r="C494" s="41"/>
    </row>
    <row r="495" spans="1:3">
      <c r="A495" s="81">
        <v>45268</v>
      </c>
      <c r="B495" s="3"/>
      <c r="C495" s="41"/>
    </row>
    <row r="496" spans="1:3">
      <c r="A496" s="81">
        <v>45269</v>
      </c>
      <c r="B496" s="3"/>
      <c r="C496" s="41"/>
    </row>
    <row r="497" spans="1:3">
      <c r="A497" s="81">
        <v>45270</v>
      </c>
      <c r="B497" s="3"/>
      <c r="C497" s="41"/>
    </row>
    <row r="498" spans="1:3">
      <c r="A498" s="81">
        <v>45271</v>
      </c>
      <c r="B498" s="3"/>
      <c r="C498" s="41"/>
    </row>
    <row r="499" spans="1:3">
      <c r="A499" s="81">
        <v>45272</v>
      </c>
      <c r="B499" s="3"/>
      <c r="C499" s="41"/>
    </row>
    <row r="500" spans="1:3">
      <c r="A500" s="81">
        <v>45273</v>
      </c>
      <c r="B500" s="3"/>
      <c r="C500" s="41"/>
    </row>
    <row r="501" spans="1:3">
      <c r="A501" s="81">
        <v>45274</v>
      </c>
      <c r="B501" s="3"/>
      <c r="C501" s="41"/>
    </row>
    <row r="502" spans="1:3">
      <c r="A502" s="81">
        <v>45275</v>
      </c>
      <c r="B502" s="3"/>
      <c r="C502" s="41"/>
    </row>
    <row r="503" spans="1:3">
      <c r="A503" s="81">
        <v>45276</v>
      </c>
      <c r="B503" s="3"/>
      <c r="C503" s="41"/>
    </row>
    <row r="504" spans="1:3">
      <c r="A504" s="81">
        <v>45277</v>
      </c>
      <c r="B504" s="3"/>
      <c r="C504" s="41"/>
    </row>
    <row r="505" spans="1:3">
      <c r="A505" s="81">
        <v>45278</v>
      </c>
      <c r="B505" s="3"/>
      <c r="C505" s="41"/>
    </row>
    <row r="506" spans="1:3">
      <c r="A506" s="81">
        <v>45279</v>
      </c>
      <c r="B506" s="3"/>
      <c r="C506" s="41"/>
    </row>
    <row r="507" spans="1:3">
      <c r="A507" s="81">
        <v>45280</v>
      </c>
      <c r="B507" s="3"/>
      <c r="C507" s="41"/>
    </row>
    <row r="508" spans="1:3">
      <c r="A508" s="81">
        <v>45281</v>
      </c>
      <c r="B508" s="3"/>
      <c r="C508" s="41"/>
    </row>
    <row r="509" spans="1:3">
      <c r="A509" s="81">
        <v>45282</v>
      </c>
      <c r="B509" s="3"/>
      <c r="C509" s="41"/>
    </row>
    <row r="510" spans="1:3">
      <c r="A510" s="81">
        <v>45283</v>
      </c>
      <c r="B510" s="3"/>
      <c r="C510" s="41"/>
    </row>
    <row r="511" spans="1:3">
      <c r="A511" s="81">
        <v>45284</v>
      </c>
      <c r="B511" s="3"/>
      <c r="C511" s="41"/>
    </row>
    <row r="512" spans="1:3">
      <c r="A512" s="81">
        <v>45285</v>
      </c>
      <c r="B512" s="3"/>
      <c r="C512" s="41"/>
    </row>
    <row r="513" spans="1:3">
      <c r="A513" s="81">
        <v>45286</v>
      </c>
      <c r="B513" s="3"/>
      <c r="C513" s="41"/>
    </row>
    <row r="514" spans="1:3">
      <c r="A514" s="81">
        <v>45287</v>
      </c>
      <c r="B514" s="3"/>
      <c r="C514" s="41"/>
    </row>
    <row r="515" spans="1:3">
      <c r="A515" s="81">
        <v>45288</v>
      </c>
      <c r="B515" s="3"/>
      <c r="C515" s="41"/>
    </row>
    <row r="516" spans="1:3">
      <c r="A516" s="81">
        <v>45289</v>
      </c>
      <c r="B516" s="3"/>
      <c r="C516" s="41"/>
    </row>
    <row r="517" spans="1:3">
      <c r="A517" s="81">
        <v>45290</v>
      </c>
      <c r="B517" s="3"/>
      <c r="C517" s="41"/>
    </row>
    <row r="518" spans="1:3">
      <c r="A518" s="81">
        <v>45291</v>
      </c>
      <c r="B518" s="3"/>
      <c r="C518" s="41"/>
    </row>
    <row r="519" spans="1:3">
      <c r="A519" s="81">
        <v>45292</v>
      </c>
      <c r="B519" s="3"/>
      <c r="C519" s="41"/>
    </row>
    <row r="520" spans="1:3">
      <c r="A520" s="81">
        <v>45293</v>
      </c>
      <c r="B520" s="3"/>
      <c r="C520" s="41"/>
    </row>
    <row r="521" spans="1:3">
      <c r="A521" s="81">
        <v>45294</v>
      </c>
      <c r="B521" s="3"/>
      <c r="C521" s="41"/>
    </row>
    <row r="522" spans="1:3">
      <c r="A522" s="81">
        <v>45295</v>
      </c>
      <c r="B522" s="3"/>
      <c r="C522" s="41"/>
    </row>
    <row r="523" spans="1:3">
      <c r="A523" s="81">
        <v>45296</v>
      </c>
      <c r="B523" s="3"/>
      <c r="C523" s="41"/>
    </row>
    <row r="524" spans="1:3">
      <c r="A524" s="81">
        <v>45297</v>
      </c>
      <c r="B524" s="3"/>
      <c r="C524" s="41"/>
    </row>
    <row r="525" spans="1:3">
      <c r="A525" s="81">
        <v>45298</v>
      </c>
      <c r="B525" s="3"/>
      <c r="C525" s="41"/>
    </row>
    <row r="526" spans="1:3">
      <c r="A526" s="81">
        <v>45299</v>
      </c>
      <c r="B526" s="3"/>
      <c r="C526" s="41"/>
    </row>
    <row r="527" spans="1:3">
      <c r="A527" s="81">
        <v>45300</v>
      </c>
      <c r="B527" s="3"/>
      <c r="C527" s="41"/>
    </row>
    <row r="528" spans="1:3">
      <c r="A528" s="81">
        <v>45301</v>
      </c>
      <c r="B528" s="3"/>
      <c r="C528" s="41"/>
    </row>
    <row r="529" spans="1:3">
      <c r="A529" s="81">
        <v>45302</v>
      </c>
      <c r="B529" s="3"/>
      <c r="C529" s="41"/>
    </row>
    <row r="530" spans="1:3">
      <c r="A530" s="81">
        <v>45303</v>
      </c>
      <c r="B530" s="3"/>
      <c r="C530" s="41"/>
    </row>
    <row r="531" spans="1:3">
      <c r="A531" s="81">
        <v>45304</v>
      </c>
      <c r="B531" s="3"/>
      <c r="C531" s="41"/>
    </row>
    <row r="532" spans="1:3">
      <c r="A532" s="81">
        <v>45305</v>
      </c>
      <c r="B532" s="3"/>
      <c r="C532" s="41"/>
    </row>
    <row r="533" spans="1:3">
      <c r="A533" s="81">
        <v>45306</v>
      </c>
      <c r="B533" s="3"/>
      <c r="C533" s="41"/>
    </row>
    <row r="534" spans="1:3">
      <c r="A534" s="81">
        <v>45307</v>
      </c>
      <c r="B534" s="3"/>
      <c r="C534" s="41"/>
    </row>
    <row r="535" spans="1:3">
      <c r="A535" s="81">
        <v>45308</v>
      </c>
      <c r="B535" s="3"/>
      <c r="C535" s="41"/>
    </row>
    <row r="536" spans="1:3">
      <c r="A536" s="81">
        <v>45309</v>
      </c>
      <c r="B536" s="3"/>
      <c r="C536" s="41"/>
    </row>
    <row r="537" spans="1:3">
      <c r="A537" s="81">
        <v>45310</v>
      </c>
      <c r="B537" s="3"/>
      <c r="C537" s="41"/>
    </row>
    <row r="538" spans="1:3">
      <c r="A538" s="81">
        <v>45311</v>
      </c>
      <c r="B538" s="3"/>
      <c r="C538" s="41"/>
    </row>
    <row r="539" spans="1:3">
      <c r="A539" s="81">
        <v>45312</v>
      </c>
      <c r="B539" s="3"/>
      <c r="C539" s="41"/>
    </row>
    <row r="540" spans="1:3">
      <c r="A540" s="81">
        <v>45313</v>
      </c>
      <c r="B540" s="3"/>
      <c r="C540" s="41"/>
    </row>
    <row r="541" spans="1:3">
      <c r="A541" s="81">
        <v>45314</v>
      </c>
      <c r="B541" s="3"/>
      <c r="C541" s="41"/>
    </row>
    <row r="542" spans="1:3">
      <c r="A542" s="81">
        <v>45315</v>
      </c>
      <c r="B542" s="3"/>
      <c r="C542" s="41"/>
    </row>
    <row r="543" spans="1:3">
      <c r="A543" s="81">
        <v>45316</v>
      </c>
      <c r="B543" s="3"/>
      <c r="C543" s="41"/>
    </row>
    <row r="544" spans="1:3">
      <c r="A544" s="81">
        <v>45317</v>
      </c>
      <c r="B544" s="3"/>
      <c r="C544" s="41"/>
    </row>
    <row r="545" spans="1:3">
      <c r="A545" s="81">
        <v>45318</v>
      </c>
      <c r="B545" s="3"/>
      <c r="C545" s="41"/>
    </row>
    <row r="546" spans="1:3">
      <c r="A546" s="81">
        <v>45319</v>
      </c>
      <c r="B546" s="3"/>
      <c r="C546" s="41"/>
    </row>
    <row r="547" spans="1:3">
      <c r="A547" s="81">
        <v>45320</v>
      </c>
      <c r="B547" s="3"/>
      <c r="C547" s="41"/>
    </row>
    <row r="548" spans="1:3">
      <c r="A548" s="81">
        <v>45321</v>
      </c>
      <c r="B548" s="3"/>
      <c r="C548" s="41"/>
    </row>
    <row r="549" spans="1:3">
      <c r="A549" s="81">
        <v>45322</v>
      </c>
      <c r="B549" s="3"/>
      <c r="C549" s="41"/>
    </row>
    <row r="550" spans="1:3">
      <c r="A550" s="81">
        <v>45323</v>
      </c>
      <c r="B550" s="3"/>
      <c r="C550" s="41"/>
    </row>
    <row r="551" spans="1:3">
      <c r="A551" s="81">
        <v>45324</v>
      </c>
      <c r="B551" s="3"/>
      <c r="C551" s="41"/>
    </row>
    <row r="552" spans="1:3">
      <c r="A552" s="81">
        <v>45325</v>
      </c>
      <c r="B552" s="3"/>
      <c r="C552" s="41"/>
    </row>
    <row r="553" spans="1:3">
      <c r="A553" s="81">
        <v>45326</v>
      </c>
      <c r="B553" s="3"/>
      <c r="C553" s="41"/>
    </row>
    <row r="554" spans="1:3">
      <c r="A554" s="81">
        <v>45327</v>
      </c>
      <c r="B554" s="3"/>
      <c r="C554" s="41"/>
    </row>
    <row r="555" spans="1:3">
      <c r="A555" s="81">
        <v>45328</v>
      </c>
      <c r="B555" s="3"/>
      <c r="C555" s="41"/>
    </row>
    <row r="556" spans="1:3">
      <c r="A556" s="81">
        <v>45329</v>
      </c>
      <c r="B556" s="3"/>
      <c r="C556" s="41"/>
    </row>
    <row r="557" spans="1:3">
      <c r="A557" s="81">
        <v>45330</v>
      </c>
      <c r="B557" s="3"/>
      <c r="C557" s="41"/>
    </row>
    <row r="558" spans="1:3">
      <c r="A558" s="81">
        <v>45331</v>
      </c>
      <c r="B558" s="3"/>
      <c r="C558" s="41"/>
    </row>
    <row r="559" spans="1:3">
      <c r="A559" s="81">
        <v>45332</v>
      </c>
      <c r="B559" s="3"/>
      <c r="C559" s="41"/>
    </row>
    <row r="560" spans="1:3">
      <c r="A560" s="81">
        <v>45333</v>
      </c>
      <c r="B560" s="3"/>
      <c r="C560" s="41"/>
    </row>
    <row r="561" spans="1:3">
      <c r="A561" s="81">
        <v>45334</v>
      </c>
      <c r="B561" s="3"/>
      <c r="C561" s="41"/>
    </row>
    <row r="562" spans="1:3">
      <c r="A562" s="81">
        <v>45335</v>
      </c>
      <c r="B562" s="3"/>
      <c r="C562" s="41"/>
    </row>
    <row r="563" spans="1:3">
      <c r="A563" s="81">
        <v>45336</v>
      </c>
      <c r="B563" s="3"/>
      <c r="C563" s="41"/>
    </row>
    <row r="564" spans="1:3">
      <c r="A564" s="81">
        <v>45337</v>
      </c>
      <c r="B564" s="3"/>
      <c r="C564" s="41"/>
    </row>
    <row r="565" spans="1:3">
      <c r="A565" s="81">
        <v>45338</v>
      </c>
      <c r="B565" s="3"/>
      <c r="C565" s="41"/>
    </row>
    <row r="566" spans="1:3">
      <c r="A566" s="81">
        <v>45339</v>
      </c>
      <c r="B566" s="3"/>
      <c r="C566" s="41"/>
    </row>
    <row r="567" spans="1:3">
      <c r="A567" s="81">
        <v>45340</v>
      </c>
      <c r="B567" s="3"/>
      <c r="C567" s="41"/>
    </row>
    <row r="568" spans="1:3">
      <c r="A568" s="81">
        <v>45341</v>
      </c>
      <c r="B568" s="3"/>
      <c r="C568" s="41"/>
    </row>
    <row r="569" spans="1:3">
      <c r="A569" s="81">
        <v>45342</v>
      </c>
      <c r="B569" s="3"/>
      <c r="C569" s="41"/>
    </row>
    <row r="570" spans="1:3">
      <c r="A570" s="81">
        <v>45343</v>
      </c>
      <c r="B570" s="3"/>
      <c r="C570" s="41"/>
    </row>
    <row r="571" spans="1:3">
      <c r="A571" s="81">
        <v>45344</v>
      </c>
      <c r="B571" s="3"/>
      <c r="C571" s="41"/>
    </row>
    <row r="572" spans="1:3">
      <c r="A572" s="81">
        <v>45345</v>
      </c>
      <c r="B572" s="3"/>
      <c r="C572" s="41"/>
    </row>
    <row r="573" spans="1:3">
      <c r="A573" s="81">
        <v>45346</v>
      </c>
      <c r="B573" s="3"/>
      <c r="C573" s="41"/>
    </row>
    <row r="574" spans="1:3">
      <c r="A574" s="81">
        <v>45347</v>
      </c>
      <c r="B574" s="3"/>
      <c r="C574" s="41"/>
    </row>
    <row r="575" spans="1:3">
      <c r="A575" s="81">
        <v>45348</v>
      </c>
      <c r="B575" s="3"/>
      <c r="C575" s="41"/>
    </row>
    <row r="576" spans="1:3">
      <c r="A576" s="81">
        <v>45349</v>
      </c>
      <c r="B576" s="3"/>
      <c r="C576" s="41"/>
    </row>
    <row r="577" spans="1:3">
      <c r="A577" s="81">
        <v>45350</v>
      </c>
      <c r="B577" s="3"/>
      <c r="C577" s="41"/>
    </row>
    <row r="578" spans="1:3">
      <c r="A578" s="81">
        <v>45351</v>
      </c>
      <c r="B578" s="3"/>
      <c r="C578" s="41"/>
    </row>
    <row r="579" spans="1:3">
      <c r="A579" s="81">
        <v>45352</v>
      </c>
      <c r="B579" s="3"/>
      <c r="C579" s="41"/>
    </row>
    <row r="580" spans="1:3">
      <c r="A580" s="81">
        <v>45353</v>
      </c>
      <c r="B580" s="3"/>
      <c r="C580" s="41"/>
    </row>
    <row r="581" spans="1:3">
      <c r="A581" s="81">
        <v>45354</v>
      </c>
      <c r="B581" s="3"/>
      <c r="C581" s="41"/>
    </row>
    <row r="582" spans="1:3">
      <c r="A582" s="81">
        <v>45355</v>
      </c>
      <c r="B582" s="3"/>
      <c r="C582" s="41"/>
    </row>
    <row r="583" spans="1:3">
      <c r="A583" s="81">
        <v>45356</v>
      </c>
      <c r="B583" s="3"/>
      <c r="C583" s="41"/>
    </row>
    <row r="584" spans="1:3">
      <c r="A584" s="81">
        <v>45357</v>
      </c>
      <c r="B584" s="3"/>
      <c r="C584" s="41"/>
    </row>
    <row r="585" spans="1:3">
      <c r="A585" s="81">
        <v>45358</v>
      </c>
      <c r="B585" s="3"/>
      <c r="C585" s="41"/>
    </row>
    <row r="586" spans="1:3">
      <c r="A586" s="81">
        <v>45359</v>
      </c>
      <c r="B586" s="3"/>
      <c r="C586" s="41"/>
    </row>
    <row r="587" spans="1:3">
      <c r="A587" s="81">
        <v>45360</v>
      </c>
      <c r="B587" s="3"/>
      <c r="C587" s="41"/>
    </row>
    <row r="588" spans="1:3">
      <c r="A588" s="81">
        <v>45361</v>
      </c>
      <c r="B588" s="3"/>
      <c r="C588" s="41"/>
    </row>
    <row r="589" spans="1:3">
      <c r="A589" s="81">
        <v>45362</v>
      </c>
      <c r="B589" s="3"/>
      <c r="C589" s="41"/>
    </row>
    <row r="590" spans="1:3">
      <c r="A590" s="81">
        <v>45363</v>
      </c>
      <c r="B590" s="3"/>
      <c r="C590" s="41"/>
    </row>
    <row r="591" spans="1:3">
      <c r="A591" s="81">
        <v>45364</v>
      </c>
      <c r="B591" s="3"/>
      <c r="C591" s="41"/>
    </row>
    <row r="592" spans="1:3">
      <c r="A592" s="81">
        <v>45365</v>
      </c>
      <c r="B592" s="3"/>
      <c r="C592" s="41"/>
    </row>
    <row r="593" spans="1:3">
      <c r="A593" s="81">
        <v>45366</v>
      </c>
      <c r="B593" s="3"/>
      <c r="C593" s="41"/>
    </row>
    <row r="594" spans="1:3">
      <c r="A594" s="81">
        <v>45367</v>
      </c>
      <c r="B594" s="3"/>
      <c r="C594" s="41"/>
    </row>
    <row r="595" spans="1:3">
      <c r="A595" s="81">
        <v>45368</v>
      </c>
      <c r="B595" s="3"/>
      <c r="C595" s="41"/>
    </row>
    <row r="596" spans="1:3">
      <c r="A596" s="81">
        <v>45369</v>
      </c>
      <c r="B596" s="3"/>
      <c r="C596" s="41"/>
    </row>
    <row r="597" spans="1:3">
      <c r="A597" s="81">
        <v>45370</v>
      </c>
      <c r="B597" s="3"/>
      <c r="C597" s="41"/>
    </row>
    <row r="598" spans="1:3">
      <c r="A598" s="81">
        <v>45371</v>
      </c>
      <c r="B598" s="3"/>
      <c r="C598" s="41"/>
    </row>
    <row r="599" spans="1:3">
      <c r="A599" s="81">
        <v>45372</v>
      </c>
      <c r="B599" s="3"/>
      <c r="C599" s="41"/>
    </row>
    <row r="600" spans="1:3">
      <c r="A600" s="81">
        <v>45373</v>
      </c>
      <c r="B600" s="3"/>
      <c r="C600" s="41"/>
    </row>
    <row r="601" spans="1:3">
      <c r="A601" s="81">
        <v>45374</v>
      </c>
      <c r="B601" s="3"/>
      <c r="C601" s="41"/>
    </row>
    <row r="602" spans="1:3">
      <c r="A602" s="81">
        <v>45375</v>
      </c>
      <c r="B602" s="3"/>
      <c r="C602" s="41"/>
    </row>
    <row r="603" spans="1:3">
      <c r="A603" s="81">
        <v>45376</v>
      </c>
      <c r="B603" s="3"/>
      <c r="C603" s="41"/>
    </row>
    <row r="604" spans="1:3">
      <c r="A604" s="81">
        <v>45377</v>
      </c>
      <c r="B604" s="3"/>
      <c r="C604" s="41"/>
    </row>
    <row r="605" spans="1:3">
      <c r="A605" s="81">
        <v>45378</v>
      </c>
      <c r="B605" s="3"/>
      <c r="C605" s="41"/>
    </row>
    <row r="606" spans="1:3">
      <c r="A606" s="81">
        <v>45379</v>
      </c>
      <c r="B606" s="3"/>
      <c r="C606" s="41"/>
    </row>
    <row r="607" spans="1:3">
      <c r="A607" s="81">
        <v>45380</v>
      </c>
      <c r="B607" s="3"/>
      <c r="C607" s="41"/>
    </row>
    <row r="608" spans="1:3">
      <c r="A608" s="81">
        <v>45381</v>
      </c>
      <c r="B608" s="3"/>
      <c r="C608" s="41"/>
    </row>
    <row r="609" spans="1:3">
      <c r="A609" s="81">
        <v>45382</v>
      </c>
      <c r="B609" s="3"/>
      <c r="C609" s="41"/>
    </row>
    <row r="610" spans="1:3">
      <c r="A610" s="81">
        <v>45383</v>
      </c>
      <c r="B610" s="3"/>
      <c r="C610" s="41"/>
    </row>
    <row r="611" spans="1:3">
      <c r="A611" s="81">
        <v>45384</v>
      </c>
      <c r="B611" s="3"/>
      <c r="C611" s="41"/>
    </row>
    <row r="612" spans="1:3">
      <c r="A612" s="81">
        <v>45385</v>
      </c>
      <c r="B612" s="3"/>
      <c r="C612" s="41"/>
    </row>
    <row r="613" spans="1:3">
      <c r="A613" s="81">
        <v>45386</v>
      </c>
      <c r="B613" s="3"/>
      <c r="C613" s="41"/>
    </row>
    <row r="614" spans="1:3">
      <c r="A614" s="81">
        <v>45387</v>
      </c>
      <c r="B614" s="3"/>
      <c r="C614" s="41"/>
    </row>
    <row r="615" spans="1:3">
      <c r="A615" s="81">
        <v>45388</v>
      </c>
      <c r="B615" s="3"/>
      <c r="C615" s="41"/>
    </row>
    <row r="616" spans="1:3">
      <c r="A616" s="81">
        <v>45389</v>
      </c>
      <c r="B616" s="3"/>
      <c r="C616" s="41"/>
    </row>
    <row r="617" spans="1:3">
      <c r="A617" s="81">
        <v>45390</v>
      </c>
      <c r="B617" s="3"/>
      <c r="C617" s="41"/>
    </row>
    <row r="618" spans="1:3">
      <c r="A618" s="81">
        <v>45391</v>
      </c>
      <c r="B618" s="3"/>
      <c r="C618" s="41"/>
    </row>
    <row r="619" spans="1:3">
      <c r="A619" s="81">
        <v>45392</v>
      </c>
      <c r="B619" s="3"/>
      <c r="C619" s="41"/>
    </row>
    <row r="620" spans="1:3">
      <c r="A620" s="81">
        <v>45393</v>
      </c>
      <c r="B620" s="3"/>
      <c r="C620" s="41"/>
    </row>
    <row r="621" spans="1:3">
      <c r="A621" s="81">
        <v>45394</v>
      </c>
      <c r="B621" s="3"/>
      <c r="C621" s="41"/>
    </row>
    <row r="622" spans="1:3">
      <c r="A622" s="81">
        <v>45395</v>
      </c>
      <c r="B622" s="3"/>
      <c r="C622" s="41"/>
    </row>
    <row r="623" spans="1:3">
      <c r="A623" s="81">
        <v>45396</v>
      </c>
      <c r="B623" s="3"/>
      <c r="C623" s="41"/>
    </row>
    <row r="624" spans="1:3">
      <c r="A624" s="81">
        <v>45397</v>
      </c>
      <c r="B624" s="3"/>
      <c r="C624" s="41"/>
    </row>
    <row r="625" spans="1:3">
      <c r="A625" s="81">
        <v>45398</v>
      </c>
      <c r="B625" s="3"/>
      <c r="C625" s="41"/>
    </row>
    <row r="626" spans="1:3">
      <c r="A626" s="81">
        <v>45399</v>
      </c>
      <c r="B626" s="3"/>
      <c r="C626" s="41"/>
    </row>
    <row r="627" spans="1:3">
      <c r="A627" s="81">
        <v>45400</v>
      </c>
      <c r="B627" s="3"/>
      <c r="C627" s="41"/>
    </row>
    <row r="628" spans="1:3">
      <c r="A628" s="81">
        <v>45401</v>
      </c>
      <c r="B628" s="3"/>
      <c r="C628" s="41"/>
    </row>
    <row r="629" spans="1:3">
      <c r="A629" s="81">
        <v>45402</v>
      </c>
      <c r="B629" s="3"/>
      <c r="C629" s="41"/>
    </row>
    <row r="630" spans="1:3">
      <c r="A630" s="81">
        <v>45403</v>
      </c>
      <c r="B630" s="3"/>
      <c r="C630" s="41"/>
    </row>
    <row r="631" spans="1:3">
      <c r="A631" s="81">
        <v>45404</v>
      </c>
      <c r="B631" s="3"/>
      <c r="C631" s="41"/>
    </row>
    <row r="632" spans="1:3">
      <c r="A632" s="81">
        <v>45405</v>
      </c>
      <c r="B632" s="3"/>
      <c r="C632" s="41"/>
    </row>
    <row r="633" spans="1:3">
      <c r="A633" s="81">
        <v>45406</v>
      </c>
      <c r="B633" s="3"/>
      <c r="C633" s="41"/>
    </row>
    <row r="634" spans="1:3">
      <c r="A634" s="81">
        <v>45407</v>
      </c>
      <c r="B634" s="3"/>
      <c r="C634" s="41"/>
    </row>
    <row r="635" spans="1:3">
      <c r="A635" s="81">
        <v>45408</v>
      </c>
      <c r="B635" s="3"/>
      <c r="C635" s="41"/>
    </row>
    <row r="636" spans="1:3">
      <c r="A636" s="81">
        <v>45409</v>
      </c>
      <c r="B636" s="3"/>
      <c r="C636" s="41"/>
    </row>
    <row r="637" spans="1:3">
      <c r="A637" s="81">
        <v>45410</v>
      </c>
      <c r="B637" s="3"/>
      <c r="C637" s="41"/>
    </row>
    <row r="638" spans="1:3">
      <c r="A638" s="81">
        <v>45411</v>
      </c>
      <c r="B638" s="3"/>
      <c r="C638" s="41"/>
    </row>
    <row r="639" spans="1:3">
      <c r="A639" s="81">
        <v>45412</v>
      </c>
      <c r="B639" s="3"/>
      <c r="C639" s="41"/>
    </row>
    <row r="640" spans="1:3">
      <c r="A640" s="81">
        <v>45413</v>
      </c>
      <c r="B640" s="3"/>
      <c r="C640" s="41"/>
    </row>
    <row r="641" spans="1:3">
      <c r="A641" s="81">
        <v>45414</v>
      </c>
      <c r="B641" s="3"/>
      <c r="C641" s="41"/>
    </row>
    <row r="642" spans="1:3">
      <c r="A642" s="81">
        <v>45415</v>
      </c>
      <c r="B642" s="3"/>
      <c r="C642" s="41"/>
    </row>
    <row r="643" spans="1:3">
      <c r="A643" s="81">
        <v>45416</v>
      </c>
      <c r="B643" s="3"/>
      <c r="C643" s="41"/>
    </row>
    <row r="644" spans="1:3">
      <c r="A644" s="81">
        <v>45417</v>
      </c>
      <c r="B644" s="3"/>
      <c r="C644" s="41"/>
    </row>
    <row r="645" spans="1:3">
      <c r="A645" s="81">
        <v>45418</v>
      </c>
      <c r="B645" s="3"/>
      <c r="C645" s="41"/>
    </row>
    <row r="646" spans="1:3">
      <c r="A646" s="81">
        <v>45419</v>
      </c>
      <c r="B646" s="3"/>
      <c r="C646" s="41"/>
    </row>
    <row r="647" spans="1:3">
      <c r="A647" s="81">
        <v>45420</v>
      </c>
      <c r="B647" s="3"/>
      <c r="C647" s="41"/>
    </row>
    <row r="648" spans="1:3">
      <c r="A648" s="81">
        <v>45421</v>
      </c>
      <c r="B648" s="3"/>
      <c r="C648" s="41"/>
    </row>
    <row r="649" spans="1:3">
      <c r="A649" s="81">
        <v>45422</v>
      </c>
      <c r="B649" s="3"/>
      <c r="C649" s="41"/>
    </row>
    <row r="650" spans="1:3">
      <c r="A650" s="81">
        <v>45423</v>
      </c>
      <c r="B650" s="3"/>
      <c r="C650" s="41"/>
    </row>
    <row r="651" spans="1:3">
      <c r="A651" s="81">
        <v>45424</v>
      </c>
      <c r="B651" s="3"/>
      <c r="C651" s="41"/>
    </row>
    <row r="652" spans="1:3">
      <c r="A652" s="81">
        <v>45425</v>
      </c>
      <c r="B652" s="3"/>
      <c r="C652" s="41"/>
    </row>
    <row r="653" spans="1:3">
      <c r="A653" s="81">
        <v>45426</v>
      </c>
      <c r="B653" s="3"/>
      <c r="C653" s="41"/>
    </row>
    <row r="654" spans="1:3">
      <c r="A654" s="81">
        <v>45427</v>
      </c>
      <c r="B654" s="3"/>
      <c r="C654" s="41"/>
    </row>
    <row r="655" spans="1:3">
      <c r="A655" s="81">
        <v>45428</v>
      </c>
      <c r="B655" s="3"/>
      <c r="C655" s="41"/>
    </row>
    <row r="656" spans="1:3">
      <c r="A656" s="81">
        <v>45429</v>
      </c>
      <c r="B656" s="3"/>
      <c r="C656" s="41"/>
    </row>
    <row r="657" spans="1:3">
      <c r="A657" s="81">
        <v>45430</v>
      </c>
      <c r="B657" s="3"/>
      <c r="C657" s="41"/>
    </row>
    <row r="658" spans="1:3">
      <c r="A658" s="81">
        <v>45431</v>
      </c>
      <c r="B658" s="3"/>
      <c r="C658" s="41"/>
    </row>
    <row r="659" spans="1:3">
      <c r="A659" s="81">
        <v>45432</v>
      </c>
      <c r="B659" s="3"/>
      <c r="C659" s="41"/>
    </row>
    <row r="660" spans="1:3">
      <c r="A660" s="81">
        <v>45433</v>
      </c>
      <c r="B660" s="3"/>
      <c r="C660" s="41"/>
    </row>
    <row r="661" spans="1:3">
      <c r="A661" s="81">
        <v>45434</v>
      </c>
      <c r="B661" s="3"/>
      <c r="C661" s="41"/>
    </row>
    <row r="662" spans="1:3">
      <c r="A662" s="81">
        <v>45435</v>
      </c>
      <c r="B662" s="3"/>
      <c r="C662" s="41"/>
    </row>
    <row r="663" spans="1:3">
      <c r="A663" s="81">
        <v>45436</v>
      </c>
      <c r="B663" s="3"/>
      <c r="C663" s="41"/>
    </row>
    <row r="664" spans="1:3">
      <c r="A664" s="81">
        <v>45437</v>
      </c>
      <c r="B664" s="3"/>
      <c r="C664" s="41"/>
    </row>
    <row r="665" spans="1:3">
      <c r="A665" s="81">
        <v>45438</v>
      </c>
      <c r="B665" s="3"/>
      <c r="C665" s="41"/>
    </row>
    <row r="666" spans="1:3">
      <c r="A666" s="81">
        <v>45439</v>
      </c>
      <c r="B666" s="3"/>
      <c r="C666" s="41"/>
    </row>
    <row r="667" spans="1:3">
      <c r="A667" s="81">
        <v>45440</v>
      </c>
      <c r="B667" s="3"/>
      <c r="C667" s="41"/>
    </row>
    <row r="668" spans="1:3">
      <c r="A668" s="81">
        <v>45441</v>
      </c>
      <c r="B668" s="3"/>
      <c r="C668" s="41"/>
    </row>
    <row r="669" spans="1:3">
      <c r="A669" s="81">
        <v>45442</v>
      </c>
      <c r="B669" s="3"/>
      <c r="C669" s="41"/>
    </row>
    <row r="670" spans="1:3">
      <c r="A670" s="81">
        <v>45443</v>
      </c>
      <c r="B670" s="3"/>
      <c r="C670" s="41"/>
    </row>
    <row r="671" spans="1:3">
      <c r="A671" s="81">
        <v>45444</v>
      </c>
      <c r="B671" s="3"/>
      <c r="C671" s="41"/>
    </row>
    <row r="672" spans="1:3">
      <c r="A672" s="81">
        <v>45445</v>
      </c>
      <c r="B672" s="3"/>
      <c r="C672" s="41"/>
    </row>
    <row r="673" spans="1:3">
      <c r="A673" s="81">
        <v>45446</v>
      </c>
      <c r="B673" s="3"/>
      <c r="C673" s="41"/>
    </row>
    <row r="674" spans="1:3">
      <c r="A674" s="81">
        <v>45447</v>
      </c>
      <c r="B674" s="3"/>
      <c r="C674" s="41"/>
    </row>
    <row r="675" spans="1:3">
      <c r="A675" s="81">
        <v>45448</v>
      </c>
      <c r="B675" s="3"/>
      <c r="C675" s="41"/>
    </row>
    <row r="676" spans="1:3">
      <c r="A676" s="81">
        <v>45449</v>
      </c>
      <c r="B676" s="3"/>
      <c r="C676" s="41"/>
    </row>
    <row r="677" spans="1:3">
      <c r="A677" s="81">
        <v>45450</v>
      </c>
      <c r="B677" s="3"/>
      <c r="C677" s="41"/>
    </row>
    <row r="678" spans="1:3">
      <c r="A678" s="81">
        <v>45451</v>
      </c>
      <c r="B678" s="3"/>
      <c r="C678" s="41"/>
    </row>
    <row r="679" spans="1:3">
      <c r="A679" s="81">
        <v>45452</v>
      </c>
      <c r="B679" s="3"/>
      <c r="C679" s="41"/>
    </row>
    <row r="680" spans="1:3">
      <c r="A680" s="81">
        <v>45453</v>
      </c>
      <c r="B680" s="3"/>
      <c r="C680" s="41"/>
    </row>
    <row r="681" spans="1:3">
      <c r="A681" s="81">
        <v>45454</v>
      </c>
      <c r="B681" s="3"/>
      <c r="C681" s="41"/>
    </row>
    <row r="682" spans="1:3">
      <c r="A682" s="81">
        <v>45455</v>
      </c>
      <c r="B682" s="3"/>
      <c r="C682" s="41"/>
    </row>
    <row r="683" spans="1:3">
      <c r="A683" s="81">
        <v>45456</v>
      </c>
      <c r="B683" s="3"/>
      <c r="C683" s="41"/>
    </row>
    <row r="684" spans="1:3">
      <c r="A684" s="81">
        <v>45457</v>
      </c>
      <c r="B684" s="3"/>
      <c r="C684" s="41"/>
    </row>
    <row r="685" spans="1:3">
      <c r="A685" s="81">
        <v>45458</v>
      </c>
      <c r="B685" s="3"/>
      <c r="C685" s="41"/>
    </row>
    <row r="686" spans="1:3">
      <c r="A686" s="81">
        <v>45459</v>
      </c>
      <c r="B686" s="3"/>
      <c r="C686" s="41"/>
    </row>
    <row r="687" spans="1:3">
      <c r="A687" s="81">
        <v>45460</v>
      </c>
      <c r="B687" s="3"/>
      <c r="C687" s="41"/>
    </row>
    <row r="688" spans="1:3">
      <c r="A688" s="81">
        <v>45461</v>
      </c>
      <c r="B688" s="3"/>
      <c r="C688" s="41"/>
    </row>
    <row r="689" spans="1:3">
      <c r="A689" s="81">
        <v>45462</v>
      </c>
      <c r="B689" s="3"/>
      <c r="C689" s="41"/>
    </row>
    <row r="690" spans="1:3">
      <c r="A690" s="81">
        <v>45463</v>
      </c>
      <c r="B690" s="3"/>
      <c r="C690" s="41"/>
    </row>
    <row r="691" spans="1:3">
      <c r="A691" s="81">
        <v>45464</v>
      </c>
      <c r="B691" s="3"/>
      <c r="C691" s="41"/>
    </row>
    <row r="692" spans="1:3">
      <c r="A692" s="81">
        <v>45465</v>
      </c>
      <c r="B692" s="3"/>
      <c r="C692" s="41"/>
    </row>
    <row r="693" spans="1:3">
      <c r="A693" s="81">
        <v>45466</v>
      </c>
      <c r="B693" s="3"/>
      <c r="C693" s="41"/>
    </row>
    <row r="694" spans="1:3">
      <c r="A694" s="81">
        <v>45467</v>
      </c>
      <c r="B694" s="3"/>
      <c r="C694" s="41"/>
    </row>
    <row r="695" spans="1:3">
      <c r="A695" s="81">
        <v>45468</v>
      </c>
      <c r="B695" s="3"/>
      <c r="C695" s="41"/>
    </row>
    <row r="696" spans="1:3">
      <c r="A696" s="81">
        <v>45469</v>
      </c>
      <c r="B696" s="3"/>
      <c r="C696" s="41"/>
    </row>
    <row r="697" spans="1:3">
      <c r="A697" s="81">
        <v>45470</v>
      </c>
      <c r="B697" s="3"/>
      <c r="C697" s="41"/>
    </row>
    <row r="698" spans="1:3">
      <c r="A698" s="81">
        <v>45471</v>
      </c>
      <c r="B698" s="3"/>
      <c r="C698" s="41"/>
    </row>
    <row r="699" spans="1:3">
      <c r="A699" s="81">
        <v>45472</v>
      </c>
      <c r="B699" s="3"/>
      <c r="C699" s="41"/>
    </row>
    <row r="700" spans="1:3">
      <c r="A700" s="81">
        <v>45473</v>
      </c>
      <c r="B700" s="3"/>
      <c r="C700" s="41"/>
    </row>
    <row r="701" spans="1:3">
      <c r="A701" s="81">
        <v>45474</v>
      </c>
      <c r="B701" s="3"/>
      <c r="C701" s="41"/>
    </row>
    <row r="702" spans="1:3">
      <c r="A702" s="81">
        <v>45475</v>
      </c>
      <c r="B702" s="3"/>
      <c r="C702" s="41"/>
    </row>
    <row r="703" spans="1:3">
      <c r="A703" s="81">
        <v>45476</v>
      </c>
      <c r="B703" s="3"/>
      <c r="C703" s="41"/>
    </row>
    <row r="704" spans="1:3">
      <c r="A704" s="81">
        <v>45477</v>
      </c>
      <c r="B704" s="3"/>
      <c r="C704" s="41"/>
    </row>
    <row r="705" spans="1:3">
      <c r="A705" s="81">
        <v>45478</v>
      </c>
      <c r="B705" s="3"/>
      <c r="C705" s="41"/>
    </row>
    <row r="706" spans="1:3">
      <c r="A706" s="81">
        <v>45479</v>
      </c>
      <c r="B706" s="3"/>
      <c r="C706" s="41"/>
    </row>
    <row r="707" spans="1:3">
      <c r="A707" s="81">
        <v>45480</v>
      </c>
      <c r="B707" s="3"/>
      <c r="C707" s="41"/>
    </row>
    <row r="708" spans="1:3">
      <c r="A708" s="81">
        <v>45481</v>
      </c>
      <c r="B708" s="3"/>
      <c r="C708" s="41"/>
    </row>
    <row r="709" spans="1:3">
      <c r="A709" s="81">
        <v>45482</v>
      </c>
      <c r="B709" s="3"/>
      <c r="C709" s="41"/>
    </row>
    <row r="710" spans="1:3">
      <c r="A710" s="81">
        <v>45483</v>
      </c>
      <c r="B710" s="3"/>
      <c r="C710" s="41"/>
    </row>
    <row r="711" spans="1:3">
      <c r="A711" s="81">
        <v>45484</v>
      </c>
      <c r="B711" s="3"/>
      <c r="C711" s="41"/>
    </row>
    <row r="712" spans="1:3">
      <c r="A712" s="81">
        <v>45485</v>
      </c>
      <c r="B712" s="3"/>
      <c r="C712" s="41"/>
    </row>
    <row r="713" spans="1:3">
      <c r="A713" s="81">
        <v>45486</v>
      </c>
      <c r="B713" s="3"/>
      <c r="C713" s="41"/>
    </row>
    <row r="714" spans="1:3">
      <c r="A714" s="81">
        <v>45487</v>
      </c>
      <c r="B714" s="3"/>
      <c r="C714" s="41"/>
    </row>
    <row r="715" spans="1:3">
      <c r="A715" s="81">
        <v>45488</v>
      </c>
      <c r="B715" s="3"/>
      <c r="C715" s="41"/>
    </row>
    <row r="716" spans="1:3">
      <c r="A716" s="81">
        <v>45489</v>
      </c>
      <c r="B716" s="3"/>
      <c r="C716" s="41"/>
    </row>
    <row r="717" spans="1:3">
      <c r="A717" s="81">
        <v>45490</v>
      </c>
      <c r="B717" s="3"/>
      <c r="C717" s="41"/>
    </row>
    <row r="718" spans="1:3">
      <c r="A718" s="81">
        <v>45491</v>
      </c>
      <c r="B718" s="3"/>
      <c r="C718" s="41"/>
    </row>
    <row r="719" spans="1:3">
      <c r="A719" s="81">
        <v>45492</v>
      </c>
      <c r="B719" s="3"/>
      <c r="C719" s="41"/>
    </row>
    <row r="720" spans="1:3">
      <c r="A720" s="81">
        <v>45493</v>
      </c>
      <c r="B720" s="3"/>
      <c r="C720" s="41"/>
    </row>
    <row r="721" spans="1:3">
      <c r="A721" s="81">
        <v>45494</v>
      </c>
      <c r="B721" s="3"/>
      <c r="C721" s="41"/>
    </row>
    <row r="722" spans="1:3">
      <c r="A722" s="81">
        <v>45495</v>
      </c>
      <c r="B722" s="3"/>
      <c r="C722" s="41"/>
    </row>
    <row r="723" spans="1:3">
      <c r="A723" s="81">
        <v>45496</v>
      </c>
      <c r="B723" s="3"/>
      <c r="C723" s="41"/>
    </row>
    <row r="724" spans="1:3">
      <c r="A724" s="81">
        <v>45497</v>
      </c>
      <c r="B724" s="3"/>
      <c r="C724" s="41"/>
    </row>
    <row r="725" spans="1:3">
      <c r="A725" s="81">
        <v>45498</v>
      </c>
      <c r="B725" s="3"/>
      <c r="C725" s="41"/>
    </row>
    <row r="726" spans="1:3">
      <c r="A726" s="81">
        <v>45499</v>
      </c>
      <c r="B726" s="3"/>
      <c r="C726" s="41"/>
    </row>
    <row r="727" spans="1:3">
      <c r="A727" s="81">
        <v>45500</v>
      </c>
      <c r="B727" s="3"/>
      <c r="C727" s="41"/>
    </row>
    <row r="728" spans="1:3">
      <c r="A728" s="81">
        <v>45501</v>
      </c>
      <c r="B728" s="3"/>
      <c r="C728" s="41"/>
    </row>
    <row r="729" spans="1:3">
      <c r="A729" s="81">
        <v>45502</v>
      </c>
      <c r="B729" s="3"/>
      <c r="C729" s="41"/>
    </row>
    <row r="730" spans="1:3">
      <c r="A730" s="81">
        <v>45503</v>
      </c>
      <c r="B730" s="3"/>
      <c r="C730" s="41"/>
    </row>
    <row r="731" spans="1:3">
      <c r="A731" s="81">
        <v>45504</v>
      </c>
      <c r="B731" s="3"/>
      <c r="C731" s="41"/>
    </row>
    <row r="732" spans="1:3">
      <c r="A732" s="81">
        <v>45505</v>
      </c>
      <c r="B732" s="3"/>
      <c r="C732" s="41"/>
    </row>
    <row r="733" spans="1:3">
      <c r="A733" s="81">
        <v>45506</v>
      </c>
      <c r="B733" s="3"/>
      <c r="C733" s="41"/>
    </row>
    <row r="734" spans="1:3">
      <c r="A734" s="81">
        <v>45507</v>
      </c>
      <c r="B734" s="3"/>
      <c r="C734" s="41"/>
    </row>
    <row r="735" spans="1:3">
      <c r="A735" s="81">
        <v>45508</v>
      </c>
      <c r="B735" s="3"/>
      <c r="C735" s="41"/>
    </row>
    <row r="736" spans="1:3">
      <c r="A736" s="81">
        <v>45509</v>
      </c>
      <c r="B736" s="3"/>
      <c r="C736" s="41"/>
    </row>
    <row r="737" spans="1:3">
      <c r="A737" s="81">
        <v>45510</v>
      </c>
      <c r="B737" s="3"/>
      <c r="C737" s="41"/>
    </row>
    <row r="738" spans="1:3">
      <c r="A738" s="81">
        <v>45511</v>
      </c>
      <c r="B738" s="3"/>
      <c r="C738" s="41"/>
    </row>
    <row r="739" spans="1:3">
      <c r="A739" s="81">
        <v>45512</v>
      </c>
      <c r="B739" s="3"/>
      <c r="C739" s="41"/>
    </row>
    <row r="740" spans="1:3">
      <c r="A740" s="81">
        <v>45513</v>
      </c>
      <c r="B740" s="3"/>
      <c r="C740" s="41"/>
    </row>
    <row r="741" spans="1:3">
      <c r="A741" s="81">
        <v>45514</v>
      </c>
      <c r="B741" s="3"/>
      <c r="C741" s="41"/>
    </row>
    <row r="742" spans="1:3">
      <c r="A742" s="81">
        <v>45515</v>
      </c>
      <c r="B742" s="3"/>
      <c r="C742" s="41"/>
    </row>
    <row r="743" spans="1:3">
      <c r="A743" s="81">
        <v>45516</v>
      </c>
      <c r="B743" s="3"/>
      <c r="C743" s="41"/>
    </row>
    <row r="744" spans="1:3">
      <c r="A744" s="81">
        <v>45517</v>
      </c>
      <c r="B744" s="3"/>
      <c r="C744" s="41"/>
    </row>
    <row r="745" spans="1:3">
      <c r="A745" s="81">
        <v>45518</v>
      </c>
      <c r="B745" s="3"/>
      <c r="C745" s="41"/>
    </row>
    <row r="746" spans="1:3">
      <c r="A746" s="81">
        <v>45519</v>
      </c>
      <c r="B746" s="3"/>
      <c r="C746" s="41"/>
    </row>
    <row r="747" spans="1:3">
      <c r="A747" s="81">
        <v>45520</v>
      </c>
      <c r="B747" s="3"/>
      <c r="C747" s="41"/>
    </row>
    <row r="748" spans="1:3">
      <c r="A748" s="81">
        <v>45521</v>
      </c>
      <c r="B748" s="3"/>
      <c r="C748" s="41"/>
    </row>
    <row r="749" spans="1:3">
      <c r="A749" s="81">
        <v>45522</v>
      </c>
      <c r="B749" s="3"/>
      <c r="C749" s="41"/>
    </row>
    <row r="750" spans="1:3">
      <c r="A750" s="81">
        <v>45523</v>
      </c>
      <c r="B750" s="3"/>
      <c r="C750" s="41"/>
    </row>
    <row r="751" spans="1:3">
      <c r="A751" s="81">
        <v>45524</v>
      </c>
      <c r="B751" s="3"/>
      <c r="C751" s="41"/>
    </row>
    <row r="752" spans="1:3">
      <c r="A752" s="81">
        <v>45525</v>
      </c>
      <c r="B752" s="3"/>
      <c r="C752" s="41"/>
    </row>
    <row r="753" spans="1:3">
      <c r="A753" s="81">
        <v>45526</v>
      </c>
      <c r="B753" s="3"/>
      <c r="C753" s="41"/>
    </row>
    <row r="754" spans="1:3">
      <c r="A754" s="81">
        <v>45527</v>
      </c>
      <c r="B754" s="3"/>
      <c r="C754" s="41"/>
    </row>
    <row r="755" spans="1:3">
      <c r="A755" s="81">
        <v>45528</v>
      </c>
      <c r="B755" s="3"/>
      <c r="C755" s="41"/>
    </row>
    <row r="756" spans="1:3">
      <c r="A756" s="81">
        <v>45529</v>
      </c>
      <c r="B756" s="3"/>
      <c r="C756" s="41"/>
    </row>
    <row r="757" spans="1:3">
      <c r="A757" s="81">
        <v>45530</v>
      </c>
      <c r="B757" s="3"/>
      <c r="C757" s="41"/>
    </row>
    <row r="758" spans="1:3">
      <c r="A758" s="81">
        <v>45531</v>
      </c>
      <c r="B758" s="3"/>
      <c r="C758" s="41"/>
    </row>
    <row r="759" spans="1:3">
      <c r="A759" s="81">
        <v>45532</v>
      </c>
      <c r="B759" s="3"/>
      <c r="C759" s="41"/>
    </row>
    <row r="760" spans="1:3">
      <c r="A760" s="81">
        <v>45533</v>
      </c>
      <c r="B760" s="3"/>
      <c r="C760" s="41"/>
    </row>
    <row r="761" spans="1:3">
      <c r="A761" s="81">
        <v>45534</v>
      </c>
      <c r="B761" s="3"/>
      <c r="C761" s="41"/>
    </row>
    <row r="762" spans="1:3">
      <c r="A762" s="81">
        <v>45535</v>
      </c>
      <c r="B762" s="3"/>
      <c r="C762" s="41"/>
    </row>
    <row r="763" spans="1:3">
      <c r="A763" s="81">
        <v>45536</v>
      </c>
      <c r="B763" s="3"/>
      <c r="C763" s="41"/>
    </row>
    <row r="764" spans="1:3">
      <c r="A764" s="81">
        <v>45537</v>
      </c>
      <c r="B764" s="3"/>
      <c r="C764" s="41"/>
    </row>
    <row r="765" spans="1:3">
      <c r="A765" s="81">
        <v>45538</v>
      </c>
      <c r="B765" s="3"/>
      <c r="C765" s="41"/>
    </row>
    <row r="766" spans="1:3">
      <c r="A766" s="81">
        <v>45539</v>
      </c>
      <c r="B766" s="3"/>
      <c r="C766" s="41"/>
    </row>
    <row r="767" spans="1:3">
      <c r="A767" s="81">
        <v>45540</v>
      </c>
      <c r="B767" s="3"/>
      <c r="C767" s="41"/>
    </row>
    <row r="768" spans="1:3">
      <c r="A768" s="81">
        <v>45541</v>
      </c>
      <c r="B768" s="3"/>
      <c r="C768" s="41"/>
    </row>
    <row r="769" spans="1:3">
      <c r="A769" s="81">
        <v>45542</v>
      </c>
      <c r="B769" s="3"/>
      <c r="C769" s="41"/>
    </row>
    <row r="770" spans="1:3">
      <c r="A770" s="81">
        <v>45543</v>
      </c>
      <c r="B770" s="3"/>
      <c r="C770" s="41"/>
    </row>
    <row r="771" spans="1:3">
      <c r="A771" s="81">
        <v>45544</v>
      </c>
      <c r="B771" s="3"/>
      <c r="C771" s="41"/>
    </row>
    <row r="772" spans="1:3">
      <c r="A772" s="81">
        <v>45545</v>
      </c>
      <c r="B772" s="3"/>
      <c r="C772" s="41"/>
    </row>
    <row r="773" spans="1:3">
      <c r="A773" s="81">
        <v>45546</v>
      </c>
      <c r="B773" s="3"/>
      <c r="C773" s="41"/>
    </row>
    <row r="774" spans="1:3">
      <c r="A774" s="81">
        <v>45547</v>
      </c>
      <c r="B774" s="3"/>
      <c r="C774" s="41"/>
    </row>
    <row r="775" spans="1:3">
      <c r="A775" s="81">
        <v>45548</v>
      </c>
      <c r="B775" s="3"/>
      <c r="C775" s="41"/>
    </row>
    <row r="776" spans="1:3">
      <c r="A776" s="81">
        <v>45549</v>
      </c>
      <c r="B776" s="3"/>
      <c r="C776" s="41"/>
    </row>
    <row r="777" spans="1:3">
      <c r="A777" s="81">
        <v>45550</v>
      </c>
      <c r="B777" s="3"/>
      <c r="C777" s="41"/>
    </row>
    <row r="778" spans="1:3">
      <c r="A778" s="81">
        <v>45551</v>
      </c>
      <c r="B778" s="3"/>
      <c r="C778" s="41"/>
    </row>
    <row r="779" spans="1:3">
      <c r="A779" s="81">
        <v>45552</v>
      </c>
      <c r="B779" s="3"/>
      <c r="C779" s="41"/>
    </row>
    <row r="780" spans="1:3">
      <c r="A780" s="81">
        <v>45553</v>
      </c>
      <c r="B780" s="3"/>
      <c r="C780" s="41"/>
    </row>
    <row r="781" spans="1:3">
      <c r="A781" s="81">
        <v>45554</v>
      </c>
      <c r="B781" s="3"/>
      <c r="C781" s="41"/>
    </row>
    <row r="782" spans="1:3">
      <c r="A782" s="81">
        <v>45555</v>
      </c>
      <c r="B782" s="3"/>
      <c r="C782" s="41"/>
    </row>
    <row r="783" spans="1:3">
      <c r="A783" s="81">
        <v>45556</v>
      </c>
      <c r="B783" s="3"/>
      <c r="C783" s="41"/>
    </row>
    <row r="784" spans="1:3">
      <c r="A784" s="81">
        <v>45557</v>
      </c>
      <c r="B784" s="3"/>
      <c r="C784" s="41"/>
    </row>
    <row r="785" spans="1:3">
      <c r="A785" s="81">
        <v>45558</v>
      </c>
      <c r="B785" s="3"/>
      <c r="C785" s="41"/>
    </row>
    <row r="786" spans="1:3">
      <c r="A786" s="81">
        <v>45559</v>
      </c>
      <c r="B786" s="3"/>
      <c r="C786" s="41"/>
    </row>
    <row r="787" spans="1:3">
      <c r="A787" s="81">
        <v>45560</v>
      </c>
      <c r="B787" s="3"/>
      <c r="C787" s="41"/>
    </row>
    <row r="788" spans="1:3">
      <c r="A788" s="81">
        <v>45561</v>
      </c>
      <c r="B788" s="3"/>
      <c r="C788" s="41"/>
    </row>
    <row r="789" spans="1:3">
      <c r="A789" s="81">
        <v>45562</v>
      </c>
      <c r="B789" s="3"/>
      <c r="C789" s="41"/>
    </row>
    <row r="790" spans="1:3">
      <c r="A790" s="81">
        <v>45563</v>
      </c>
      <c r="B790" s="3"/>
      <c r="C790" s="41"/>
    </row>
    <row r="791" spans="1:3">
      <c r="A791" s="81">
        <v>45564</v>
      </c>
      <c r="B791" s="3"/>
      <c r="C791" s="41"/>
    </row>
    <row r="792" spans="1:3">
      <c r="A792" s="81">
        <v>45565</v>
      </c>
      <c r="B792" s="3"/>
      <c r="C792" s="41"/>
    </row>
    <row r="793" spans="1:3">
      <c r="A793" s="81">
        <v>45566</v>
      </c>
      <c r="B793" s="3"/>
      <c r="C793" s="41"/>
    </row>
    <row r="794" spans="1:3">
      <c r="A794" s="81">
        <v>45567</v>
      </c>
      <c r="B794" s="3"/>
      <c r="C794" s="41"/>
    </row>
    <row r="795" spans="1:3">
      <c r="A795" s="81">
        <v>45568</v>
      </c>
      <c r="B795" s="3"/>
      <c r="C795" s="41"/>
    </row>
    <row r="796" spans="1:3">
      <c r="A796" s="81">
        <v>45569</v>
      </c>
      <c r="B796" s="3"/>
      <c r="C796" s="41"/>
    </row>
    <row r="797" spans="1:3">
      <c r="A797" s="81">
        <v>45570</v>
      </c>
      <c r="B797" s="3"/>
      <c r="C797" s="41"/>
    </row>
    <row r="798" spans="1:3">
      <c r="A798" s="81">
        <v>45571</v>
      </c>
      <c r="B798" s="3"/>
      <c r="C798" s="41"/>
    </row>
    <row r="799" spans="1:3">
      <c r="A799" s="81">
        <v>45572</v>
      </c>
      <c r="B799" s="3"/>
      <c r="C799" s="41"/>
    </row>
    <row r="800" spans="1:3">
      <c r="A800" s="81">
        <v>45573</v>
      </c>
      <c r="B800" s="3"/>
      <c r="C800" s="41"/>
    </row>
    <row r="801" spans="1:3">
      <c r="A801" s="81">
        <v>45574</v>
      </c>
      <c r="B801" s="3"/>
      <c r="C801" s="41"/>
    </row>
    <row r="802" spans="1:3">
      <c r="A802" s="81">
        <v>45575</v>
      </c>
      <c r="B802" s="3"/>
      <c r="C802" s="41"/>
    </row>
    <row r="803" spans="1:3">
      <c r="A803" s="81">
        <v>45576</v>
      </c>
      <c r="B803" s="3"/>
      <c r="C803" s="41"/>
    </row>
    <row r="804" spans="1:3">
      <c r="A804" s="81">
        <v>45577</v>
      </c>
      <c r="B804" s="3"/>
      <c r="C804" s="41"/>
    </row>
    <row r="805" spans="1:3">
      <c r="A805" s="81">
        <v>45578</v>
      </c>
      <c r="B805" s="3"/>
      <c r="C805" s="41"/>
    </row>
    <row r="806" spans="1:3">
      <c r="A806" s="81">
        <v>45579</v>
      </c>
      <c r="B806" s="3"/>
      <c r="C806" s="41"/>
    </row>
    <row r="807" spans="1:3">
      <c r="A807" s="81">
        <v>45580</v>
      </c>
      <c r="B807" s="3"/>
      <c r="C807" s="41"/>
    </row>
    <row r="808" spans="1:3">
      <c r="A808" s="81">
        <v>45581</v>
      </c>
      <c r="B808" s="3"/>
      <c r="C808" s="41"/>
    </row>
    <row r="809" spans="1:3">
      <c r="A809" s="81">
        <v>45582</v>
      </c>
      <c r="B809" s="3"/>
      <c r="C809" s="41"/>
    </row>
    <row r="810" spans="1:3">
      <c r="A810" s="81">
        <v>45583</v>
      </c>
      <c r="B810" s="3"/>
      <c r="C810" s="41"/>
    </row>
    <row r="811" spans="1:3">
      <c r="A811" s="81">
        <v>45584</v>
      </c>
      <c r="B811" s="3"/>
      <c r="C811" s="41"/>
    </row>
    <row r="812" spans="1:3">
      <c r="A812" s="81">
        <v>45585</v>
      </c>
      <c r="B812" s="3"/>
      <c r="C812" s="41"/>
    </row>
    <row r="813" spans="1:3">
      <c r="A813" s="81">
        <v>45586</v>
      </c>
      <c r="B813" s="3"/>
      <c r="C813" s="41"/>
    </row>
    <row r="814" spans="1:3">
      <c r="A814" s="81">
        <v>45587</v>
      </c>
      <c r="B814" s="3"/>
      <c r="C814" s="41"/>
    </row>
    <row r="815" spans="1:3">
      <c r="A815" s="81">
        <v>45588</v>
      </c>
      <c r="B815" s="3"/>
      <c r="C815" s="41"/>
    </row>
    <row r="816" spans="1:3">
      <c r="A816" s="81">
        <v>45589</v>
      </c>
      <c r="B816" s="3"/>
      <c r="C816" s="41"/>
    </row>
    <row r="817" spans="1:3">
      <c r="A817" s="81">
        <v>45590</v>
      </c>
      <c r="B817" s="3"/>
      <c r="C817" s="41"/>
    </row>
    <row r="818" spans="1:3">
      <c r="A818" s="81">
        <v>45591</v>
      </c>
      <c r="B818" s="3"/>
      <c r="C818" s="41"/>
    </row>
    <row r="819" spans="1:3">
      <c r="A819" s="81">
        <v>45592</v>
      </c>
      <c r="B819" s="3"/>
      <c r="C819" s="41"/>
    </row>
    <row r="820" spans="1:3">
      <c r="A820" s="81">
        <v>45593</v>
      </c>
      <c r="B820" s="3"/>
      <c r="C820" s="41"/>
    </row>
    <row r="821" spans="1:3">
      <c r="A821" s="81">
        <v>45594</v>
      </c>
      <c r="B821" s="3"/>
      <c r="C821" s="41"/>
    </row>
    <row r="822" spans="1:3">
      <c r="A822" s="81">
        <v>45595</v>
      </c>
      <c r="B822" s="3"/>
      <c r="C822" s="41"/>
    </row>
    <row r="823" spans="1:3">
      <c r="A823" s="81">
        <v>45596</v>
      </c>
      <c r="B823" s="3"/>
      <c r="C823" s="41"/>
    </row>
    <row r="824" spans="1:3">
      <c r="A824" s="81">
        <v>45597</v>
      </c>
      <c r="B824" s="3"/>
      <c r="C824" s="41"/>
    </row>
    <row r="825" spans="1:3">
      <c r="A825" s="81">
        <v>45598</v>
      </c>
      <c r="B825" s="3"/>
      <c r="C825" s="41"/>
    </row>
    <row r="826" spans="1:3">
      <c r="A826" s="81">
        <v>45599</v>
      </c>
      <c r="B826" s="3"/>
      <c r="C826" s="41"/>
    </row>
    <row r="827" spans="1:3">
      <c r="A827" s="81">
        <v>45600</v>
      </c>
      <c r="B827" s="3"/>
      <c r="C827" s="41"/>
    </row>
    <row r="828" spans="1:3">
      <c r="A828" s="81">
        <v>45601</v>
      </c>
      <c r="B828" s="3"/>
      <c r="C828" s="41"/>
    </row>
    <row r="829" spans="1:3">
      <c r="A829" s="81">
        <v>45602</v>
      </c>
      <c r="B829" s="3"/>
      <c r="C829" s="41"/>
    </row>
    <row r="830" spans="1:3">
      <c r="A830" s="81">
        <v>45603</v>
      </c>
      <c r="B830" s="3"/>
      <c r="C830" s="41"/>
    </row>
    <row r="831" spans="1:3">
      <c r="A831" s="81">
        <v>45604</v>
      </c>
      <c r="B831" s="3"/>
      <c r="C831" s="41"/>
    </row>
    <row r="832" spans="1:3">
      <c r="A832" s="81">
        <v>45605</v>
      </c>
      <c r="B832" s="3"/>
      <c r="C832" s="41"/>
    </row>
    <row r="833" spans="1:3">
      <c r="A833" s="81">
        <v>45606</v>
      </c>
      <c r="B833" s="3"/>
      <c r="C833" s="41"/>
    </row>
    <row r="834" spans="1:3">
      <c r="A834" s="81">
        <v>45607</v>
      </c>
      <c r="B834" s="3"/>
      <c r="C834" s="41"/>
    </row>
    <row r="835" spans="1:3">
      <c r="A835" s="81">
        <v>45608</v>
      </c>
      <c r="B835" s="3"/>
      <c r="C835" s="41"/>
    </row>
    <row r="836" spans="1:3">
      <c r="A836" s="81">
        <v>45609</v>
      </c>
      <c r="B836" s="3"/>
      <c r="C836" s="41"/>
    </row>
    <row r="837" spans="1:3">
      <c r="A837" s="81">
        <v>45610</v>
      </c>
      <c r="B837" s="3"/>
      <c r="C837" s="41"/>
    </row>
    <row r="838" spans="1:3">
      <c r="A838" s="81">
        <v>45611</v>
      </c>
      <c r="B838" s="3"/>
      <c r="C838" s="41"/>
    </row>
    <row r="839" spans="1:3">
      <c r="A839" s="81">
        <v>45612</v>
      </c>
      <c r="B839" s="3"/>
      <c r="C839" s="41"/>
    </row>
    <row r="840" spans="1:3">
      <c r="A840" s="81">
        <v>45613</v>
      </c>
      <c r="B840" s="3"/>
      <c r="C840" s="41"/>
    </row>
    <row r="841" spans="1:3">
      <c r="A841" s="81">
        <v>45614</v>
      </c>
      <c r="B841" s="3"/>
      <c r="C841" s="41"/>
    </row>
    <row r="842" spans="1:3">
      <c r="A842" s="81">
        <v>45615</v>
      </c>
      <c r="B842" s="3"/>
      <c r="C842" s="41"/>
    </row>
    <row r="843" spans="1:3">
      <c r="A843" s="81">
        <v>45616</v>
      </c>
      <c r="B843" s="3"/>
      <c r="C843" s="41"/>
    </row>
    <row r="844" spans="1:3">
      <c r="A844" s="81">
        <v>45617</v>
      </c>
      <c r="B844" s="3"/>
      <c r="C844" s="41"/>
    </row>
    <row r="845" spans="1:3">
      <c r="A845" s="81">
        <v>45618</v>
      </c>
      <c r="B845" s="3"/>
      <c r="C845" s="41"/>
    </row>
    <row r="846" spans="1:3">
      <c r="A846" s="81">
        <v>45619</v>
      </c>
      <c r="B846" s="3"/>
      <c r="C846" s="41"/>
    </row>
    <row r="847" spans="1:3">
      <c r="A847" s="81">
        <v>45620</v>
      </c>
      <c r="B847" s="3"/>
      <c r="C847" s="41"/>
    </row>
    <row r="848" spans="1:3">
      <c r="A848" s="81">
        <v>45621</v>
      </c>
      <c r="B848" s="3"/>
      <c r="C848" s="41"/>
    </row>
    <row r="849" spans="1:3">
      <c r="A849" s="81">
        <v>45622</v>
      </c>
      <c r="B849" s="3"/>
      <c r="C849" s="41"/>
    </row>
    <row r="850" spans="1:3">
      <c r="A850" s="81">
        <v>45623</v>
      </c>
      <c r="B850" s="3"/>
      <c r="C850" s="41"/>
    </row>
    <row r="851" spans="1:3">
      <c r="A851" s="81">
        <v>45624</v>
      </c>
      <c r="B851" s="3"/>
      <c r="C851" s="41"/>
    </row>
    <row r="852" spans="1:3">
      <c r="A852" s="81">
        <v>45625</v>
      </c>
      <c r="B852" s="3"/>
      <c r="C852" s="41"/>
    </row>
    <row r="853" spans="1:3">
      <c r="A853" s="81">
        <v>45626</v>
      </c>
      <c r="B853" s="3"/>
      <c r="C853" s="41"/>
    </row>
    <row r="854" spans="1:3">
      <c r="A854" s="81">
        <v>45627</v>
      </c>
      <c r="B854" s="3"/>
      <c r="C854" s="41"/>
    </row>
    <row r="855" spans="1:3">
      <c r="A855" s="81">
        <v>45628</v>
      </c>
      <c r="B855" s="3"/>
      <c r="C855" s="41"/>
    </row>
    <row r="856" spans="1:3">
      <c r="A856" s="81">
        <v>45629</v>
      </c>
      <c r="B856" s="3"/>
      <c r="C856" s="41"/>
    </row>
    <row r="857" spans="1:3">
      <c r="A857" s="81">
        <v>45630</v>
      </c>
      <c r="B857" s="3"/>
      <c r="C857" s="41"/>
    </row>
    <row r="858" spans="1:3">
      <c r="A858" s="81">
        <v>45631</v>
      </c>
      <c r="B858" s="3"/>
      <c r="C858" s="41"/>
    </row>
    <row r="859" spans="1:3">
      <c r="A859" s="81">
        <v>45632</v>
      </c>
      <c r="B859" s="3"/>
      <c r="C859" s="41"/>
    </row>
    <row r="860" spans="1:3">
      <c r="A860" s="81">
        <v>45633</v>
      </c>
      <c r="B860" s="3"/>
      <c r="C860" s="41"/>
    </row>
    <row r="861" spans="1:3">
      <c r="A861" s="81">
        <v>45634</v>
      </c>
      <c r="B861" s="3"/>
      <c r="C861" s="41"/>
    </row>
    <row r="862" spans="1:3">
      <c r="A862" s="81">
        <v>45635</v>
      </c>
      <c r="B862" s="3"/>
      <c r="C862" s="41"/>
    </row>
    <row r="863" spans="1:3">
      <c r="A863" s="81">
        <v>45636</v>
      </c>
      <c r="B863" s="3"/>
      <c r="C863" s="41"/>
    </row>
    <row r="864" spans="1:3">
      <c r="A864" s="81">
        <v>45637</v>
      </c>
      <c r="B864" s="3"/>
      <c r="C864" s="41"/>
    </row>
    <row r="865" spans="1:3">
      <c r="A865" s="81">
        <v>45638</v>
      </c>
      <c r="B865" s="3"/>
      <c r="C865" s="41"/>
    </row>
    <row r="866" spans="1:3">
      <c r="A866" s="81">
        <v>45639</v>
      </c>
      <c r="B866" s="3"/>
      <c r="C866" s="41"/>
    </row>
    <row r="867" spans="1:3">
      <c r="A867" s="81">
        <v>45640</v>
      </c>
      <c r="B867" s="3"/>
      <c r="C867" s="41"/>
    </row>
    <row r="868" spans="1:3">
      <c r="A868" s="81">
        <v>45641</v>
      </c>
      <c r="B868" s="3"/>
      <c r="C868" s="41"/>
    </row>
    <row r="869" spans="1:3">
      <c r="A869" s="81">
        <v>45642</v>
      </c>
      <c r="B869" s="3"/>
      <c r="C869" s="41"/>
    </row>
    <row r="870" spans="1:3">
      <c r="A870" s="81">
        <v>45643</v>
      </c>
      <c r="B870" s="3"/>
      <c r="C870" s="41"/>
    </row>
    <row r="871" spans="1:3">
      <c r="A871" s="81">
        <v>45644</v>
      </c>
      <c r="B871" s="3"/>
      <c r="C871" s="41"/>
    </row>
    <row r="872" spans="1:3">
      <c r="A872" s="81">
        <v>45645</v>
      </c>
      <c r="B872" s="3"/>
      <c r="C872" s="41"/>
    </row>
    <row r="873" spans="1:3">
      <c r="A873" s="81">
        <v>45646</v>
      </c>
      <c r="B873" s="3"/>
      <c r="C873" s="41"/>
    </row>
    <row r="874" spans="1:3">
      <c r="A874" s="81">
        <v>45647</v>
      </c>
      <c r="B874" s="3"/>
      <c r="C874" s="41"/>
    </row>
    <row r="875" spans="1:3">
      <c r="A875" s="81">
        <v>45648</v>
      </c>
      <c r="B875" s="3"/>
      <c r="C875" s="41"/>
    </row>
    <row r="876" spans="1:3">
      <c r="A876" s="81">
        <v>45649</v>
      </c>
      <c r="B876" s="3"/>
      <c r="C876" s="41"/>
    </row>
    <row r="877" spans="1:3">
      <c r="A877" s="81">
        <v>45650</v>
      </c>
      <c r="B877" s="3"/>
      <c r="C877" s="41"/>
    </row>
    <row r="878" spans="1:3">
      <c r="A878" s="81">
        <v>45651</v>
      </c>
      <c r="B878" s="3"/>
      <c r="C878" s="41"/>
    </row>
    <row r="879" spans="1:3">
      <c r="A879" s="81">
        <v>45652</v>
      </c>
      <c r="B879" s="3"/>
      <c r="C879" s="41"/>
    </row>
    <row r="880" spans="1:3">
      <c r="A880" s="81">
        <v>45653</v>
      </c>
      <c r="B880" s="3"/>
      <c r="C880" s="41"/>
    </row>
    <row r="881" spans="1:3">
      <c r="A881" s="81">
        <v>45654</v>
      </c>
      <c r="B881" s="3"/>
      <c r="C881" s="41"/>
    </row>
    <row r="882" spans="1:3">
      <c r="A882" s="81">
        <v>45655</v>
      </c>
      <c r="B882" s="3"/>
      <c r="C882" s="41"/>
    </row>
    <row r="883" spans="1:3">
      <c r="A883" s="81">
        <v>45656</v>
      </c>
      <c r="B883" s="3"/>
      <c r="C883" s="41"/>
    </row>
    <row r="884" spans="1:3">
      <c r="A884" s="81">
        <v>45657</v>
      </c>
      <c r="B884" s="3"/>
      <c r="C884" s="41"/>
    </row>
    <row r="885" spans="1:3">
      <c r="A885" s="81">
        <v>45658</v>
      </c>
      <c r="B885" s="3"/>
      <c r="C885" s="41"/>
    </row>
    <row r="886" spans="1:3">
      <c r="A886" s="81">
        <v>45659</v>
      </c>
      <c r="B886" s="3"/>
      <c r="C886" s="41"/>
    </row>
    <row r="887" spans="1:3">
      <c r="A887" s="81">
        <v>45660</v>
      </c>
      <c r="B887" s="3"/>
      <c r="C887" s="41"/>
    </row>
    <row r="888" spans="1:3">
      <c r="A888" s="81">
        <v>45661</v>
      </c>
      <c r="B888" s="3"/>
      <c r="C888" s="41"/>
    </row>
    <row r="889" spans="1:3">
      <c r="A889" s="81">
        <v>45662</v>
      </c>
      <c r="B889" s="3"/>
      <c r="C889" s="41"/>
    </row>
    <row r="890" spans="1:3">
      <c r="A890" s="81">
        <v>45663</v>
      </c>
      <c r="B890" s="3"/>
      <c r="C890" s="41"/>
    </row>
    <row r="891" spans="1:3">
      <c r="A891" s="81">
        <v>45664</v>
      </c>
      <c r="B891" s="3"/>
      <c r="C891" s="41"/>
    </row>
    <row r="892" spans="1:3">
      <c r="A892" s="81">
        <v>45665</v>
      </c>
      <c r="B892" s="3"/>
      <c r="C892" s="41"/>
    </row>
    <row r="893" spans="1:3">
      <c r="A893" s="81">
        <v>45666</v>
      </c>
      <c r="B893" s="3"/>
      <c r="C893" s="41"/>
    </row>
    <row r="894" spans="1:3">
      <c r="A894" s="81">
        <v>45667</v>
      </c>
      <c r="B894" s="3"/>
      <c r="C894" s="41"/>
    </row>
    <row r="895" spans="1:3">
      <c r="A895" s="81">
        <v>45668</v>
      </c>
      <c r="B895" s="3"/>
      <c r="C895" s="41"/>
    </row>
    <row r="896" spans="1:3">
      <c r="A896" s="81">
        <v>45669</v>
      </c>
      <c r="B896" s="3"/>
      <c r="C896" s="41"/>
    </row>
    <row r="897" spans="1:3">
      <c r="A897" s="81">
        <v>45670</v>
      </c>
      <c r="B897" s="3"/>
      <c r="C897" s="41"/>
    </row>
    <row r="898" spans="1:3">
      <c r="A898" s="81">
        <v>45671</v>
      </c>
      <c r="B898" s="3"/>
      <c r="C898" s="41"/>
    </row>
    <row r="899" spans="1:3">
      <c r="A899" s="81">
        <v>45672</v>
      </c>
      <c r="B899" s="3"/>
      <c r="C899" s="41"/>
    </row>
    <row r="900" spans="1:3">
      <c r="A900" s="81">
        <v>45673</v>
      </c>
      <c r="B900" s="3"/>
      <c r="C900" s="41"/>
    </row>
    <row r="901" spans="1:3">
      <c r="A901" s="81">
        <v>45674</v>
      </c>
      <c r="B901" s="3"/>
      <c r="C901" s="41"/>
    </row>
    <row r="902" spans="1:3">
      <c r="A902" s="81">
        <v>45675</v>
      </c>
      <c r="B902" s="3"/>
      <c r="C902" s="41"/>
    </row>
    <row r="903" spans="1:3">
      <c r="A903" s="81">
        <v>45676</v>
      </c>
      <c r="B903" s="3"/>
      <c r="C903" s="41"/>
    </row>
    <row r="904" spans="1:3">
      <c r="A904" s="81">
        <v>45677</v>
      </c>
      <c r="B904" s="3"/>
      <c r="C904" s="41"/>
    </row>
    <row r="905" spans="1:3">
      <c r="A905" s="81">
        <v>45678</v>
      </c>
      <c r="B905" s="3"/>
      <c r="C905" s="41"/>
    </row>
    <row r="906" spans="1:3">
      <c r="A906" s="81">
        <v>45679</v>
      </c>
      <c r="B906" s="3"/>
      <c r="C906" s="41"/>
    </row>
    <row r="907" spans="1:3">
      <c r="A907" s="81">
        <v>45680</v>
      </c>
      <c r="B907" s="3"/>
      <c r="C907" s="41"/>
    </row>
    <row r="908" spans="1:3">
      <c r="A908" s="81">
        <v>45681</v>
      </c>
      <c r="B908" s="3"/>
      <c r="C908" s="41"/>
    </row>
    <row r="909" spans="1:3">
      <c r="A909" s="81">
        <v>45682</v>
      </c>
      <c r="B909" s="3"/>
      <c r="C909" s="41"/>
    </row>
    <row r="910" spans="1:3">
      <c r="A910" s="81">
        <v>45683</v>
      </c>
      <c r="B910" s="3"/>
      <c r="C910" s="41"/>
    </row>
    <row r="911" spans="1:3">
      <c r="A911" s="81">
        <v>45684</v>
      </c>
      <c r="B911" s="3"/>
      <c r="C911" s="41"/>
    </row>
    <row r="912" spans="1:3">
      <c r="A912" s="81">
        <v>45685</v>
      </c>
      <c r="B912" s="3"/>
      <c r="C912" s="41"/>
    </row>
    <row r="913" spans="1:3">
      <c r="A913" s="81">
        <v>45686</v>
      </c>
      <c r="B913" s="3"/>
      <c r="C913" s="41"/>
    </row>
    <row r="914" spans="1:3">
      <c r="A914" s="81">
        <v>45687</v>
      </c>
      <c r="B914" s="3"/>
      <c r="C914" s="41"/>
    </row>
    <row r="915" spans="1:3">
      <c r="A915" s="81">
        <v>45688</v>
      </c>
      <c r="B915" s="3"/>
      <c r="C915" s="41"/>
    </row>
    <row r="916" spans="1:3">
      <c r="A916" s="81">
        <v>45689</v>
      </c>
      <c r="B916" s="3"/>
      <c r="C916" s="41"/>
    </row>
    <row r="917" spans="1:3">
      <c r="A917" s="81">
        <v>45690</v>
      </c>
      <c r="B917" s="3"/>
      <c r="C917" s="41"/>
    </row>
    <row r="918" spans="1:3">
      <c r="A918" s="81">
        <v>45691</v>
      </c>
      <c r="B918" s="3"/>
      <c r="C918" s="41"/>
    </row>
    <row r="919" spans="1:3">
      <c r="A919" s="81">
        <v>45692</v>
      </c>
      <c r="B919" s="3"/>
      <c r="C919" s="41"/>
    </row>
    <row r="920" spans="1:3">
      <c r="A920" s="81">
        <v>45693</v>
      </c>
      <c r="B920" s="3"/>
      <c r="C920" s="41"/>
    </row>
    <row r="921" spans="1:3">
      <c r="A921" s="81">
        <v>45694</v>
      </c>
      <c r="B921" s="3"/>
      <c r="C921" s="41"/>
    </row>
    <row r="922" spans="1:3">
      <c r="A922" s="81">
        <v>45695</v>
      </c>
      <c r="B922" s="3"/>
      <c r="C922" s="41"/>
    </row>
    <row r="923" spans="1:3">
      <c r="A923" s="81">
        <v>45696</v>
      </c>
      <c r="B923" s="3"/>
      <c r="C923" s="41"/>
    </row>
    <row r="924" spans="1:3">
      <c r="A924" s="81">
        <v>45697</v>
      </c>
      <c r="B924" s="3"/>
      <c r="C924" s="41"/>
    </row>
    <row r="925" spans="1:3">
      <c r="A925" s="81">
        <v>45698</v>
      </c>
      <c r="B925" s="3"/>
      <c r="C925" s="41"/>
    </row>
    <row r="926" spans="1:3">
      <c r="A926" s="81">
        <v>45699</v>
      </c>
      <c r="B926" s="3"/>
      <c r="C926" s="41"/>
    </row>
    <row r="927" spans="1:3">
      <c r="A927" s="81">
        <v>45700</v>
      </c>
      <c r="B927" s="3"/>
      <c r="C927" s="41"/>
    </row>
    <row r="928" spans="1:3">
      <c r="A928" s="81">
        <v>45701</v>
      </c>
      <c r="B928" s="3"/>
      <c r="C928" s="41"/>
    </row>
    <row r="929" spans="1:3">
      <c r="A929" s="81">
        <v>45702</v>
      </c>
      <c r="B929" s="3"/>
      <c r="C929" s="41"/>
    </row>
    <row r="930" spans="1:3">
      <c r="A930" s="81">
        <v>45703</v>
      </c>
      <c r="B930" s="3"/>
      <c r="C930" s="41"/>
    </row>
    <row r="931" spans="1:3">
      <c r="A931" s="81">
        <v>45704</v>
      </c>
      <c r="B931" s="3"/>
      <c r="C931" s="41"/>
    </row>
    <row r="932" spans="1:3">
      <c r="A932" s="81">
        <v>45705</v>
      </c>
      <c r="B932" s="3"/>
      <c r="C932" s="41"/>
    </row>
    <row r="933" spans="1:3">
      <c r="A933" s="81">
        <v>45706</v>
      </c>
      <c r="B933" s="3"/>
      <c r="C933" s="41"/>
    </row>
    <row r="934" spans="1:3">
      <c r="A934" s="81">
        <v>45707</v>
      </c>
      <c r="B934" s="3"/>
      <c r="C934" s="41"/>
    </row>
    <row r="935" spans="1:3">
      <c r="A935" s="81">
        <v>45708</v>
      </c>
      <c r="B935" s="3"/>
      <c r="C935" s="41"/>
    </row>
    <row r="936" spans="1:3">
      <c r="A936" s="81">
        <v>45709</v>
      </c>
      <c r="B936" s="3"/>
      <c r="C936" s="41"/>
    </row>
    <row r="937" spans="1:3">
      <c r="A937" s="81">
        <v>45710</v>
      </c>
      <c r="B937" s="3"/>
      <c r="C937" s="41"/>
    </row>
    <row r="938" spans="1:3">
      <c r="A938" s="81">
        <v>45711</v>
      </c>
      <c r="B938" s="3"/>
      <c r="C938" s="41"/>
    </row>
    <row r="939" spans="1:3">
      <c r="A939" s="81">
        <v>45712</v>
      </c>
      <c r="B939" s="3"/>
      <c r="C939" s="41"/>
    </row>
    <row r="940" spans="1:3">
      <c r="A940" s="81">
        <v>45713</v>
      </c>
      <c r="B940" s="3"/>
      <c r="C940" s="41"/>
    </row>
    <row r="941" spans="1:3">
      <c r="A941" s="81">
        <v>45714</v>
      </c>
      <c r="B941" s="3"/>
      <c r="C941" s="41"/>
    </row>
    <row r="942" spans="1:3">
      <c r="A942" s="81">
        <v>45715</v>
      </c>
      <c r="B942" s="3"/>
      <c r="C942" s="41"/>
    </row>
    <row r="943" spans="1:3">
      <c r="A943" s="81">
        <v>45716</v>
      </c>
      <c r="B943" s="3"/>
      <c r="C943" s="41"/>
    </row>
    <row r="944" spans="1:3">
      <c r="A944" s="81">
        <v>45717</v>
      </c>
      <c r="B944" s="3"/>
      <c r="C944" s="41"/>
    </row>
    <row r="945" spans="1:3">
      <c r="A945" s="81">
        <v>45718</v>
      </c>
      <c r="B945" s="3"/>
      <c r="C945" s="41"/>
    </row>
    <row r="946" spans="1:3">
      <c r="A946" s="81">
        <v>45719</v>
      </c>
      <c r="B946" s="3"/>
      <c r="C946" s="41"/>
    </row>
    <row r="947" spans="1:3">
      <c r="A947" s="81">
        <v>45720</v>
      </c>
      <c r="B947" s="3"/>
      <c r="C947" s="41"/>
    </row>
    <row r="948" spans="1:3">
      <c r="A948" s="81">
        <v>45721</v>
      </c>
      <c r="B948" s="3"/>
      <c r="C948" s="41"/>
    </row>
    <row r="949" spans="1:3">
      <c r="A949" s="81">
        <v>45722</v>
      </c>
      <c r="B949" s="3"/>
      <c r="C949" s="41"/>
    </row>
    <row r="950" spans="1:3">
      <c r="A950" s="81">
        <v>45723</v>
      </c>
      <c r="B950" s="3"/>
      <c r="C950" s="41"/>
    </row>
    <row r="951" spans="1:3">
      <c r="A951" s="81">
        <v>45724</v>
      </c>
      <c r="B951" s="3"/>
      <c r="C951" s="41"/>
    </row>
    <row r="952" spans="1:3">
      <c r="A952" s="81">
        <v>45725</v>
      </c>
      <c r="B952" s="3"/>
      <c r="C952" s="41"/>
    </row>
    <row r="953" spans="1:3">
      <c r="A953" s="81">
        <v>45726</v>
      </c>
      <c r="B953" s="3"/>
      <c r="C953" s="41"/>
    </row>
    <row r="954" spans="1:3">
      <c r="A954" s="81">
        <v>45727</v>
      </c>
      <c r="B954" s="3"/>
      <c r="C954" s="41"/>
    </row>
    <row r="955" spans="1:3">
      <c r="A955" s="81">
        <v>45728</v>
      </c>
      <c r="B955" s="3"/>
      <c r="C955" s="41"/>
    </row>
    <row r="956" spans="1:3">
      <c r="A956" s="81">
        <v>45729</v>
      </c>
      <c r="B956" s="3"/>
      <c r="C956" s="41"/>
    </row>
    <row r="957" spans="1:3">
      <c r="A957" s="81">
        <v>45730</v>
      </c>
      <c r="B957" s="3"/>
      <c r="C957" s="41"/>
    </row>
    <row r="958" spans="1:3">
      <c r="A958" s="81">
        <v>45731</v>
      </c>
      <c r="B958" s="3"/>
      <c r="C958" s="41"/>
    </row>
    <row r="959" spans="1:3">
      <c r="A959" s="81">
        <v>45732</v>
      </c>
      <c r="B959" s="3"/>
      <c r="C959" s="41"/>
    </row>
    <row r="960" spans="1:3">
      <c r="A960" s="81">
        <v>45733</v>
      </c>
      <c r="B960" s="3"/>
      <c r="C960" s="41"/>
    </row>
    <row r="961" spans="1:3">
      <c r="A961" s="81">
        <v>45734</v>
      </c>
      <c r="B961" s="3"/>
      <c r="C961" s="41"/>
    </row>
    <row r="962" spans="1:3">
      <c r="A962" s="81">
        <v>45735</v>
      </c>
      <c r="B962" s="3"/>
      <c r="C962" s="41"/>
    </row>
    <row r="963" spans="1:3">
      <c r="A963" s="81">
        <v>45736</v>
      </c>
      <c r="B963" s="3"/>
      <c r="C963" s="41"/>
    </row>
    <row r="964" spans="1:3">
      <c r="A964" s="81">
        <v>45737</v>
      </c>
      <c r="B964" s="3"/>
      <c r="C964" s="41"/>
    </row>
    <row r="965" spans="1:3">
      <c r="A965" s="81">
        <v>45738</v>
      </c>
      <c r="B965" s="3"/>
      <c r="C965" s="41"/>
    </row>
    <row r="966" spans="1:3">
      <c r="A966" s="81">
        <v>45739</v>
      </c>
      <c r="B966" s="3"/>
      <c r="C966" s="41"/>
    </row>
    <row r="967" spans="1:3">
      <c r="A967" s="81">
        <v>45740</v>
      </c>
      <c r="B967" s="3"/>
      <c r="C967" s="41"/>
    </row>
    <row r="968" spans="1:3">
      <c r="A968" s="81">
        <v>45741</v>
      </c>
      <c r="B968" s="3"/>
      <c r="C968" s="41"/>
    </row>
    <row r="969" spans="1:3">
      <c r="A969" s="81">
        <v>45742</v>
      </c>
      <c r="B969" s="3"/>
      <c r="C969" s="41"/>
    </row>
    <row r="970" spans="1:3">
      <c r="A970" s="81">
        <v>45743</v>
      </c>
      <c r="B970" s="3"/>
      <c r="C970" s="41"/>
    </row>
    <row r="971" spans="1:3">
      <c r="A971" s="81">
        <v>45744</v>
      </c>
      <c r="B971" s="3"/>
      <c r="C971" s="41"/>
    </row>
    <row r="972" spans="1:3">
      <c r="A972" s="81">
        <v>45745</v>
      </c>
      <c r="B972" s="3"/>
      <c r="C972" s="41"/>
    </row>
    <row r="973" spans="1:3">
      <c r="A973" s="81">
        <v>45746</v>
      </c>
      <c r="B973" s="3"/>
      <c r="C973" s="41"/>
    </row>
    <row r="974" spans="1:3">
      <c r="A974" s="81">
        <v>45747</v>
      </c>
      <c r="B974" s="3"/>
      <c r="C974" s="41"/>
    </row>
    <row r="975" spans="1:3">
      <c r="A975" s="81">
        <v>45748</v>
      </c>
      <c r="B975" s="3"/>
      <c r="C975" s="41"/>
    </row>
    <row r="976" spans="1:3">
      <c r="A976" s="81">
        <v>45749</v>
      </c>
      <c r="B976" s="3"/>
      <c r="C976" s="41"/>
    </row>
    <row r="977" spans="1:3">
      <c r="A977" s="81">
        <v>45750</v>
      </c>
      <c r="B977" s="3"/>
      <c r="C977" s="41"/>
    </row>
    <row r="978" spans="1:3">
      <c r="A978" s="81">
        <v>45751</v>
      </c>
      <c r="B978" s="3"/>
      <c r="C978" s="41"/>
    </row>
    <row r="979" spans="1:3">
      <c r="A979" s="81">
        <v>45752</v>
      </c>
      <c r="B979" s="3"/>
      <c r="C979" s="41"/>
    </row>
    <row r="980" spans="1:3">
      <c r="A980" s="81">
        <v>45753</v>
      </c>
      <c r="B980" s="3"/>
      <c r="C980" s="41"/>
    </row>
    <row r="981" spans="1:3">
      <c r="A981" s="81">
        <v>45754</v>
      </c>
      <c r="B981" s="3"/>
      <c r="C981" s="41"/>
    </row>
    <row r="982" spans="1:3">
      <c r="A982" s="81">
        <v>45755</v>
      </c>
      <c r="B982" s="3"/>
      <c r="C982" s="41"/>
    </row>
    <row r="983" spans="1:3">
      <c r="A983" s="81">
        <v>45756</v>
      </c>
      <c r="B983" s="3"/>
      <c r="C983" s="41"/>
    </row>
    <row r="984" spans="1:3">
      <c r="A984" s="81">
        <v>45757</v>
      </c>
      <c r="B984" s="3"/>
      <c r="C984" s="41"/>
    </row>
    <row r="985" spans="1:3">
      <c r="A985" s="81">
        <v>45758</v>
      </c>
      <c r="B985" s="3"/>
      <c r="C985" s="41"/>
    </row>
    <row r="986" spans="1:3">
      <c r="A986" s="81">
        <v>45759</v>
      </c>
      <c r="B986" s="3"/>
      <c r="C986" s="41"/>
    </row>
    <row r="987" spans="1:3">
      <c r="A987" s="81">
        <v>45760</v>
      </c>
      <c r="B987" s="3"/>
      <c r="C987" s="41"/>
    </row>
    <row r="988" spans="1:3">
      <c r="A988" s="81">
        <v>45761</v>
      </c>
      <c r="B988" s="3"/>
      <c r="C988" s="41"/>
    </row>
    <row r="989" spans="1:3">
      <c r="A989" s="81">
        <v>45762</v>
      </c>
      <c r="B989" s="3"/>
      <c r="C989" s="41"/>
    </row>
    <row r="990" spans="1:3">
      <c r="A990" s="81">
        <v>45763</v>
      </c>
      <c r="B990" s="3"/>
      <c r="C990" s="41"/>
    </row>
    <row r="991" spans="1:3">
      <c r="A991" s="81">
        <v>45764</v>
      </c>
      <c r="B991" s="3"/>
      <c r="C991" s="41"/>
    </row>
    <row r="992" spans="1:3">
      <c r="A992" s="81">
        <v>45765</v>
      </c>
      <c r="B992" s="3"/>
      <c r="C992" s="41"/>
    </row>
    <row r="993" spans="1:3">
      <c r="A993" s="81">
        <v>45766</v>
      </c>
      <c r="B993" s="3"/>
      <c r="C993" s="41"/>
    </row>
    <row r="994" spans="1:3">
      <c r="A994" s="81">
        <v>45767</v>
      </c>
      <c r="B994" s="3"/>
      <c r="C994" s="41"/>
    </row>
    <row r="995" spans="1:3">
      <c r="A995" s="81">
        <v>45768</v>
      </c>
      <c r="B995" s="3"/>
      <c r="C995" s="41"/>
    </row>
    <row r="996" spans="1:3">
      <c r="A996" s="81">
        <v>45769</v>
      </c>
      <c r="B996" s="3"/>
      <c r="C996" s="41"/>
    </row>
    <row r="997" spans="1:3">
      <c r="A997" s="81">
        <v>45770</v>
      </c>
      <c r="B997" s="3"/>
      <c r="C997" s="41"/>
    </row>
    <row r="998" spans="1:3">
      <c r="A998" s="81">
        <v>45771</v>
      </c>
      <c r="B998" s="3"/>
      <c r="C998" s="41"/>
    </row>
    <row r="999" spans="1:3">
      <c r="A999" s="81">
        <v>45772</v>
      </c>
      <c r="B999" s="3"/>
      <c r="C999" s="41"/>
    </row>
    <row r="1000" spans="1:3">
      <c r="A1000" s="81">
        <v>45773</v>
      </c>
      <c r="B1000" s="3"/>
      <c r="C1000" s="41"/>
    </row>
    <row r="1001" spans="1:3">
      <c r="A1001" s="81">
        <v>45774</v>
      </c>
      <c r="B1001" s="3"/>
      <c r="C1001" s="41"/>
    </row>
    <row r="1002" spans="1:3">
      <c r="A1002" s="81">
        <v>45775</v>
      </c>
      <c r="B1002" s="3"/>
      <c r="C1002" s="41"/>
    </row>
    <row r="1003" spans="1:3">
      <c r="A1003" s="81">
        <v>45776</v>
      </c>
      <c r="B1003" s="3"/>
      <c r="C1003" s="41"/>
    </row>
    <row r="1004" spans="1:3">
      <c r="A1004" s="81">
        <v>45777</v>
      </c>
      <c r="B1004" s="3"/>
      <c r="C1004" s="41"/>
    </row>
    <row r="1005" spans="1:3">
      <c r="A1005" s="81">
        <v>45778</v>
      </c>
      <c r="B1005" s="3"/>
      <c r="C1005" s="41"/>
    </row>
    <row r="1006" spans="1:3">
      <c r="A1006" s="81">
        <v>45779</v>
      </c>
      <c r="B1006" s="3"/>
      <c r="C1006" s="41"/>
    </row>
    <row r="1007" spans="1:3">
      <c r="A1007" s="81">
        <v>45780</v>
      </c>
      <c r="B1007" s="3"/>
      <c r="C1007" s="41"/>
    </row>
    <row r="1008" spans="1:3">
      <c r="A1008" s="81">
        <v>45781</v>
      </c>
      <c r="B1008" s="3"/>
      <c r="C1008" s="41"/>
    </row>
    <row r="1009" spans="1:3">
      <c r="A1009" s="81">
        <v>45782</v>
      </c>
      <c r="B1009" s="3"/>
      <c r="C1009" s="41"/>
    </row>
    <row r="1010" spans="1:3">
      <c r="A1010" s="81">
        <v>45783</v>
      </c>
      <c r="B1010" s="3"/>
      <c r="C1010" s="41"/>
    </row>
    <row r="1011" spans="1:3">
      <c r="A1011" s="81">
        <v>45784</v>
      </c>
      <c r="B1011" s="3"/>
      <c r="C1011" s="41"/>
    </row>
    <row r="1012" spans="1:3">
      <c r="A1012" s="81">
        <v>45785</v>
      </c>
      <c r="B1012" s="3"/>
      <c r="C1012" s="41"/>
    </row>
    <row r="1013" spans="1:3">
      <c r="A1013" s="81">
        <v>45786</v>
      </c>
      <c r="B1013" s="3"/>
      <c r="C1013" s="41"/>
    </row>
    <row r="1014" spans="1:3">
      <c r="A1014" s="81">
        <v>45787</v>
      </c>
      <c r="B1014" s="3"/>
      <c r="C1014" s="41"/>
    </row>
    <row r="1015" spans="1:3">
      <c r="A1015" s="81">
        <v>45788</v>
      </c>
      <c r="B1015" s="3"/>
      <c r="C1015" s="41"/>
    </row>
    <row r="1016" spans="1:3">
      <c r="A1016" s="81">
        <v>45789</v>
      </c>
      <c r="B1016" s="3"/>
      <c r="C1016" s="41"/>
    </row>
    <row r="1017" spans="1:3">
      <c r="A1017" s="81">
        <v>45790</v>
      </c>
      <c r="B1017" s="3"/>
      <c r="C1017" s="41"/>
    </row>
    <row r="1018" spans="1:3">
      <c r="A1018" s="81">
        <v>45791</v>
      </c>
      <c r="B1018" s="3"/>
      <c r="C1018" s="41"/>
    </row>
    <row r="1019" spans="1:3">
      <c r="A1019" s="81">
        <v>45792</v>
      </c>
      <c r="B1019" s="3"/>
      <c r="C1019" s="41"/>
    </row>
    <row r="1020" spans="1:3">
      <c r="A1020" s="81">
        <v>45793</v>
      </c>
      <c r="B1020" s="3"/>
      <c r="C1020" s="41"/>
    </row>
    <row r="1021" spans="1:3">
      <c r="A1021" s="81">
        <v>45794</v>
      </c>
      <c r="B1021" s="3"/>
      <c r="C1021" s="41"/>
    </row>
    <row r="1022" spans="1:3">
      <c r="A1022" s="81">
        <v>45795</v>
      </c>
      <c r="B1022" s="3"/>
      <c r="C1022" s="41"/>
    </row>
    <row r="1023" spans="1:3">
      <c r="A1023" s="81">
        <v>45796</v>
      </c>
      <c r="B1023" s="3"/>
      <c r="C1023" s="41"/>
    </row>
    <row r="1024" spans="1:3">
      <c r="A1024" s="81">
        <v>45797</v>
      </c>
      <c r="B1024" s="3"/>
      <c r="C1024" s="41"/>
    </row>
    <row r="1025" spans="1:3">
      <c r="A1025" s="81">
        <v>45798</v>
      </c>
      <c r="B1025" s="3"/>
      <c r="C1025" s="41"/>
    </row>
    <row r="1026" spans="1:3">
      <c r="A1026" s="81">
        <v>45799</v>
      </c>
      <c r="B1026" s="3"/>
      <c r="C1026" s="41"/>
    </row>
    <row r="1027" spans="1:3">
      <c r="A1027" s="81">
        <v>45800</v>
      </c>
      <c r="B1027" s="3"/>
      <c r="C1027" s="41"/>
    </row>
    <row r="1028" spans="1:3">
      <c r="A1028" s="81">
        <v>45801</v>
      </c>
      <c r="B1028" s="3"/>
      <c r="C1028" s="41"/>
    </row>
    <row r="1029" spans="1:3">
      <c r="A1029" s="81">
        <v>45802</v>
      </c>
      <c r="B1029" s="3"/>
      <c r="C1029" s="41"/>
    </row>
    <row r="1030" spans="1:3">
      <c r="A1030" s="81">
        <v>45803</v>
      </c>
      <c r="B1030" s="3"/>
      <c r="C1030" s="41"/>
    </row>
    <row r="1031" spans="1:3">
      <c r="A1031" s="81">
        <v>45804</v>
      </c>
      <c r="B1031" s="3"/>
      <c r="C1031" s="41"/>
    </row>
    <row r="1032" spans="1:3">
      <c r="A1032" s="81">
        <v>45805</v>
      </c>
      <c r="B1032" s="3"/>
      <c r="C1032" s="41"/>
    </row>
    <row r="1033" spans="1:3">
      <c r="A1033" s="81">
        <v>45806</v>
      </c>
      <c r="B1033" s="3"/>
      <c r="C1033" s="41"/>
    </row>
    <row r="1034" spans="1:3">
      <c r="A1034" s="81">
        <v>45807</v>
      </c>
      <c r="B1034" s="3"/>
      <c r="C1034" s="41"/>
    </row>
    <row r="1035" spans="1:3">
      <c r="A1035" s="81">
        <v>45808</v>
      </c>
      <c r="B1035" s="3"/>
      <c r="C1035" s="41"/>
    </row>
    <row r="1036" spans="1:3">
      <c r="A1036" s="81">
        <v>45809</v>
      </c>
      <c r="B1036" s="3"/>
      <c r="C1036" s="41"/>
    </row>
    <row r="1037" spans="1:3">
      <c r="A1037" s="81">
        <v>45810</v>
      </c>
      <c r="B1037" s="3"/>
      <c r="C1037" s="41"/>
    </row>
    <row r="1038" spans="1:3">
      <c r="A1038" s="81">
        <v>45811</v>
      </c>
      <c r="B1038" s="3"/>
      <c r="C1038" s="41"/>
    </row>
    <row r="1039" spans="1:3">
      <c r="A1039" s="81">
        <v>45812</v>
      </c>
      <c r="B1039" s="3"/>
      <c r="C1039" s="41"/>
    </row>
    <row r="1040" spans="1:3">
      <c r="A1040" s="81">
        <v>45813</v>
      </c>
      <c r="B1040" s="3"/>
      <c r="C1040" s="41"/>
    </row>
    <row r="1041" spans="1:3">
      <c r="A1041" s="81">
        <v>45814</v>
      </c>
      <c r="B1041" s="3"/>
      <c r="C1041" s="41"/>
    </row>
    <row r="1042" spans="1:3">
      <c r="A1042" s="81">
        <v>45815</v>
      </c>
      <c r="B1042" s="3"/>
      <c r="C1042" s="41"/>
    </row>
    <row r="1043" spans="1:3">
      <c r="A1043" s="81">
        <v>45816</v>
      </c>
      <c r="B1043" s="3"/>
      <c r="C1043" s="41"/>
    </row>
    <row r="1044" spans="1:3">
      <c r="A1044" s="81">
        <v>45817</v>
      </c>
      <c r="B1044" s="3"/>
      <c r="C1044" s="41"/>
    </row>
    <row r="1045" spans="1:3">
      <c r="A1045" s="81">
        <v>45818</v>
      </c>
      <c r="B1045" s="3"/>
      <c r="C1045" s="41"/>
    </row>
    <row r="1046" spans="1:3">
      <c r="A1046" s="81">
        <v>45819</v>
      </c>
      <c r="B1046" s="3"/>
      <c r="C1046" s="41"/>
    </row>
    <row r="1047" spans="1:3">
      <c r="A1047" s="81">
        <v>45820</v>
      </c>
      <c r="B1047" s="3"/>
      <c r="C1047" s="41"/>
    </row>
    <row r="1048" spans="1:3">
      <c r="A1048" s="81">
        <v>45821</v>
      </c>
      <c r="B1048" s="3"/>
      <c r="C1048" s="41"/>
    </row>
    <row r="1049" spans="1:3">
      <c r="A1049" s="81">
        <v>45822</v>
      </c>
      <c r="B1049" s="3"/>
      <c r="C1049" s="41"/>
    </row>
    <row r="1050" spans="1:3">
      <c r="A1050" s="81">
        <v>45823</v>
      </c>
      <c r="B1050" s="3"/>
      <c r="C1050" s="41"/>
    </row>
    <row r="1051" spans="1:3">
      <c r="A1051" s="81">
        <v>45824</v>
      </c>
      <c r="B1051" s="3"/>
      <c r="C1051" s="41"/>
    </row>
    <row r="1052" spans="1:3">
      <c r="A1052" s="81">
        <v>45825</v>
      </c>
      <c r="B1052" s="3"/>
      <c r="C1052" s="41"/>
    </row>
    <row r="1053" spans="1:3">
      <c r="A1053" s="81">
        <v>45826</v>
      </c>
      <c r="B1053" s="3"/>
      <c r="C1053" s="41"/>
    </row>
    <row r="1054" spans="1:3">
      <c r="A1054" s="81">
        <v>45827</v>
      </c>
      <c r="B1054" s="3"/>
      <c r="C1054" s="41"/>
    </row>
    <row r="1055" spans="1:3">
      <c r="A1055" s="81">
        <v>45828</v>
      </c>
      <c r="B1055" s="3"/>
      <c r="C1055" s="41"/>
    </row>
    <row r="1056" spans="1:3">
      <c r="A1056" s="81">
        <v>45829</v>
      </c>
      <c r="B1056" s="3"/>
      <c r="C1056" s="41"/>
    </row>
    <row r="1057" spans="1:3">
      <c r="A1057" s="81">
        <v>45830</v>
      </c>
      <c r="B1057" s="3"/>
      <c r="C1057" s="41"/>
    </row>
    <row r="1058" spans="1:3">
      <c r="A1058" s="81">
        <v>45831</v>
      </c>
      <c r="B1058" s="3"/>
      <c r="C1058" s="41"/>
    </row>
    <row r="1059" spans="1:3">
      <c r="A1059" s="81">
        <v>45832</v>
      </c>
      <c r="B1059" s="3"/>
      <c r="C1059" s="41"/>
    </row>
    <row r="1060" spans="1:3">
      <c r="A1060" s="81">
        <v>45833</v>
      </c>
      <c r="B1060" s="3"/>
      <c r="C1060" s="41"/>
    </row>
    <row r="1061" spans="1:3">
      <c r="A1061" s="81">
        <v>45834</v>
      </c>
      <c r="B1061" s="3"/>
      <c r="C1061" s="41"/>
    </row>
    <row r="1062" spans="1:3">
      <c r="A1062" s="81">
        <v>45835</v>
      </c>
      <c r="B1062" s="3"/>
      <c r="C1062" s="41"/>
    </row>
    <row r="1063" spans="1:3">
      <c r="A1063" s="81">
        <v>45836</v>
      </c>
      <c r="B1063" s="3"/>
      <c r="C1063" s="41"/>
    </row>
    <row r="1064" spans="1:3">
      <c r="A1064" s="81">
        <v>45837</v>
      </c>
      <c r="B1064" s="3"/>
      <c r="C1064" s="41"/>
    </row>
    <row r="1065" spans="1:3">
      <c r="A1065" s="81">
        <v>45838</v>
      </c>
      <c r="B1065" s="3"/>
      <c r="C1065" s="41"/>
    </row>
    <row r="1066" spans="1:3">
      <c r="A1066" s="81">
        <v>45839</v>
      </c>
      <c r="B1066" s="3"/>
      <c r="C1066" s="41"/>
    </row>
    <row r="1067" spans="1:3">
      <c r="A1067" s="81">
        <v>45840</v>
      </c>
      <c r="B1067" s="3"/>
      <c r="C1067" s="41"/>
    </row>
    <row r="1068" spans="1:3">
      <c r="A1068" s="81">
        <v>45841</v>
      </c>
      <c r="B1068" s="3"/>
      <c r="C1068" s="41"/>
    </row>
    <row r="1069" spans="1:3">
      <c r="A1069" s="81">
        <v>45842</v>
      </c>
      <c r="B1069" s="3"/>
      <c r="C1069" s="41"/>
    </row>
    <row r="1070" spans="1:3">
      <c r="A1070" s="81">
        <v>45843</v>
      </c>
      <c r="B1070" s="3"/>
      <c r="C1070" s="41"/>
    </row>
    <row r="1071" spans="1:3">
      <c r="A1071" s="81">
        <v>45844</v>
      </c>
      <c r="B1071" s="3"/>
      <c r="C1071" s="41"/>
    </row>
    <row r="1072" spans="1:3">
      <c r="A1072" s="81">
        <v>45845</v>
      </c>
      <c r="B1072" s="3"/>
      <c r="C1072" s="41"/>
    </row>
    <row r="1073" spans="1:3">
      <c r="A1073" s="81">
        <v>45846</v>
      </c>
      <c r="B1073" s="3"/>
      <c r="C1073" s="41"/>
    </row>
    <row r="1074" spans="1:3">
      <c r="A1074" s="81">
        <v>45847</v>
      </c>
      <c r="B1074" s="3"/>
      <c r="C1074" s="41"/>
    </row>
    <row r="1075" spans="1:3">
      <c r="A1075" s="81">
        <v>45848</v>
      </c>
      <c r="B1075" s="3"/>
      <c r="C1075" s="41"/>
    </row>
    <row r="1076" spans="1:3">
      <c r="A1076" s="81">
        <v>45849</v>
      </c>
      <c r="B1076" s="3"/>
      <c r="C1076" s="41"/>
    </row>
    <row r="1077" spans="1:3">
      <c r="A1077" s="81">
        <v>45850</v>
      </c>
      <c r="B1077" s="3"/>
      <c r="C1077" s="41"/>
    </row>
    <row r="1078" spans="1:3">
      <c r="A1078" s="81">
        <v>45851</v>
      </c>
      <c r="B1078" s="3"/>
      <c r="C1078" s="41"/>
    </row>
    <row r="1079" spans="1:3">
      <c r="A1079" s="81">
        <v>45852</v>
      </c>
      <c r="B1079" s="3"/>
      <c r="C1079" s="41"/>
    </row>
    <row r="1080" spans="1:3">
      <c r="A1080" s="81">
        <v>45853</v>
      </c>
      <c r="B1080" s="3"/>
      <c r="C1080" s="41"/>
    </row>
    <row r="1081" spans="1:3">
      <c r="A1081" s="81">
        <v>45854</v>
      </c>
      <c r="B1081" s="3"/>
      <c r="C1081" s="41"/>
    </row>
    <row r="1082" spans="1:3">
      <c r="A1082" s="81">
        <v>45855</v>
      </c>
      <c r="B1082" s="3"/>
      <c r="C1082" s="41"/>
    </row>
    <row r="1083" spans="1:3">
      <c r="A1083" s="81">
        <v>45856</v>
      </c>
      <c r="B1083" s="3"/>
      <c r="C1083" s="41"/>
    </row>
    <row r="1084" spans="1:3">
      <c r="A1084" s="81">
        <v>45857</v>
      </c>
      <c r="B1084" s="3"/>
      <c r="C1084" s="41"/>
    </row>
    <row r="1085" spans="1:3">
      <c r="A1085" s="81">
        <v>45858</v>
      </c>
      <c r="B1085" s="3"/>
      <c r="C1085" s="41"/>
    </row>
    <row r="1086" spans="1:3">
      <c r="A1086" s="81">
        <v>45859</v>
      </c>
      <c r="B1086" s="3"/>
      <c r="C1086" s="41"/>
    </row>
    <row r="1087" spans="1:3">
      <c r="A1087" s="81">
        <v>45860</v>
      </c>
      <c r="B1087" s="3"/>
      <c r="C1087" s="41"/>
    </row>
    <row r="1088" spans="1:3">
      <c r="A1088" s="81">
        <v>45861</v>
      </c>
      <c r="B1088" s="3"/>
      <c r="C1088" s="41"/>
    </row>
    <row r="1089" spans="1:3">
      <c r="A1089" s="81">
        <v>45862</v>
      </c>
      <c r="B1089" s="3"/>
      <c r="C1089" s="41"/>
    </row>
    <row r="1090" spans="1:3">
      <c r="A1090" s="81">
        <v>45863</v>
      </c>
      <c r="B1090" s="3"/>
      <c r="C1090" s="41"/>
    </row>
    <row r="1091" spans="1:3">
      <c r="A1091" s="81">
        <v>45864</v>
      </c>
      <c r="B1091" s="3"/>
      <c r="C1091" s="41"/>
    </row>
    <row r="1092" spans="1:3">
      <c r="A1092" s="81">
        <v>45865</v>
      </c>
      <c r="B1092" s="3"/>
      <c r="C1092" s="41"/>
    </row>
    <row r="1093" spans="1:3">
      <c r="A1093" s="81">
        <v>45866</v>
      </c>
      <c r="B1093" s="3"/>
      <c r="C1093" s="41"/>
    </row>
    <row r="1094" spans="1:3">
      <c r="A1094" s="81">
        <v>45867</v>
      </c>
      <c r="B1094" s="3"/>
      <c r="C1094" s="41"/>
    </row>
    <row r="1095" spans="1:3">
      <c r="A1095" s="81">
        <v>45868</v>
      </c>
      <c r="B1095" s="3"/>
      <c r="C1095" s="41"/>
    </row>
    <row r="1096" spans="1:3">
      <c r="A1096" s="81">
        <v>45869</v>
      </c>
      <c r="B1096" s="3"/>
      <c r="C1096" s="41"/>
    </row>
    <row r="1097" spans="1:3">
      <c r="A1097" s="81">
        <v>45870</v>
      </c>
      <c r="B1097" s="3"/>
      <c r="C1097" s="41"/>
    </row>
    <row r="1098" spans="1:3">
      <c r="A1098" s="81">
        <v>45871</v>
      </c>
      <c r="B1098" s="3"/>
      <c r="C1098" s="41"/>
    </row>
    <row r="1099" spans="1:3">
      <c r="A1099" s="81">
        <v>45872</v>
      </c>
      <c r="B1099" s="3"/>
      <c r="C1099" s="41"/>
    </row>
    <row r="1100" spans="1:3">
      <c r="A1100" s="81">
        <v>45873</v>
      </c>
      <c r="B1100" s="3"/>
      <c r="C1100" s="41"/>
    </row>
    <row r="1101" spans="1:3">
      <c r="A1101" s="81">
        <v>45874</v>
      </c>
      <c r="B1101" s="3"/>
      <c r="C1101" s="41"/>
    </row>
    <row r="1102" spans="1:3">
      <c r="A1102" s="81">
        <v>45875</v>
      </c>
      <c r="B1102" s="3"/>
      <c r="C1102" s="41"/>
    </row>
    <row r="1103" spans="1:3">
      <c r="A1103" s="81">
        <v>45876</v>
      </c>
      <c r="B1103" s="3"/>
      <c r="C1103" s="41"/>
    </row>
    <row r="1104" spans="1:3">
      <c r="A1104" s="81">
        <v>45877</v>
      </c>
      <c r="B1104" s="3"/>
      <c r="C1104" s="41"/>
    </row>
    <row r="1105" spans="1:3">
      <c r="A1105" s="81">
        <v>45878</v>
      </c>
      <c r="B1105" s="3"/>
      <c r="C1105" s="41"/>
    </row>
    <row r="1106" spans="1:3">
      <c r="A1106" s="81">
        <v>45879</v>
      </c>
      <c r="B1106" s="3"/>
      <c r="C1106" s="41"/>
    </row>
    <row r="1107" spans="1:3">
      <c r="A1107" s="81">
        <v>45880</v>
      </c>
      <c r="B1107" s="3"/>
      <c r="C1107" s="41"/>
    </row>
    <row r="1108" spans="1:3">
      <c r="A1108" s="81">
        <v>45881</v>
      </c>
      <c r="B1108" s="3"/>
      <c r="C1108" s="41"/>
    </row>
    <row r="1109" spans="1:3">
      <c r="A1109" s="81">
        <v>45882</v>
      </c>
      <c r="B1109" s="3"/>
      <c r="C1109" s="41"/>
    </row>
    <row r="1110" spans="1:3">
      <c r="A1110" s="81">
        <v>45883</v>
      </c>
      <c r="B1110" s="3"/>
      <c r="C1110" s="41"/>
    </row>
    <row r="1111" spans="1:3">
      <c r="A1111" s="81">
        <v>45884</v>
      </c>
      <c r="B1111" s="3"/>
      <c r="C1111" s="41"/>
    </row>
    <row r="1112" spans="1:3">
      <c r="A1112" s="81">
        <v>45885</v>
      </c>
      <c r="B1112" s="3"/>
      <c r="C1112" s="41"/>
    </row>
    <row r="1113" spans="1:3">
      <c r="A1113" s="81">
        <v>45886</v>
      </c>
      <c r="B1113" s="3"/>
      <c r="C1113" s="41"/>
    </row>
    <row r="1114" spans="1:3">
      <c r="A1114" s="81">
        <v>45887</v>
      </c>
      <c r="B1114" s="3"/>
      <c r="C1114" s="41"/>
    </row>
    <row r="1115" spans="1:3">
      <c r="A1115" s="81">
        <v>45888</v>
      </c>
      <c r="B1115" s="3"/>
      <c r="C1115" s="41"/>
    </row>
    <row r="1116" spans="1:3">
      <c r="A1116" s="81">
        <v>45889</v>
      </c>
      <c r="B1116" s="3"/>
      <c r="C1116" s="41"/>
    </row>
    <row r="1117" spans="1:3">
      <c r="A1117" s="81">
        <v>45890</v>
      </c>
      <c r="B1117" s="3"/>
      <c r="C1117" s="41"/>
    </row>
    <row r="1118" spans="1:3">
      <c r="A1118" s="81">
        <v>45891</v>
      </c>
      <c r="B1118" s="3"/>
      <c r="C1118" s="41"/>
    </row>
    <row r="1119" spans="1:3">
      <c r="A1119" s="81">
        <v>45892</v>
      </c>
      <c r="B1119" s="3"/>
      <c r="C1119" s="41"/>
    </row>
    <row r="1120" spans="1:3">
      <c r="A1120" s="81">
        <v>45893</v>
      </c>
      <c r="B1120" s="3"/>
      <c r="C1120" s="41"/>
    </row>
    <row r="1121" spans="1:3">
      <c r="A1121" s="81">
        <v>45894</v>
      </c>
      <c r="B1121" s="3"/>
      <c r="C1121" s="41"/>
    </row>
    <row r="1122" spans="1:3">
      <c r="A1122" s="81">
        <v>45895</v>
      </c>
      <c r="B1122" s="3"/>
      <c r="C1122" s="41"/>
    </row>
    <row r="1123" spans="1:3">
      <c r="A1123" s="81">
        <v>45896</v>
      </c>
      <c r="B1123" s="3"/>
      <c r="C1123" s="41"/>
    </row>
    <row r="1124" spans="1:3">
      <c r="A1124" s="81">
        <v>45897</v>
      </c>
      <c r="B1124" s="3"/>
      <c r="C1124" s="41"/>
    </row>
    <row r="1125" spans="1:3">
      <c r="A1125" s="81">
        <v>45898</v>
      </c>
      <c r="B1125" s="3"/>
      <c r="C1125" s="41"/>
    </row>
    <row r="1126" spans="1:3">
      <c r="A1126" s="81">
        <v>45899</v>
      </c>
      <c r="B1126" s="3"/>
      <c r="C1126" s="41"/>
    </row>
    <row r="1127" spans="1:3">
      <c r="A1127" s="81">
        <v>45900</v>
      </c>
      <c r="B1127" s="3"/>
      <c r="C1127" s="41"/>
    </row>
    <row r="1128" spans="1:3">
      <c r="A1128" s="81">
        <v>45901</v>
      </c>
      <c r="B1128" s="3"/>
      <c r="C1128" s="41"/>
    </row>
    <row r="1129" spans="1:3">
      <c r="A1129" s="81">
        <v>45902</v>
      </c>
      <c r="B1129" s="3"/>
      <c r="C1129" s="41"/>
    </row>
    <row r="1130" spans="1:3">
      <c r="A1130" s="81">
        <v>45903</v>
      </c>
      <c r="B1130" s="3"/>
      <c r="C1130" s="41"/>
    </row>
    <row r="1131" spans="1:3">
      <c r="A1131" s="81">
        <v>45904</v>
      </c>
      <c r="B1131" s="3"/>
      <c r="C1131" s="41"/>
    </row>
    <row r="1132" spans="1:3">
      <c r="A1132" s="81">
        <v>45905</v>
      </c>
      <c r="B1132" s="3"/>
      <c r="C1132" s="41"/>
    </row>
    <row r="1133" spans="1:3">
      <c r="A1133" s="81">
        <v>45906</v>
      </c>
      <c r="B1133" s="3"/>
      <c r="C1133" s="41"/>
    </row>
    <row r="1134" spans="1:3">
      <c r="A1134" s="81">
        <v>45907</v>
      </c>
      <c r="B1134" s="3"/>
      <c r="C1134" s="41"/>
    </row>
    <row r="1135" spans="1:3">
      <c r="A1135" s="81">
        <v>45908</v>
      </c>
      <c r="B1135" s="3"/>
      <c r="C1135" s="41"/>
    </row>
    <row r="1136" spans="1:3">
      <c r="A1136" s="81">
        <v>45909</v>
      </c>
      <c r="B1136" s="3"/>
      <c r="C1136" s="41"/>
    </row>
    <row r="1137" spans="1:3">
      <c r="A1137" s="81">
        <v>45910</v>
      </c>
      <c r="B1137" s="3"/>
      <c r="C1137" s="41"/>
    </row>
    <row r="1138" spans="1:3">
      <c r="A1138" s="81">
        <v>45911</v>
      </c>
      <c r="B1138" s="3"/>
      <c r="C1138" s="41"/>
    </row>
    <row r="1139" spans="1:3">
      <c r="A1139" s="81">
        <v>45912</v>
      </c>
      <c r="B1139" s="3"/>
      <c r="C1139" s="41"/>
    </row>
    <row r="1140" spans="1:3">
      <c r="A1140" s="81">
        <v>45913</v>
      </c>
      <c r="B1140" s="3"/>
      <c r="C1140" s="41"/>
    </row>
    <row r="1141" spans="1:3">
      <c r="A1141" s="81">
        <v>45914</v>
      </c>
      <c r="B1141" s="3"/>
      <c r="C1141" s="41"/>
    </row>
    <row r="1142" spans="1:3">
      <c r="A1142" s="81">
        <v>45915</v>
      </c>
      <c r="B1142" s="3"/>
      <c r="C1142" s="41"/>
    </row>
    <row r="1143" spans="1:3">
      <c r="A1143" s="81">
        <v>45916</v>
      </c>
      <c r="B1143" s="3"/>
      <c r="C1143" s="41"/>
    </row>
    <row r="1144" spans="1:3">
      <c r="A1144" s="81">
        <v>45917</v>
      </c>
      <c r="B1144" s="3"/>
      <c r="C1144" s="41"/>
    </row>
    <row r="1145" spans="1:3">
      <c r="A1145" s="81">
        <v>45918</v>
      </c>
      <c r="B1145" s="3"/>
      <c r="C1145" s="41"/>
    </row>
    <row r="1146" spans="1:3">
      <c r="A1146" s="81">
        <v>45919</v>
      </c>
      <c r="B1146" s="3"/>
      <c r="C1146" s="41"/>
    </row>
    <row r="1147" spans="1:3">
      <c r="A1147" s="81">
        <v>45920</v>
      </c>
      <c r="B1147" s="3"/>
      <c r="C1147" s="41"/>
    </row>
    <row r="1148" spans="1:3">
      <c r="A1148" s="81">
        <v>45921</v>
      </c>
      <c r="B1148" s="3"/>
      <c r="C1148" s="41"/>
    </row>
    <row r="1149" spans="1:3">
      <c r="A1149" s="81">
        <v>45922</v>
      </c>
      <c r="B1149" s="3"/>
      <c r="C1149" s="41"/>
    </row>
    <row r="1150" spans="1:3">
      <c r="A1150" s="81">
        <v>45923</v>
      </c>
      <c r="B1150" s="3"/>
      <c r="C1150" s="41"/>
    </row>
    <row r="1151" spans="1:3">
      <c r="A1151" s="81">
        <v>45924</v>
      </c>
      <c r="B1151" s="3"/>
      <c r="C1151" s="41"/>
    </row>
    <row r="1152" spans="1:3">
      <c r="A1152" s="81">
        <v>45925</v>
      </c>
      <c r="B1152" s="3"/>
      <c r="C1152" s="41"/>
    </row>
    <row r="1153" spans="1:3">
      <c r="A1153" s="81">
        <v>45926</v>
      </c>
      <c r="B1153" s="3"/>
      <c r="C1153" s="41"/>
    </row>
    <row r="1154" spans="1:3">
      <c r="A1154" s="81">
        <v>45927</v>
      </c>
      <c r="B1154" s="3"/>
      <c r="C1154" s="41"/>
    </row>
    <row r="1155" spans="1:3">
      <c r="A1155" s="81">
        <v>45928</v>
      </c>
      <c r="B1155" s="3"/>
      <c r="C1155" s="41"/>
    </row>
    <row r="1156" spans="1:3">
      <c r="A1156" s="81">
        <v>45929</v>
      </c>
      <c r="B1156" s="3"/>
      <c r="C1156" s="41"/>
    </row>
    <row r="1157" spans="1:3">
      <c r="A1157" s="81">
        <v>45930</v>
      </c>
      <c r="B1157" s="3"/>
      <c r="C1157" s="41"/>
    </row>
    <row r="1158" spans="1:3">
      <c r="A1158" s="81">
        <v>45931</v>
      </c>
      <c r="B1158" s="3"/>
      <c r="C1158" s="41"/>
    </row>
    <row r="1159" spans="1:3">
      <c r="A1159" s="81">
        <v>45932</v>
      </c>
      <c r="B1159" s="3"/>
      <c r="C1159" s="41"/>
    </row>
    <row r="1160" spans="1:3">
      <c r="A1160" s="81">
        <v>45933</v>
      </c>
      <c r="B1160" s="3"/>
      <c r="C1160" s="41"/>
    </row>
    <row r="1161" spans="1:3">
      <c r="A1161" s="81">
        <v>45934</v>
      </c>
      <c r="B1161" s="3"/>
      <c r="C1161" s="41"/>
    </row>
    <row r="1162" spans="1:3">
      <c r="A1162" s="81">
        <v>45935</v>
      </c>
      <c r="B1162" s="3"/>
      <c r="C1162" s="41"/>
    </row>
    <row r="1163" spans="1:3">
      <c r="A1163" s="81">
        <v>45936</v>
      </c>
      <c r="B1163" s="3"/>
      <c r="C1163" s="41"/>
    </row>
    <row r="1164" spans="1:3">
      <c r="A1164" s="81">
        <v>45937</v>
      </c>
      <c r="B1164" s="3"/>
      <c r="C1164" s="41"/>
    </row>
    <row r="1165" spans="1:3">
      <c r="A1165" s="81">
        <v>45938</v>
      </c>
      <c r="B1165" s="3"/>
      <c r="C1165" s="41"/>
    </row>
    <row r="1166" spans="1:3">
      <c r="A1166" s="81">
        <v>45939</v>
      </c>
      <c r="B1166" s="3"/>
      <c r="C1166" s="41"/>
    </row>
    <row r="1167" spans="1:3">
      <c r="A1167" s="81">
        <v>45940</v>
      </c>
      <c r="B1167" s="3"/>
      <c r="C1167" s="41"/>
    </row>
    <row r="1168" spans="1:3">
      <c r="A1168" s="81">
        <v>45941</v>
      </c>
      <c r="B1168" s="3"/>
      <c r="C1168" s="41"/>
    </row>
    <row r="1169" spans="1:3">
      <c r="A1169" s="81">
        <v>45942</v>
      </c>
      <c r="B1169" s="3"/>
      <c r="C1169" s="41"/>
    </row>
    <row r="1170" spans="1:3">
      <c r="A1170" s="81">
        <v>45943</v>
      </c>
      <c r="B1170" s="3"/>
      <c r="C1170" s="41"/>
    </row>
    <row r="1171" spans="1:3">
      <c r="A1171" s="81">
        <v>45944</v>
      </c>
      <c r="B1171" s="3"/>
      <c r="C1171" s="41"/>
    </row>
    <row r="1172" spans="1:3">
      <c r="A1172" s="81">
        <v>45945</v>
      </c>
      <c r="B1172" s="3"/>
      <c r="C1172" s="41"/>
    </row>
    <row r="1173" spans="1:3">
      <c r="A1173" s="81">
        <v>45946</v>
      </c>
      <c r="B1173" s="3"/>
      <c r="C1173" s="41"/>
    </row>
    <row r="1174" spans="1:3">
      <c r="A1174" s="81">
        <v>45947</v>
      </c>
      <c r="B1174" s="3"/>
      <c r="C1174" s="41"/>
    </row>
    <row r="1175" spans="1:3">
      <c r="A1175" s="81">
        <v>45948</v>
      </c>
      <c r="B1175" s="3"/>
      <c r="C1175" s="41"/>
    </row>
    <row r="1176" spans="1:3">
      <c r="A1176" s="81">
        <v>45949</v>
      </c>
      <c r="B1176" s="3"/>
      <c r="C1176" s="41"/>
    </row>
    <row r="1177" spans="1:3">
      <c r="A1177" s="81">
        <v>45950</v>
      </c>
      <c r="B1177" s="3"/>
      <c r="C1177" s="41"/>
    </row>
    <row r="1178" spans="1:3">
      <c r="A1178" s="81">
        <v>45951</v>
      </c>
      <c r="B1178" s="3"/>
      <c r="C1178" s="41"/>
    </row>
    <row r="1179" spans="1:3">
      <c r="A1179" s="81">
        <v>45952</v>
      </c>
      <c r="B1179" s="3"/>
      <c r="C1179" s="41"/>
    </row>
    <row r="1180" spans="1:3">
      <c r="A1180" s="81">
        <v>45953</v>
      </c>
      <c r="B1180" s="3"/>
      <c r="C1180" s="41"/>
    </row>
    <row r="1181" spans="1:3">
      <c r="A1181" s="81">
        <v>45954</v>
      </c>
      <c r="B1181" s="3"/>
      <c r="C1181" s="41"/>
    </row>
    <row r="1182" spans="1:3">
      <c r="A1182" s="81">
        <v>45955</v>
      </c>
      <c r="B1182" s="3"/>
      <c r="C1182" s="41"/>
    </row>
    <row r="1183" spans="1:3">
      <c r="A1183" s="81">
        <v>45956</v>
      </c>
      <c r="B1183" s="3"/>
      <c r="C1183" s="41"/>
    </row>
    <row r="1184" spans="1:3">
      <c r="A1184" s="81">
        <v>45957</v>
      </c>
      <c r="B1184" s="3"/>
      <c r="C1184" s="41"/>
    </row>
    <row r="1185" spans="1:3">
      <c r="A1185" s="81">
        <v>45958</v>
      </c>
      <c r="B1185" s="3"/>
      <c r="C1185" s="41"/>
    </row>
    <row r="1186" spans="1:3">
      <c r="A1186" s="81">
        <v>45959</v>
      </c>
      <c r="B1186" s="3"/>
      <c r="C1186" s="41"/>
    </row>
    <row r="1187" spans="1:3">
      <c r="A1187" s="81">
        <v>45960</v>
      </c>
      <c r="B1187" s="3"/>
      <c r="C1187" s="41"/>
    </row>
    <row r="1188" spans="1:3">
      <c r="A1188" s="81">
        <v>45961</v>
      </c>
      <c r="B1188" s="3"/>
      <c r="C1188" s="41"/>
    </row>
    <row r="1189" spans="1:3">
      <c r="A1189" s="81">
        <v>45962</v>
      </c>
      <c r="B1189" s="3"/>
      <c r="C1189" s="41"/>
    </row>
    <row r="1190" spans="1:3">
      <c r="A1190" s="81">
        <v>45963</v>
      </c>
      <c r="B1190" s="3"/>
      <c r="C1190" s="41"/>
    </row>
    <row r="1191" spans="1:3">
      <c r="A1191" s="81">
        <v>45964</v>
      </c>
      <c r="B1191" s="3"/>
      <c r="C1191" s="41"/>
    </row>
    <row r="1192" spans="1:3">
      <c r="A1192" s="81">
        <v>45965</v>
      </c>
      <c r="B1192" s="3"/>
      <c r="C1192" s="41"/>
    </row>
    <row r="1193" spans="1:3">
      <c r="A1193" s="81">
        <v>45966</v>
      </c>
      <c r="B1193" s="3"/>
      <c r="C1193" s="41"/>
    </row>
    <row r="1194" spans="1:3">
      <c r="A1194" s="81">
        <v>45967</v>
      </c>
      <c r="B1194" s="3"/>
      <c r="C1194" s="41"/>
    </row>
    <row r="1195" spans="1:3">
      <c r="A1195" s="81">
        <v>45968</v>
      </c>
      <c r="B1195" s="3"/>
      <c r="C1195" s="41"/>
    </row>
    <row r="1196" spans="1:3">
      <c r="A1196" s="81">
        <v>45969</v>
      </c>
      <c r="B1196" s="3"/>
      <c r="C1196" s="41"/>
    </row>
    <row r="1197" spans="1:3">
      <c r="A1197" s="81">
        <v>45970</v>
      </c>
      <c r="B1197" s="3"/>
      <c r="C1197" s="41"/>
    </row>
    <row r="1198" spans="1:3">
      <c r="A1198" s="81">
        <v>45971</v>
      </c>
      <c r="B1198" s="3"/>
      <c r="C1198" s="41"/>
    </row>
    <row r="1199" spans="1:3">
      <c r="A1199" s="81">
        <v>45972</v>
      </c>
      <c r="B1199" s="3"/>
      <c r="C1199" s="41"/>
    </row>
    <row r="1200" spans="1:3">
      <c r="A1200" s="81">
        <v>45973</v>
      </c>
      <c r="B1200" s="3"/>
      <c r="C1200" s="41"/>
    </row>
    <row r="1201" spans="1:3">
      <c r="A1201" s="81">
        <v>45974</v>
      </c>
      <c r="B1201" s="3"/>
      <c r="C1201" s="41"/>
    </row>
    <row r="1202" spans="1:3">
      <c r="A1202" s="81">
        <v>45975</v>
      </c>
      <c r="B1202" s="3"/>
      <c r="C1202" s="41"/>
    </row>
    <row r="1203" spans="1:3">
      <c r="A1203" s="81">
        <v>45976</v>
      </c>
      <c r="B1203" s="3"/>
      <c r="C1203" s="41"/>
    </row>
    <row r="1204" spans="1:3">
      <c r="A1204" s="81">
        <v>45977</v>
      </c>
      <c r="B1204" s="3"/>
      <c r="C1204" s="41"/>
    </row>
    <row r="1205" spans="1:3">
      <c r="A1205" s="81">
        <v>45978</v>
      </c>
      <c r="B1205" s="3"/>
      <c r="C1205" s="41"/>
    </row>
    <row r="1206" spans="1:3">
      <c r="A1206" s="81">
        <v>45979</v>
      </c>
      <c r="B1206" s="3"/>
      <c r="C1206" s="41"/>
    </row>
    <row r="1207" spans="1:3">
      <c r="A1207" s="81">
        <v>45980</v>
      </c>
      <c r="B1207" s="3"/>
      <c r="C1207" s="41"/>
    </row>
    <row r="1208" spans="1:3">
      <c r="A1208" s="81">
        <v>45981</v>
      </c>
      <c r="B1208" s="3"/>
      <c r="C1208" s="41"/>
    </row>
    <row r="1209" spans="1:3">
      <c r="A1209" s="81">
        <v>45982</v>
      </c>
      <c r="B1209" s="3"/>
      <c r="C1209" s="41"/>
    </row>
    <row r="1210" spans="1:3">
      <c r="A1210" s="81">
        <v>45983</v>
      </c>
      <c r="B1210" s="3"/>
      <c r="C1210" s="41"/>
    </row>
    <row r="1211" spans="1:3">
      <c r="A1211" s="81">
        <v>45984</v>
      </c>
      <c r="B1211" s="3"/>
      <c r="C1211" s="41"/>
    </row>
    <row r="1212" spans="1:3">
      <c r="A1212" s="81">
        <v>45985</v>
      </c>
      <c r="B1212" s="3"/>
      <c r="C1212" s="41"/>
    </row>
    <row r="1213" spans="1:3">
      <c r="A1213" s="81">
        <v>45986</v>
      </c>
      <c r="B1213" s="3"/>
      <c r="C1213" s="41"/>
    </row>
    <row r="1214" spans="1:3">
      <c r="A1214" s="81">
        <v>45987</v>
      </c>
      <c r="B1214" s="3"/>
      <c r="C1214" s="41"/>
    </row>
    <row r="1215" spans="1:3">
      <c r="A1215" s="81">
        <v>45988</v>
      </c>
      <c r="B1215" s="3"/>
      <c r="C1215" s="41"/>
    </row>
    <row r="1216" spans="1:3">
      <c r="A1216" s="81">
        <v>45989</v>
      </c>
      <c r="B1216" s="3"/>
      <c r="C1216" s="41"/>
    </row>
    <row r="1217" spans="1:3">
      <c r="A1217" s="81">
        <v>45990</v>
      </c>
      <c r="B1217" s="3"/>
      <c r="C1217" s="41"/>
    </row>
    <row r="1218" spans="1:3">
      <c r="A1218" s="81">
        <v>45991</v>
      </c>
      <c r="B1218" s="3"/>
      <c r="C1218" s="41"/>
    </row>
    <row r="1219" spans="1:3">
      <c r="A1219" s="81">
        <v>45992</v>
      </c>
      <c r="B1219" s="3"/>
      <c r="C1219" s="41"/>
    </row>
    <row r="1220" spans="1:3">
      <c r="A1220" s="81">
        <v>45993</v>
      </c>
      <c r="B1220" s="3"/>
      <c r="C1220" s="41"/>
    </row>
    <row r="1221" spans="1:3">
      <c r="A1221" s="81">
        <v>45994</v>
      </c>
      <c r="B1221" s="3"/>
      <c r="C1221" s="41"/>
    </row>
    <row r="1222" spans="1:3">
      <c r="A1222" s="81">
        <v>45995</v>
      </c>
      <c r="B1222" s="3"/>
      <c r="C1222" s="41"/>
    </row>
    <row r="1223" spans="1:3">
      <c r="A1223" s="81">
        <v>45996</v>
      </c>
      <c r="B1223" s="3"/>
      <c r="C1223" s="41"/>
    </row>
    <row r="1224" spans="1:3">
      <c r="A1224" s="81">
        <v>45997</v>
      </c>
      <c r="B1224" s="3"/>
      <c r="C1224" s="41"/>
    </row>
    <row r="1225" spans="1:3">
      <c r="A1225" s="81">
        <v>45998</v>
      </c>
      <c r="B1225" s="3"/>
      <c r="C1225" s="41"/>
    </row>
    <row r="1226" spans="1:3">
      <c r="A1226" s="81">
        <v>45999</v>
      </c>
      <c r="B1226" s="3"/>
      <c r="C1226" s="41"/>
    </row>
    <row r="1227" spans="1:3">
      <c r="A1227" s="81">
        <v>46000</v>
      </c>
      <c r="B1227" s="3"/>
      <c r="C1227" s="41"/>
    </row>
    <row r="1228" spans="1:3">
      <c r="A1228" s="81">
        <v>46001</v>
      </c>
      <c r="B1228" s="3"/>
      <c r="C1228" s="41"/>
    </row>
    <row r="1229" spans="1:3">
      <c r="A1229" s="81">
        <v>46002</v>
      </c>
      <c r="B1229" s="3"/>
      <c r="C1229" s="41"/>
    </row>
    <row r="1230" spans="1:3">
      <c r="A1230" s="81">
        <v>46003</v>
      </c>
      <c r="B1230" s="3"/>
      <c r="C1230" s="41"/>
    </row>
    <row r="1231" spans="1:3">
      <c r="A1231" s="81">
        <v>46004</v>
      </c>
      <c r="B1231" s="3"/>
      <c r="C1231" s="41"/>
    </row>
    <row r="1232" spans="1:3">
      <c r="A1232" s="81">
        <v>46005</v>
      </c>
      <c r="B1232" s="3"/>
      <c r="C1232" s="41"/>
    </row>
    <row r="1233" spans="1:3">
      <c r="A1233" s="81">
        <v>46006</v>
      </c>
      <c r="B1233" s="3"/>
      <c r="C1233" s="41"/>
    </row>
    <row r="1234" spans="1:3">
      <c r="A1234" s="81">
        <v>46007</v>
      </c>
      <c r="B1234" s="3"/>
      <c r="C1234" s="41"/>
    </row>
    <row r="1235" spans="1:3">
      <c r="A1235" s="81">
        <v>46008</v>
      </c>
      <c r="B1235" s="3"/>
      <c r="C1235" s="41"/>
    </row>
    <row r="1236" spans="1:3">
      <c r="A1236" s="81">
        <v>46009</v>
      </c>
      <c r="B1236" s="3"/>
      <c r="C1236" s="41"/>
    </row>
    <row r="1237" spans="1:3">
      <c r="A1237" s="81">
        <v>46010</v>
      </c>
      <c r="B1237" s="3"/>
      <c r="C1237" s="41"/>
    </row>
    <row r="1238" spans="1:3">
      <c r="A1238" s="81">
        <v>46011</v>
      </c>
      <c r="B1238" s="3"/>
      <c r="C1238" s="41"/>
    </row>
    <row r="1239" spans="1:3">
      <c r="A1239" s="81">
        <v>46012</v>
      </c>
      <c r="B1239" s="3"/>
      <c r="C1239" s="41"/>
    </row>
    <row r="1240" spans="1:3">
      <c r="A1240" s="81">
        <v>46013</v>
      </c>
      <c r="B1240" s="3"/>
      <c r="C1240" s="41"/>
    </row>
    <row r="1241" spans="1:3">
      <c r="A1241" s="81">
        <v>46014</v>
      </c>
      <c r="B1241" s="3"/>
      <c r="C1241" s="41"/>
    </row>
    <row r="1242" spans="1:3">
      <c r="A1242" s="81">
        <v>46015</v>
      </c>
      <c r="B1242" s="3"/>
      <c r="C1242" s="41"/>
    </row>
    <row r="1243" spans="1:3">
      <c r="A1243" s="81">
        <v>46016</v>
      </c>
      <c r="B1243" s="3"/>
      <c r="C1243" s="41"/>
    </row>
    <row r="1244" spans="1:3">
      <c r="A1244" s="81">
        <v>46017</v>
      </c>
      <c r="B1244" s="3"/>
      <c r="C1244" s="41"/>
    </row>
    <row r="1245" spans="1:3">
      <c r="A1245" s="81">
        <v>46018</v>
      </c>
      <c r="B1245" s="3"/>
      <c r="C1245" s="41"/>
    </row>
    <row r="1246" spans="1:3">
      <c r="A1246" s="81">
        <v>46019</v>
      </c>
      <c r="B1246" s="3"/>
      <c r="C1246" s="41"/>
    </row>
    <row r="1247" spans="1:3">
      <c r="A1247" s="81">
        <v>46020</v>
      </c>
      <c r="B1247" s="3"/>
      <c r="C1247" s="41"/>
    </row>
    <row r="1248" spans="1:3">
      <c r="A1248" s="81">
        <v>46021</v>
      </c>
      <c r="B1248" s="3"/>
      <c r="C1248" s="41"/>
    </row>
    <row r="1249" spans="1:3">
      <c r="A1249" s="81">
        <v>46022</v>
      </c>
      <c r="B1249" s="3"/>
      <c r="C1249" s="41"/>
    </row>
    <row r="1250" spans="1:3">
      <c r="A1250" s="81">
        <v>46023</v>
      </c>
      <c r="B1250" s="3"/>
      <c r="C1250" s="41"/>
    </row>
    <row r="1251" spans="1:3">
      <c r="A1251" s="81">
        <v>46024</v>
      </c>
      <c r="B1251" s="3"/>
      <c r="C1251" s="41"/>
    </row>
    <row r="1252" spans="1:3">
      <c r="A1252" s="81">
        <v>46025</v>
      </c>
      <c r="B1252" s="3"/>
      <c r="C1252" s="41"/>
    </row>
    <row r="1253" spans="1:3">
      <c r="A1253" s="81">
        <v>46026</v>
      </c>
      <c r="B1253" s="3"/>
      <c r="C1253" s="41"/>
    </row>
    <row r="1254" spans="1:3">
      <c r="A1254" s="81">
        <v>46027</v>
      </c>
      <c r="B1254" s="3"/>
      <c r="C1254" s="41"/>
    </row>
    <row r="1255" spans="1:3">
      <c r="A1255" s="81">
        <v>46028</v>
      </c>
      <c r="B1255" s="3"/>
      <c r="C1255" s="41"/>
    </row>
    <row r="1256" spans="1:3">
      <c r="A1256" s="81">
        <v>46029</v>
      </c>
      <c r="B1256" s="3"/>
      <c r="C1256" s="41"/>
    </row>
    <row r="1257" spans="1:3">
      <c r="A1257" s="81">
        <v>46030</v>
      </c>
      <c r="B1257" s="3"/>
      <c r="C1257" s="41"/>
    </row>
    <row r="1258" spans="1:3">
      <c r="A1258" s="81">
        <v>46031</v>
      </c>
      <c r="B1258" s="3"/>
      <c r="C1258" s="41"/>
    </row>
    <row r="1259" spans="1:3">
      <c r="A1259" s="81">
        <v>46032</v>
      </c>
      <c r="B1259" s="3"/>
      <c r="C1259" s="41"/>
    </row>
    <row r="1260" spans="1:3">
      <c r="A1260" s="81">
        <v>46033</v>
      </c>
      <c r="B1260" s="3"/>
      <c r="C1260" s="41"/>
    </row>
    <row r="1261" spans="1:3">
      <c r="A1261" s="81">
        <v>46034</v>
      </c>
      <c r="B1261" s="3"/>
      <c r="C1261" s="41"/>
    </row>
    <row r="1262" spans="1:3">
      <c r="A1262" s="81">
        <v>46035</v>
      </c>
      <c r="B1262" s="3"/>
      <c r="C1262" s="41"/>
    </row>
    <row r="1263" spans="1:3">
      <c r="A1263" s="81">
        <v>46036</v>
      </c>
      <c r="B1263" s="3"/>
      <c r="C1263" s="41"/>
    </row>
    <row r="1264" spans="1:3">
      <c r="A1264" s="81">
        <v>46037</v>
      </c>
      <c r="B1264" s="3"/>
      <c r="C1264" s="41"/>
    </row>
    <row r="1265" spans="1:3">
      <c r="A1265" s="81">
        <v>46038</v>
      </c>
      <c r="B1265" s="3"/>
      <c r="C1265" s="41"/>
    </row>
    <row r="1266" spans="1:3">
      <c r="A1266" s="81">
        <v>46039</v>
      </c>
      <c r="B1266" s="3"/>
      <c r="C1266" s="41"/>
    </row>
    <row r="1267" spans="1:3">
      <c r="A1267" s="81">
        <v>46040</v>
      </c>
      <c r="B1267" s="3"/>
      <c r="C1267" s="41"/>
    </row>
    <row r="1268" spans="1:3">
      <c r="A1268" s="81">
        <v>46041</v>
      </c>
      <c r="B1268" s="3"/>
      <c r="C1268" s="41"/>
    </row>
    <row r="1269" spans="1:3">
      <c r="A1269" s="81">
        <v>46042</v>
      </c>
      <c r="B1269" s="3"/>
      <c r="C1269" s="41"/>
    </row>
    <row r="1270" spans="1:3">
      <c r="A1270" s="81">
        <v>46043</v>
      </c>
      <c r="B1270" s="3"/>
      <c r="C1270" s="41"/>
    </row>
    <row r="1271" spans="1:3">
      <c r="A1271" s="81">
        <v>46044</v>
      </c>
      <c r="B1271" s="3"/>
      <c r="C1271" s="41"/>
    </row>
    <row r="1272" spans="1:3">
      <c r="A1272" s="81">
        <v>46045</v>
      </c>
      <c r="B1272" s="3"/>
      <c r="C1272" s="41"/>
    </row>
    <row r="1273" spans="1:3">
      <c r="A1273" s="81">
        <v>46046</v>
      </c>
      <c r="B1273" s="3"/>
      <c r="C1273" s="41"/>
    </row>
    <row r="1274" spans="1:3">
      <c r="A1274" s="81">
        <v>46047</v>
      </c>
      <c r="B1274" s="3"/>
      <c r="C1274" s="41"/>
    </row>
    <row r="1275" spans="1:3">
      <c r="A1275" s="81">
        <v>46048</v>
      </c>
      <c r="B1275" s="3"/>
      <c r="C1275" s="41"/>
    </row>
    <row r="1276" spans="1:3">
      <c r="A1276" s="81">
        <v>46049</v>
      </c>
      <c r="B1276" s="3"/>
      <c r="C1276" s="41"/>
    </row>
    <row r="1277" spans="1:3">
      <c r="A1277" s="81">
        <v>46050</v>
      </c>
      <c r="B1277" s="3"/>
      <c r="C1277" s="41"/>
    </row>
    <row r="1278" spans="1:3">
      <c r="A1278" s="81">
        <v>46051</v>
      </c>
      <c r="B1278" s="3"/>
      <c r="C1278" s="41"/>
    </row>
    <row r="1279" spans="1:3">
      <c r="A1279" s="81">
        <v>46052</v>
      </c>
      <c r="B1279" s="3"/>
      <c r="C1279" s="41"/>
    </row>
    <row r="1280" spans="1:3">
      <c r="A1280" s="81">
        <v>46053</v>
      </c>
      <c r="B1280" s="3"/>
      <c r="C1280" s="41"/>
    </row>
    <row r="1281" spans="1:3">
      <c r="A1281" s="81">
        <v>46054</v>
      </c>
      <c r="B1281" s="3"/>
      <c r="C1281" s="41"/>
    </row>
    <row r="1282" spans="1:3">
      <c r="A1282" s="81">
        <v>46055</v>
      </c>
      <c r="B1282" s="3"/>
      <c r="C1282" s="41"/>
    </row>
    <row r="1283" spans="1:3">
      <c r="A1283" s="81">
        <v>46056</v>
      </c>
      <c r="B1283" s="3"/>
      <c r="C1283" s="41"/>
    </row>
    <row r="1284" spans="1:3">
      <c r="A1284" s="81">
        <v>46057</v>
      </c>
      <c r="B1284" s="3"/>
      <c r="C1284" s="41"/>
    </row>
    <row r="1285" spans="1:3">
      <c r="A1285" s="81">
        <v>46058</v>
      </c>
      <c r="B1285" s="3"/>
      <c r="C1285" s="41"/>
    </row>
    <row r="1286" spans="1:3">
      <c r="A1286" s="81">
        <v>46059</v>
      </c>
      <c r="B1286" s="3"/>
      <c r="C1286" s="41"/>
    </row>
    <row r="1287" spans="1:3">
      <c r="A1287" s="81">
        <v>46060</v>
      </c>
      <c r="B1287" s="3"/>
      <c r="C1287" s="41"/>
    </row>
    <row r="1288" spans="1:3">
      <c r="A1288" s="81">
        <v>46061</v>
      </c>
      <c r="B1288" s="3"/>
      <c r="C1288" s="41"/>
    </row>
    <row r="1289" spans="1:3">
      <c r="A1289" s="81">
        <v>46062</v>
      </c>
      <c r="B1289" s="3"/>
      <c r="C1289" s="41"/>
    </row>
    <row r="1290" spans="1:3">
      <c r="A1290" s="81">
        <v>46063</v>
      </c>
      <c r="B1290" s="3"/>
      <c r="C1290" s="41"/>
    </row>
    <row r="1291" spans="1:3">
      <c r="A1291" s="81">
        <v>46064</v>
      </c>
      <c r="B1291" s="3"/>
      <c r="C1291" s="41"/>
    </row>
    <row r="1292" spans="1:3">
      <c r="A1292" s="81">
        <v>46065</v>
      </c>
      <c r="B1292" s="3"/>
      <c r="C1292" s="41"/>
    </row>
    <row r="1293" spans="1:3">
      <c r="A1293" s="81">
        <v>46066</v>
      </c>
      <c r="B1293" s="3"/>
      <c r="C1293" s="41"/>
    </row>
    <row r="1294" spans="1:3">
      <c r="A1294" s="81">
        <v>46067</v>
      </c>
      <c r="B1294" s="3"/>
      <c r="C1294" s="41"/>
    </row>
    <row r="1295" spans="1:3">
      <c r="A1295" s="81">
        <v>46068</v>
      </c>
      <c r="B1295" s="3"/>
      <c r="C1295" s="41"/>
    </row>
    <row r="1296" spans="1:3">
      <c r="A1296" s="81">
        <v>46069</v>
      </c>
      <c r="B1296" s="3"/>
      <c r="C1296" s="41"/>
    </row>
    <row r="1297" spans="1:3">
      <c r="A1297" s="81">
        <v>46070</v>
      </c>
      <c r="B1297" s="3"/>
      <c r="C1297" s="41"/>
    </row>
    <row r="1298" spans="1:3">
      <c r="A1298" s="81">
        <v>46071</v>
      </c>
      <c r="B1298" s="3"/>
      <c r="C1298" s="41"/>
    </row>
    <row r="1299" spans="1:3">
      <c r="A1299" s="81">
        <v>46072</v>
      </c>
      <c r="B1299" s="3"/>
      <c r="C1299" s="41"/>
    </row>
    <row r="1300" spans="1:3">
      <c r="A1300" s="81">
        <v>46073</v>
      </c>
      <c r="B1300" s="3"/>
      <c r="C1300" s="41"/>
    </row>
    <row r="1301" spans="1:3">
      <c r="A1301" s="81">
        <v>46074</v>
      </c>
      <c r="B1301" s="3"/>
      <c r="C1301" s="41"/>
    </row>
    <row r="1302" spans="1:3">
      <c r="A1302" s="81">
        <v>46075</v>
      </c>
      <c r="B1302" s="3"/>
      <c r="C1302" s="41"/>
    </row>
    <row r="1303" spans="1:3">
      <c r="A1303" s="81">
        <v>46076</v>
      </c>
      <c r="B1303" s="3"/>
      <c r="C1303" s="41"/>
    </row>
    <row r="1304" spans="1:3">
      <c r="A1304" s="81">
        <v>46077</v>
      </c>
      <c r="B1304" s="3"/>
      <c r="C1304" s="41"/>
    </row>
    <row r="1305" spans="1:3">
      <c r="A1305" s="81">
        <v>46078</v>
      </c>
      <c r="B1305" s="3"/>
      <c r="C1305" s="41"/>
    </row>
    <row r="1306" spans="1:3">
      <c r="A1306" s="81">
        <v>46079</v>
      </c>
      <c r="B1306" s="3"/>
      <c r="C1306" s="41"/>
    </row>
    <row r="1307" spans="1:3">
      <c r="A1307" s="81">
        <v>46080</v>
      </c>
      <c r="B1307" s="3"/>
      <c r="C1307" s="41"/>
    </row>
    <row r="1308" spans="1:3">
      <c r="A1308" s="81">
        <v>46081</v>
      </c>
      <c r="B1308" s="3"/>
      <c r="C1308" s="41"/>
    </row>
    <row r="1309" spans="1:3">
      <c r="A1309" s="81">
        <v>46082</v>
      </c>
      <c r="B1309" s="3"/>
      <c r="C1309" s="41"/>
    </row>
    <row r="1310" spans="1:3">
      <c r="A1310" s="81">
        <v>46083</v>
      </c>
      <c r="B1310" s="3"/>
      <c r="C1310" s="41"/>
    </row>
    <row r="1311" spans="1:3">
      <c r="A1311" s="81">
        <v>46084</v>
      </c>
      <c r="B1311" s="3"/>
      <c r="C1311" s="41"/>
    </row>
    <row r="1312" spans="1:3">
      <c r="A1312" s="81">
        <v>46085</v>
      </c>
      <c r="B1312" s="3"/>
      <c r="C1312" s="41"/>
    </row>
    <row r="1313" spans="1:3">
      <c r="A1313" s="81">
        <v>46086</v>
      </c>
      <c r="B1313" s="3"/>
      <c r="C1313" s="41"/>
    </row>
    <row r="1314" spans="1:3">
      <c r="A1314" s="81">
        <v>46087</v>
      </c>
      <c r="B1314" s="3"/>
      <c r="C1314" s="41"/>
    </row>
    <row r="1315" spans="1:3">
      <c r="A1315" s="81">
        <v>46088</v>
      </c>
      <c r="B1315" s="3"/>
      <c r="C1315" s="41"/>
    </row>
    <row r="1316" spans="1:3">
      <c r="A1316" s="81">
        <v>46089</v>
      </c>
      <c r="B1316" s="3"/>
      <c r="C1316" s="41"/>
    </row>
    <row r="1317" spans="1:3">
      <c r="A1317" s="81">
        <v>46090</v>
      </c>
      <c r="B1317" s="3"/>
      <c r="C1317" s="41"/>
    </row>
    <row r="1318" spans="1:3">
      <c r="A1318" s="81">
        <v>46091</v>
      </c>
      <c r="B1318" s="3"/>
      <c r="C1318" s="41"/>
    </row>
    <row r="1319" spans="1:3">
      <c r="A1319" s="81">
        <v>46092</v>
      </c>
      <c r="B1319" s="3"/>
      <c r="C1319" s="41"/>
    </row>
    <row r="1320" spans="1:3">
      <c r="A1320" s="81">
        <v>46093</v>
      </c>
      <c r="B1320" s="3"/>
      <c r="C1320" s="41"/>
    </row>
    <row r="1321" spans="1:3">
      <c r="A1321" s="81">
        <v>46094</v>
      </c>
      <c r="B1321" s="3"/>
      <c r="C1321" s="41"/>
    </row>
    <row r="1322" spans="1:3">
      <c r="A1322" s="81">
        <v>46095</v>
      </c>
      <c r="B1322" s="3"/>
      <c r="C1322" s="41"/>
    </row>
    <row r="1323" spans="1:3">
      <c r="A1323" s="81">
        <v>46096</v>
      </c>
      <c r="B1323" s="3"/>
      <c r="C1323" s="41"/>
    </row>
    <row r="1324" spans="1:3">
      <c r="A1324" s="81">
        <v>46097</v>
      </c>
      <c r="B1324" s="3"/>
      <c r="C1324" s="41"/>
    </row>
    <row r="1325" spans="1:3">
      <c r="A1325" s="81">
        <v>46098</v>
      </c>
      <c r="B1325" s="3"/>
      <c r="C1325" s="41"/>
    </row>
    <row r="1326" spans="1:3">
      <c r="A1326" s="81">
        <v>46099</v>
      </c>
      <c r="B1326" s="3"/>
      <c r="C1326" s="41"/>
    </row>
    <row r="1327" spans="1:3">
      <c r="A1327" s="81">
        <v>46100</v>
      </c>
      <c r="B1327" s="3"/>
      <c r="C1327" s="41"/>
    </row>
    <row r="1328" spans="1:3">
      <c r="A1328" s="81">
        <v>46101</v>
      </c>
      <c r="B1328" s="3"/>
      <c r="C1328" s="41"/>
    </row>
    <row r="1329" spans="1:3">
      <c r="A1329" s="81">
        <v>46102</v>
      </c>
      <c r="B1329" s="3"/>
      <c r="C1329" s="41"/>
    </row>
    <row r="1330" spans="1:3">
      <c r="A1330" s="81">
        <v>46103</v>
      </c>
      <c r="B1330" s="3"/>
      <c r="C1330" s="41"/>
    </row>
    <row r="1331" spans="1:3">
      <c r="A1331" s="81">
        <v>46104</v>
      </c>
      <c r="B1331" s="3"/>
      <c r="C1331" s="41"/>
    </row>
    <row r="1332" spans="1:3">
      <c r="A1332" s="81">
        <v>46105</v>
      </c>
      <c r="B1332" s="3"/>
      <c r="C1332" s="41"/>
    </row>
    <row r="1333" spans="1:3">
      <c r="A1333" s="81">
        <v>46106</v>
      </c>
      <c r="B1333" s="3"/>
      <c r="C1333" s="41"/>
    </row>
    <row r="1334" spans="1:3">
      <c r="A1334" s="81">
        <v>46107</v>
      </c>
      <c r="B1334" s="3"/>
      <c r="C1334" s="41"/>
    </row>
    <row r="1335" spans="1:3">
      <c r="A1335" s="81">
        <v>46108</v>
      </c>
      <c r="B1335" s="3"/>
      <c r="C1335" s="41"/>
    </row>
    <row r="1336" spans="1:3">
      <c r="A1336" s="81">
        <v>46109</v>
      </c>
      <c r="B1336" s="3"/>
      <c r="C1336" s="41"/>
    </row>
    <row r="1337" spans="1:3">
      <c r="A1337" s="81">
        <v>46110</v>
      </c>
      <c r="B1337" s="3"/>
      <c r="C1337" s="41"/>
    </row>
    <row r="1338" spans="1:3">
      <c r="A1338" s="81">
        <v>46111</v>
      </c>
      <c r="B1338" s="3"/>
      <c r="C1338" s="41"/>
    </row>
    <row r="1339" spans="1:3">
      <c r="A1339" s="81">
        <v>46112</v>
      </c>
      <c r="B1339" s="3"/>
      <c r="C1339" s="41"/>
    </row>
    <row r="1340" spans="1:3">
      <c r="A1340" s="81">
        <v>46113</v>
      </c>
      <c r="B1340" s="3"/>
      <c r="C1340" s="41"/>
    </row>
    <row r="1341" spans="1:3">
      <c r="A1341" s="81">
        <v>46114</v>
      </c>
      <c r="B1341" s="3"/>
      <c r="C1341" s="41"/>
    </row>
    <row r="1342" spans="1:3">
      <c r="A1342" s="81">
        <v>46115</v>
      </c>
      <c r="B1342" s="3"/>
      <c r="C1342" s="41"/>
    </row>
    <row r="1343" spans="1:3">
      <c r="A1343" s="81">
        <v>46116</v>
      </c>
      <c r="B1343" s="3"/>
      <c r="C1343" s="41"/>
    </row>
    <row r="1344" spans="1:3">
      <c r="A1344" s="81">
        <v>46117</v>
      </c>
      <c r="B1344" s="3"/>
      <c r="C1344" s="41"/>
    </row>
    <row r="1345" spans="1:3">
      <c r="A1345" s="81">
        <v>46118</v>
      </c>
      <c r="B1345" s="3"/>
      <c r="C1345" s="41"/>
    </row>
    <row r="1346" spans="1:3">
      <c r="A1346" s="81">
        <v>46119</v>
      </c>
      <c r="B1346" s="3"/>
      <c r="C1346" s="41"/>
    </row>
    <row r="1347" spans="1:3">
      <c r="A1347" s="81">
        <v>46120</v>
      </c>
      <c r="B1347" s="3"/>
      <c r="C1347" s="41"/>
    </row>
    <row r="1348" spans="1:3">
      <c r="A1348" s="81">
        <v>46121</v>
      </c>
      <c r="B1348" s="3"/>
      <c r="C1348" s="41"/>
    </row>
    <row r="1349" spans="1:3">
      <c r="A1349" s="81">
        <v>46122</v>
      </c>
      <c r="B1349" s="3"/>
      <c r="C1349" s="41"/>
    </row>
    <row r="1350" spans="1:3">
      <c r="A1350" s="81">
        <v>46123</v>
      </c>
      <c r="B1350" s="3"/>
      <c r="C1350" s="41"/>
    </row>
    <row r="1351" spans="1:3">
      <c r="A1351" s="81">
        <v>46124</v>
      </c>
      <c r="B1351" s="3"/>
      <c r="C1351" s="41"/>
    </row>
    <row r="1352" spans="1:3">
      <c r="A1352" s="81">
        <v>46125</v>
      </c>
      <c r="B1352" s="3"/>
      <c r="C1352" s="41"/>
    </row>
    <row r="1353" spans="1:3">
      <c r="A1353" s="81">
        <v>46126</v>
      </c>
      <c r="B1353" s="3"/>
      <c r="C1353" s="41"/>
    </row>
    <row r="1354" spans="1:3">
      <c r="A1354" s="81">
        <v>46127</v>
      </c>
      <c r="B1354" s="3"/>
      <c r="C1354" s="41"/>
    </row>
    <row r="1355" spans="1:3">
      <c r="A1355" s="81">
        <v>46128</v>
      </c>
      <c r="B1355" s="3"/>
      <c r="C1355" s="41"/>
    </row>
    <row r="1356" spans="1:3">
      <c r="A1356" s="81">
        <v>46129</v>
      </c>
      <c r="B1356" s="3"/>
      <c r="C1356" s="41"/>
    </row>
    <row r="1357" spans="1:3">
      <c r="A1357" s="81">
        <v>46130</v>
      </c>
      <c r="B1357" s="3"/>
      <c r="C1357" s="41"/>
    </row>
    <row r="1358" spans="1:3">
      <c r="A1358" s="81">
        <v>46131</v>
      </c>
      <c r="B1358" s="3"/>
      <c r="C1358" s="41"/>
    </row>
    <row r="1359" spans="1:3">
      <c r="A1359" s="81">
        <v>46132</v>
      </c>
      <c r="B1359" s="3"/>
      <c r="C1359" s="41"/>
    </row>
    <row r="1360" spans="1:3">
      <c r="A1360" s="81">
        <v>46133</v>
      </c>
      <c r="B1360" s="3"/>
      <c r="C1360" s="41"/>
    </row>
    <row r="1361" spans="1:3">
      <c r="A1361" s="81">
        <v>46134</v>
      </c>
      <c r="B1361" s="3"/>
      <c r="C1361" s="41"/>
    </row>
    <row r="1362" spans="1:3">
      <c r="A1362" s="81">
        <v>46135</v>
      </c>
      <c r="B1362" s="3"/>
      <c r="C1362" s="41"/>
    </row>
    <row r="1363" spans="1:3">
      <c r="A1363" s="81">
        <v>46136</v>
      </c>
      <c r="B1363" s="3"/>
      <c r="C1363" s="41"/>
    </row>
    <row r="1364" spans="1:3">
      <c r="A1364" s="81">
        <v>46137</v>
      </c>
      <c r="B1364" s="3"/>
      <c r="C1364" s="41"/>
    </row>
    <row r="1365" spans="1:3">
      <c r="A1365" s="81">
        <v>46138</v>
      </c>
      <c r="B1365" s="3"/>
      <c r="C1365" s="41"/>
    </row>
    <row r="1366" spans="1:3">
      <c r="A1366" s="81">
        <v>46139</v>
      </c>
      <c r="B1366" s="3"/>
      <c r="C1366" s="41"/>
    </row>
    <row r="1367" spans="1:3">
      <c r="A1367" s="81">
        <v>46140</v>
      </c>
      <c r="B1367" s="3"/>
      <c r="C1367" s="41"/>
    </row>
    <row r="1368" spans="1:3">
      <c r="A1368" s="81">
        <v>46141</v>
      </c>
      <c r="B1368" s="3"/>
      <c r="C1368" s="41"/>
    </row>
    <row r="1369" spans="1:3">
      <c r="A1369" s="81">
        <v>46142</v>
      </c>
      <c r="B1369" s="3"/>
      <c r="C1369" s="41"/>
    </row>
    <row r="1370" spans="1:3">
      <c r="A1370" s="81">
        <v>46143</v>
      </c>
      <c r="B1370" s="3"/>
      <c r="C1370" s="41"/>
    </row>
    <row r="1371" spans="1:3">
      <c r="A1371" s="81">
        <v>46144</v>
      </c>
      <c r="B1371" s="3"/>
      <c r="C1371" s="41"/>
    </row>
    <row r="1372" spans="1:3">
      <c r="A1372" s="81">
        <v>46145</v>
      </c>
      <c r="B1372" s="3"/>
      <c r="C1372" s="41"/>
    </row>
    <row r="1373" spans="1:3">
      <c r="A1373" s="81">
        <v>46146</v>
      </c>
      <c r="B1373" s="3"/>
      <c r="C1373" s="41"/>
    </row>
    <row r="1374" spans="1:3">
      <c r="A1374" s="81">
        <v>46147</v>
      </c>
      <c r="B1374" s="3"/>
      <c r="C1374" s="41"/>
    </row>
    <row r="1375" spans="1:3">
      <c r="A1375" s="81">
        <v>46148</v>
      </c>
      <c r="B1375" s="3"/>
      <c r="C1375" s="41"/>
    </row>
    <row r="1376" spans="1:3">
      <c r="A1376" s="81">
        <v>46149</v>
      </c>
      <c r="B1376" s="3"/>
      <c r="C1376" s="41"/>
    </row>
    <row r="1377" spans="1:3">
      <c r="A1377" s="81">
        <v>46150</v>
      </c>
      <c r="B1377" s="3"/>
      <c r="C1377" s="41"/>
    </row>
    <row r="1378" spans="1:3">
      <c r="A1378" s="81">
        <v>46151</v>
      </c>
      <c r="B1378" s="3"/>
      <c r="C1378" s="41"/>
    </row>
    <row r="1379" spans="1:3">
      <c r="A1379" s="81">
        <v>46152</v>
      </c>
      <c r="B1379" s="3"/>
      <c r="C1379" s="41"/>
    </row>
    <row r="1380" spans="1:3">
      <c r="A1380" s="81">
        <v>46153</v>
      </c>
      <c r="B1380" s="3"/>
      <c r="C1380" s="41"/>
    </row>
    <row r="1381" spans="1:3">
      <c r="A1381" s="81">
        <v>46154</v>
      </c>
      <c r="B1381" s="3"/>
      <c r="C1381" s="41"/>
    </row>
    <row r="1382" spans="1:3">
      <c r="A1382" s="81">
        <v>46155</v>
      </c>
      <c r="B1382" s="3"/>
      <c r="C1382" s="41"/>
    </row>
    <row r="1383" spans="1:3">
      <c r="A1383" s="81">
        <v>46156</v>
      </c>
      <c r="B1383" s="3"/>
      <c r="C1383" s="41"/>
    </row>
    <row r="1384" spans="1:3">
      <c r="A1384" s="81">
        <v>46157</v>
      </c>
      <c r="B1384" s="3"/>
      <c r="C1384" s="41"/>
    </row>
    <row r="1385" spans="1:3">
      <c r="A1385" s="81">
        <v>46158</v>
      </c>
      <c r="B1385" s="3"/>
      <c r="C1385" s="41"/>
    </row>
    <row r="1386" spans="1:3">
      <c r="A1386" s="81">
        <v>46159</v>
      </c>
      <c r="B1386" s="3"/>
      <c r="C1386" s="41"/>
    </row>
    <row r="1387" spans="1:3">
      <c r="A1387" s="81">
        <v>46160</v>
      </c>
      <c r="B1387" s="3"/>
      <c r="C1387" s="41"/>
    </row>
    <row r="1388" spans="1:3">
      <c r="A1388" s="81">
        <v>46161</v>
      </c>
      <c r="B1388" s="3"/>
      <c r="C1388" s="41"/>
    </row>
    <row r="1389" spans="1:3">
      <c r="A1389" s="81">
        <v>46162</v>
      </c>
      <c r="B1389" s="3"/>
      <c r="C1389" s="41"/>
    </row>
    <row r="1390" spans="1:3">
      <c r="A1390" s="81">
        <v>46163</v>
      </c>
      <c r="B1390" s="3"/>
      <c r="C1390" s="41"/>
    </row>
    <row r="1391" spans="1:3">
      <c r="A1391" s="81">
        <v>46164</v>
      </c>
      <c r="B1391" s="3"/>
      <c r="C1391" s="41"/>
    </row>
    <row r="1392" spans="1:3">
      <c r="A1392" s="81">
        <v>46165</v>
      </c>
      <c r="B1392" s="3"/>
      <c r="C1392" s="41"/>
    </row>
    <row r="1393" spans="1:3">
      <c r="A1393" s="81">
        <v>46166</v>
      </c>
      <c r="B1393" s="3"/>
      <c r="C1393" s="41"/>
    </row>
    <row r="1394" spans="1:3">
      <c r="A1394" s="81">
        <v>46167</v>
      </c>
      <c r="B1394" s="3"/>
      <c r="C1394" s="41"/>
    </row>
    <row r="1395" spans="1:3">
      <c r="A1395" s="81">
        <v>46168</v>
      </c>
      <c r="B1395" s="3"/>
      <c r="C1395" s="41"/>
    </row>
    <row r="1396" spans="1:3">
      <c r="A1396" s="81">
        <v>46169</v>
      </c>
      <c r="B1396" s="3"/>
      <c r="C1396" s="41"/>
    </row>
    <row r="1397" spans="1:3">
      <c r="A1397" s="81">
        <v>46170</v>
      </c>
      <c r="B1397" s="3"/>
      <c r="C1397" s="41"/>
    </row>
    <row r="1398" spans="1:3">
      <c r="A1398" s="81">
        <v>46171</v>
      </c>
      <c r="B1398" s="3"/>
      <c r="C1398" s="41"/>
    </row>
    <row r="1399" spans="1:3">
      <c r="A1399" s="81">
        <v>46172</v>
      </c>
      <c r="B1399" s="3"/>
      <c r="C1399" s="41"/>
    </row>
    <row r="1400" spans="1:3">
      <c r="A1400" s="81">
        <v>46173</v>
      </c>
      <c r="B1400" s="3"/>
      <c r="C1400" s="41"/>
    </row>
    <row r="1401" spans="1:3">
      <c r="A1401" s="81">
        <v>46174</v>
      </c>
      <c r="B1401" s="3"/>
      <c r="C1401" s="41"/>
    </row>
    <row r="1402" spans="1:3">
      <c r="A1402" s="81">
        <v>46175</v>
      </c>
      <c r="B1402" s="3"/>
      <c r="C1402" s="41"/>
    </row>
    <row r="1403" spans="1:3">
      <c r="A1403" s="81">
        <v>46176</v>
      </c>
      <c r="B1403" s="3"/>
      <c r="C1403" s="41"/>
    </row>
    <row r="1404" spans="1:3">
      <c r="A1404" s="81">
        <v>46177</v>
      </c>
      <c r="B1404" s="3"/>
      <c r="C1404" s="41"/>
    </row>
    <row r="1405" spans="1:3">
      <c r="A1405" s="81">
        <v>46178</v>
      </c>
      <c r="B1405" s="3"/>
      <c r="C1405" s="41"/>
    </row>
    <row r="1406" spans="1:3">
      <c r="A1406" s="81">
        <v>46179</v>
      </c>
      <c r="B1406" s="3"/>
      <c r="C1406" s="41"/>
    </row>
    <row r="1407" spans="1:3">
      <c r="A1407" s="81">
        <v>46180</v>
      </c>
      <c r="B1407" s="3"/>
      <c r="C1407" s="41"/>
    </row>
    <row r="1408" spans="1:3">
      <c r="A1408" s="81">
        <v>46181</v>
      </c>
      <c r="B1408" s="3"/>
      <c r="C1408" s="41"/>
    </row>
    <row r="1409" spans="1:3">
      <c r="A1409" s="81">
        <v>46182</v>
      </c>
      <c r="B1409" s="3"/>
      <c r="C1409" s="41"/>
    </row>
    <row r="1410" spans="1:3">
      <c r="A1410" s="81">
        <v>46183</v>
      </c>
      <c r="B1410" s="3"/>
      <c r="C1410" s="41"/>
    </row>
    <row r="1411" spans="1:3">
      <c r="A1411" s="81">
        <v>46184</v>
      </c>
      <c r="B1411" s="3"/>
      <c r="C1411" s="41"/>
    </row>
    <row r="1412" spans="1:3">
      <c r="A1412" s="81">
        <v>46185</v>
      </c>
      <c r="B1412" s="3"/>
      <c r="C1412" s="41"/>
    </row>
    <row r="1413" spans="1:3">
      <c r="A1413" s="81">
        <v>46186</v>
      </c>
      <c r="B1413" s="3"/>
      <c r="C1413" s="41"/>
    </row>
    <row r="1414" spans="1:3">
      <c r="A1414" s="81">
        <v>46187</v>
      </c>
      <c r="B1414" s="3"/>
      <c r="C1414" s="41"/>
    </row>
    <row r="1415" spans="1:3">
      <c r="A1415" s="81">
        <v>46188</v>
      </c>
      <c r="B1415" s="3"/>
      <c r="C1415" s="41"/>
    </row>
    <row r="1416" spans="1:3">
      <c r="A1416" s="81">
        <v>46189</v>
      </c>
      <c r="B1416" s="3"/>
      <c r="C1416" s="41"/>
    </row>
    <row r="1417" spans="1:3">
      <c r="A1417" s="81">
        <v>46190</v>
      </c>
      <c r="B1417" s="3"/>
      <c r="C1417" s="41"/>
    </row>
    <row r="1418" spans="1:3">
      <c r="A1418" s="81">
        <v>46191</v>
      </c>
      <c r="B1418" s="3"/>
      <c r="C1418" s="41"/>
    </row>
    <row r="1419" spans="1:3">
      <c r="A1419" s="81">
        <v>46192</v>
      </c>
      <c r="B1419" s="3"/>
      <c r="C1419" s="41"/>
    </row>
    <row r="1420" spans="1:3">
      <c r="A1420" s="81">
        <v>46193</v>
      </c>
      <c r="B1420" s="3"/>
      <c r="C1420" s="41"/>
    </row>
    <row r="1421" spans="1:3">
      <c r="A1421" s="81">
        <v>46194</v>
      </c>
      <c r="B1421" s="3"/>
      <c r="C1421" s="41"/>
    </row>
    <row r="1422" spans="1:3">
      <c r="A1422" s="81">
        <v>46195</v>
      </c>
      <c r="B1422" s="3"/>
      <c r="C1422" s="41"/>
    </row>
    <row r="1423" spans="1:3">
      <c r="A1423" s="81">
        <v>46196</v>
      </c>
      <c r="B1423" s="3"/>
      <c r="C1423" s="41"/>
    </row>
    <row r="1424" spans="1:3">
      <c r="A1424" s="81">
        <v>46197</v>
      </c>
      <c r="B1424" s="3"/>
      <c r="C1424" s="41"/>
    </row>
    <row r="1425" spans="1:3">
      <c r="A1425" s="81">
        <v>46198</v>
      </c>
      <c r="B1425" s="3"/>
      <c r="C1425" s="41"/>
    </row>
    <row r="1426" spans="1:3">
      <c r="A1426" s="81">
        <v>46199</v>
      </c>
      <c r="B1426" s="3"/>
      <c r="C1426" s="41"/>
    </row>
    <row r="1427" spans="1:3">
      <c r="A1427" s="81">
        <v>46200</v>
      </c>
      <c r="B1427" s="3"/>
      <c r="C1427" s="41"/>
    </row>
    <row r="1428" spans="1:3">
      <c r="A1428" s="81">
        <v>46201</v>
      </c>
      <c r="B1428" s="3"/>
      <c r="C1428" s="41"/>
    </row>
    <row r="1429" spans="1:3">
      <c r="A1429" s="81">
        <v>46202</v>
      </c>
      <c r="B1429" s="3"/>
      <c r="C1429" s="41"/>
    </row>
    <row r="1430" spans="1:3">
      <c r="A1430" s="81">
        <v>46203</v>
      </c>
      <c r="B1430" s="3"/>
      <c r="C1430" s="41"/>
    </row>
    <row r="1431" spans="1:3">
      <c r="A1431" s="81">
        <v>46204</v>
      </c>
      <c r="B1431" s="3"/>
      <c r="C1431" s="41"/>
    </row>
    <row r="1432" spans="1:3">
      <c r="A1432" s="81">
        <v>46205</v>
      </c>
      <c r="B1432" s="3"/>
      <c r="C1432" s="41"/>
    </row>
    <row r="1433" spans="1:3">
      <c r="A1433" s="81">
        <v>46206</v>
      </c>
      <c r="B1433" s="3"/>
      <c r="C1433" s="41"/>
    </row>
    <row r="1434" spans="1:3">
      <c r="A1434" s="81">
        <v>46207</v>
      </c>
      <c r="B1434" s="3"/>
      <c r="C1434" s="41"/>
    </row>
    <row r="1435" spans="1:3">
      <c r="A1435" s="81">
        <v>46208</v>
      </c>
      <c r="B1435" s="3"/>
      <c r="C1435" s="41"/>
    </row>
    <row r="1436" spans="1:3">
      <c r="A1436" s="81">
        <v>46209</v>
      </c>
      <c r="B1436" s="3"/>
      <c r="C1436" s="41"/>
    </row>
    <row r="1437" spans="1:3">
      <c r="A1437" s="81">
        <v>46210</v>
      </c>
      <c r="B1437" s="3"/>
      <c r="C1437" s="41"/>
    </row>
    <row r="1438" spans="1:3">
      <c r="A1438" s="81">
        <v>46211</v>
      </c>
      <c r="B1438" s="3"/>
      <c r="C1438" s="41"/>
    </row>
    <row r="1439" spans="1:3">
      <c r="A1439" s="81">
        <v>46212</v>
      </c>
      <c r="B1439" s="3"/>
      <c r="C1439" s="41"/>
    </row>
    <row r="1440" spans="1:3">
      <c r="A1440" s="81">
        <v>46213</v>
      </c>
      <c r="B1440" s="3"/>
      <c r="C1440" s="41"/>
    </row>
    <row r="1441" spans="1:3">
      <c r="A1441" s="81">
        <v>46214</v>
      </c>
      <c r="B1441" s="3"/>
      <c r="C1441" s="41"/>
    </row>
    <row r="1442" spans="1:3">
      <c r="A1442" s="81">
        <v>46215</v>
      </c>
      <c r="B1442" s="3"/>
      <c r="C1442" s="41"/>
    </row>
    <row r="1443" spans="1:3">
      <c r="A1443" s="81">
        <v>46216</v>
      </c>
      <c r="B1443" s="3"/>
      <c r="C1443" s="41"/>
    </row>
    <row r="1444" spans="1:3">
      <c r="A1444" s="81">
        <v>46217</v>
      </c>
      <c r="B1444" s="3"/>
      <c r="C1444" s="41"/>
    </row>
    <row r="1445" spans="1:3">
      <c r="A1445" s="81">
        <v>46218</v>
      </c>
      <c r="B1445" s="3"/>
      <c r="C1445" s="41"/>
    </row>
    <row r="1446" spans="1:3">
      <c r="A1446" s="81">
        <v>46219</v>
      </c>
      <c r="B1446" s="3"/>
      <c r="C1446" s="41"/>
    </row>
    <row r="1447" spans="1:3">
      <c r="A1447" s="81">
        <v>46220</v>
      </c>
      <c r="B1447" s="3"/>
      <c r="C1447" s="41"/>
    </row>
    <row r="1448" spans="1:3">
      <c r="A1448" s="81">
        <v>46221</v>
      </c>
      <c r="B1448" s="3"/>
      <c r="C1448" s="41"/>
    </row>
    <row r="1449" spans="1:3">
      <c r="A1449" s="81">
        <v>46222</v>
      </c>
      <c r="B1449" s="3"/>
      <c r="C1449" s="41"/>
    </row>
    <row r="1450" spans="1:3">
      <c r="A1450" s="81">
        <v>46223</v>
      </c>
      <c r="B1450" s="3"/>
      <c r="C1450" s="41"/>
    </row>
    <row r="1451" spans="1:3">
      <c r="A1451" s="81">
        <v>46224</v>
      </c>
      <c r="B1451" s="3"/>
      <c r="C1451" s="41"/>
    </row>
    <row r="1452" spans="1:3">
      <c r="A1452" s="81">
        <v>46225</v>
      </c>
      <c r="B1452" s="3"/>
      <c r="C1452" s="41"/>
    </row>
    <row r="1453" spans="1:3">
      <c r="A1453" s="81">
        <v>46226</v>
      </c>
      <c r="B1453" s="3"/>
      <c r="C1453" s="41"/>
    </row>
    <row r="1454" spans="1:3">
      <c r="A1454" s="81">
        <v>46227</v>
      </c>
      <c r="B1454" s="3"/>
      <c r="C1454" s="41"/>
    </row>
    <row r="1455" spans="1:3">
      <c r="A1455" s="81">
        <v>46228</v>
      </c>
      <c r="B1455" s="3"/>
      <c r="C1455" s="41"/>
    </row>
    <row r="1456" spans="1:3">
      <c r="A1456" s="81">
        <v>46229</v>
      </c>
      <c r="B1456" s="3"/>
      <c r="C1456" s="41"/>
    </row>
    <row r="1457" spans="1:3">
      <c r="A1457" s="81">
        <v>46230</v>
      </c>
      <c r="B1457" s="3"/>
      <c r="C1457" s="41"/>
    </row>
    <row r="1458" spans="1:3">
      <c r="A1458" s="81">
        <v>46231</v>
      </c>
      <c r="B1458" s="3"/>
      <c r="C1458" s="41"/>
    </row>
    <row r="1459" spans="1:3">
      <c r="A1459" s="81">
        <v>46232</v>
      </c>
      <c r="B1459" s="3"/>
      <c r="C1459" s="41"/>
    </row>
    <row r="1460" spans="1:3">
      <c r="A1460" s="81">
        <v>46233</v>
      </c>
      <c r="B1460" s="3"/>
      <c r="C1460" s="41"/>
    </row>
    <row r="1461" spans="1:3">
      <c r="A1461" s="81">
        <v>46234</v>
      </c>
      <c r="B1461" s="3"/>
      <c r="C1461" s="41"/>
    </row>
    <row r="1462" spans="1:3">
      <c r="A1462" s="81">
        <v>46235</v>
      </c>
      <c r="B1462" s="3"/>
      <c r="C1462" s="41"/>
    </row>
    <row r="1463" spans="1:3">
      <c r="A1463" s="81">
        <v>46236</v>
      </c>
      <c r="B1463" s="3"/>
      <c r="C1463" s="41"/>
    </row>
    <row r="1464" spans="1:3">
      <c r="A1464" s="81">
        <v>46237</v>
      </c>
      <c r="B1464" s="3"/>
      <c r="C1464" s="41"/>
    </row>
    <row r="1465" spans="1:3">
      <c r="A1465" s="81">
        <v>46238</v>
      </c>
      <c r="B1465" s="3"/>
      <c r="C1465" s="41"/>
    </row>
    <row r="1466" spans="1:3">
      <c r="A1466" s="81">
        <v>46239</v>
      </c>
      <c r="B1466" s="3"/>
      <c r="C1466" s="41"/>
    </row>
    <row r="1467" spans="1:3">
      <c r="A1467" s="81">
        <v>46240</v>
      </c>
      <c r="B1467" s="3"/>
      <c r="C1467" s="41"/>
    </row>
    <row r="1468" spans="1:3">
      <c r="A1468" s="81">
        <v>46241</v>
      </c>
      <c r="B1468" s="3"/>
      <c r="C1468" s="41"/>
    </row>
    <row r="1469" spans="1:3">
      <c r="A1469" s="81">
        <v>46242</v>
      </c>
      <c r="B1469" s="3"/>
      <c r="C1469" s="41"/>
    </row>
    <row r="1470" spans="1:3">
      <c r="A1470" s="81">
        <v>46243</v>
      </c>
      <c r="B1470" s="3"/>
      <c r="C1470" s="41"/>
    </row>
    <row r="1471" spans="1:3">
      <c r="A1471" s="81">
        <v>46244</v>
      </c>
      <c r="B1471" s="3"/>
      <c r="C1471" s="41"/>
    </row>
    <row r="1472" spans="1:3">
      <c r="A1472" s="81">
        <v>46245</v>
      </c>
      <c r="B1472" s="3"/>
      <c r="C1472" s="41"/>
    </row>
    <row r="1473" spans="1:3">
      <c r="A1473" s="81">
        <v>46246</v>
      </c>
      <c r="B1473" s="3"/>
      <c r="C1473" s="41"/>
    </row>
    <row r="1474" spans="1:3">
      <c r="A1474" s="81">
        <v>46247</v>
      </c>
      <c r="B1474" s="3"/>
      <c r="C1474" s="41"/>
    </row>
    <row r="1475" spans="1:3">
      <c r="A1475" s="81">
        <v>46248</v>
      </c>
      <c r="B1475" s="3"/>
      <c r="C1475" s="41"/>
    </row>
    <row r="1476" spans="1:3">
      <c r="A1476" s="81">
        <v>46249</v>
      </c>
      <c r="B1476" s="3"/>
      <c r="C1476" s="41"/>
    </row>
    <row r="1477" spans="1:3">
      <c r="A1477" s="81">
        <v>46250</v>
      </c>
      <c r="B1477" s="3"/>
      <c r="C1477" s="41"/>
    </row>
    <row r="1478" spans="1:3">
      <c r="A1478" s="81">
        <v>46251</v>
      </c>
      <c r="B1478" s="3"/>
      <c r="C1478" s="41"/>
    </row>
    <row r="1479" spans="1:3">
      <c r="A1479" s="81">
        <v>46252</v>
      </c>
      <c r="B1479" s="3"/>
      <c r="C1479" s="41"/>
    </row>
    <row r="1480" spans="1:3">
      <c r="A1480" s="81">
        <v>46253</v>
      </c>
      <c r="B1480" s="3"/>
      <c r="C1480" s="41"/>
    </row>
    <row r="1481" spans="1:3">
      <c r="A1481" s="81">
        <v>46254</v>
      </c>
      <c r="B1481" s="3"/>
      <c r="C1481" s="41"/>
    </row>
    <row r="1482" spans="1:3">
      <c r="A1482" s="81">
        <v>46255</v>
      </c>
      <c r="B1482" s="3"/>
      <c r="C1482" s="41"/>
    </row>
    <row r="1483" spans="1:3">
      <c r="A1483" s="81">
        <v>46256</v>
      </c>
      <c r="B1483" s="3"/>
      <c r="C1483" s="41"/>
    </row>
    <row r="1484" spans="1:3">
      <c r="A1484" s="81">
        <v>46257</v>
      </c>
      <c r="B1484" s="3"/>
      <c r="C1484" s="41"/>
    </row>
    <row r="1485" spans="1:3">
      <c r="A1485" s="81">
        <v>46258</v>
      </c>
      <c r="B1485" s="3"/>
      <c r="C1485" s="41"/>
    </row>
    <row r="1486" spans="1:3">
      <c r="A1486" s="81">
        <v>46259</v>
      </c>
      <c r="B1486" s="3"/>
      <c r="C1486" s="41"/>
    </row>
    <row r="1487" spans="1:3">
      <c r="A1487" s="81">
        <v>46260</v>
      </c>
      <c r="B1487" s="3"/>
      <c r="C1487" s="41"/>
    </row>
    <row r="1488" spans="1:3">
      <c r="A1488" s="81">
        <v>46261</v>
      </c>
      <c r="B1488" s="3"/>
      <c r="C1488" s="41"/>
    </row>
    <row r="1489" spans="1:3">
      <c r="A1489" s="81">
        <v>46262</v>
      </c>
      <c r="B1489" s="3"/>
      <c r="C1489" s="41"/>
    </row>
    <row r="1490" spans="1:3">
      <c r="A1490" s="81">
        <v>46263</v>
      </c>
      <c r="B1490" s="3"/>
      <c r="C1490" s="41"/>
    </row>
    <row r="1491" spans="1:3">
      <c r="A1491" s="81">
        <v>46264</v>
      </c>
      <c r="B1491" s="3"/>
      <c r="C1491" s="41"/>
    </row>
    <row r="1492" spans="1:3">
      <c r="A1492" s="81">
        <v>46265</v>
      </c>
      <c r="B1492" s="3"/>
      <c r="C1492" s="41"/>
    </row>
    <row r="1493" spans="1:3">
      <c r="A1493" s="81">
        <v>46266</v>
      </c>
      <c r="B1493" s="3"/>
      <c r="C1493" s="41"/>
    </row>
    <row r="1494" spans="1:3">
      <c r="A1494" s="81">
        <v>46267</v>
      </c>
      <c r="B1494" s="3"/>
      <c r="C1494" s="41"/>
    </row>
    <row r="1495" spans="1:3">
      <c r="A1495" s="81">
        <v>46268</v>
      </c>
      <c r="B1495" s="3"/>
      <c r="C1495" s="41"/>
    </row>
    <row r="1496" spans="1:3">
      <c r="A1496" s="81">
        <v>46269</v>
      </c>
      <c r="B1496" s="3"/>
      <c r="C1496" s="41"/>
    </row>
    <row r="1497" spans="1:3">
      <c r="A1497" s="81">
        <v>46270</v>
      </c>
      <c r="B1497" s="3"/>
      <c r="C1497" s="41"/>
    </row>
    <row r="1498" spans="1:3">
      <c r="A1498" s="81">
        <v>46271</v>
      </c>
      <c r="B1498" s="3"/>
      <c r="C1498" s="41"/>
    </row>
    <row r="1499" spans="1:3">
      <c r="A1499" s="81">
        <v>46272</v>
      </c>
      <c r="B1499" s="3"/>
      <c r="C1499" s="41"/>
    </row>
    <row r="1500" spans="1:3">
      <c r="A1500" s="81">
        <v>46273</v>
      </c>
      <c r="B1500" s="3"/>
      <c r="C1500" s="41"/>
    </row>
    <row r="1501" spans="1:3">
      <c r="A1501" s="81">
        <v>46274</v>
      </c>
      <c r="B1501" s="3"/>
      <c r="C1501" s="41"/>
    </row>
    <row r="1502" spans="1:3">
      <c r="A1502" s="81">
        <v>46275</v>
      </c>
      <c r="B1502" s="3"/>
      <c r="C1502" s="41"/>
    </row>
    <row r="1503" spans="1:3">
      <c r="A1503" s="81">
        <v>46276</v>
      </c>
      <c r="B1503" s="3"/>
      <c r="C1503" s="41"/>
    </row>
    <row r="1504" spans="1:3">
      <c r="A1504" s="81">
        <v>46277</v>
      </c>
      <c r="B1504" s="3"/>
      <c r="C1504" s="41"/>
    </row>
    <row r="1505" spans="1:3">
      <c r="A1505" s="81">
        <v>46278</v>
      </c>
      <c r="B1505" s="3"/>
      <c r="C1505" s="41"/>
    </row>
    <row r="1506" spans="1:3">
      <c r="A1506" s="81">
        <v>46279</v>
      </c>
      <c r="B1506" s="3"/>
      <c r="C1506" s="41"/>
    </row>
    <row r="1507" spans="1:3">
      <c r="A1507" s="81">
        <v>46280</v>
      </c>
      <c r="B1507" s="3"/>
      <c r="C1507" s="41"/>
    </row>
    <row r="1508" spans="1:3">
      <c r="A1508" s="81">
        <v>46281</v>
      </c>
      <c r="B1508" s="3"/>
      <c r="C1508" s="41"/>
    </row>
    <row r="1509" spans="1:3">
      <c r="A1509" s="81">
        <v>46282</v>
      </c>
      <c r="B1509" s="3"/>
      <c r="C1509" s="41"/>
    </row>
    <row r="1510" spans="1:3">
      <c r="A1510" s="81">
        <v>46283</v>
      </c>
      <c r="B1510" s="3"/>
      <c r="C1510" s="41"/>
    </row>
    <row r="1511" spans="1:3">
      <c r="A1511" s="81">
        <v>46284</v>
      </c>
      <c r="B1511" s="3"/>
      <c r="C1511" s="41"/>
    </row>
    <row r="1512" spans="1:3">
      <c r="A1512" s="81">
        <v>46285</v>
      </c>
      <c r="B1512" s="3"/>
      <c r="C1512" s="41"/>
    </row>
    <row r="1513" spans="1:3">
      <c r="A1513" s="81">
        <v>46286</v>
      </c>
      <c r="B1513" s="3"/>
      <c r="C1513" s="41"/>
    </row>
    <row r="1514" spans="1:3">
      <c r="A1514" s="81">
        <v>46287</v>
      </c>
      <c r="B1514" s="3"/>
      <c r="C1514" s="41"/>
    </row>
    <row r="1515" spans="1:3">
      <c r="A1515" s="81">
        <v>46288</v>
      </c>
      <c r="B1515" s="3"/>
      <c r="C1515" s="41"/>
    </row>
    <row r="1516" spans="1:3">
      <c r="A1516" s="81">
        <v>46289</v>
      </c>
      <c r="B1516" s="3"/>
      <c r="C1516" s="41"/>
    </row>
    <row r="1517" spans="1:3">
      <c r="A1517" s="81">
        <v>46290</v>
      </c>
      <c r="B1517" s="3"/>
      <c r="C1517" s="41"/>
    </row>
    <row r="1518" spans="1:3">
      <c r="A1518" s="81">
        <v>46291</v>
      </c>
      <c r="B1518" s="3"/>
      <c r="C1518" s="41"/>
    </row>
    <row r="1519" spans="1:3">
      <c r="A1519" s="81">
        <v>46292</v>
      </c>
      <c r="B1519" s="3"/>
      <c r="C1519" s="41"/>
    </row>
    <row r="1520" spans="1:3">
      <c r="A1520" s="81">
        <v>46293</v>
      </c>
      <c r="B1520" s="3"/>
      <c r="C1520" s="41"/>
    </row>
    <row r="1521" spans="1:3">
      <c r="A1521" s="81">
        <v>46294</v>
      </c>
      <c r="B1521" s="3"/>
      <c r="C1521" s="41"/>
    </row>
    <row r="1522" spans="1:3">
      <c r="A1522" s="81">
        <v>46295</v>
      </c>
      <c r="B1522" s="3"/>
      <c r="C1522" s="41"/>
    </row>
    <row r="1523" spans="1:3">
      <c r="A1523" s="81">
        <v>46296</v>
      </c>
      <c r="B1523" s="3"/>
      <c r="C1523" s="41"/>
    </row>
    <row r="1524" spans="1:3">
      <c r="A1524" s="81">
        <v>46297</v>
      </c>
      <c r="B1524" s="3"/>
      <c r="C1524" s="41"/>
    </row>
    <row r="1525" spans="1:3">
      <c r="A1525" s="81">
        <v>46298</v>
      </c>
      <c r="B1525" s="3"/>
      <c r="C1525" s="41"/>
    </row>
    <row r="1526" spans="1:3">
      <c r="A1526" s="81">
        <v>46299</v>
      </c>
      <c r="B1526" s="3"/>
      <c r="C1526" s="41"/>
    </row>
    <row r="1527" spans="1:3">
      <c r="A1527" s="81">
        <v>46300</v>
      </c>
      <c r="B1527" s="3"/>
      <c r="C1527" s="41"/>
    </row>
    <row r="1528" spans="1:3">
      <c r="A1528" s="81">
        <v>46301</v>
      </c>
      <c r="B1528" s="3"/>
      <c r="C1528" s="41"/>
    </row>
    <row r="1529" spans="1:3">
      <c r="A1529" s="81">
        <v>46302</v>
      </c>
      <c r="B1529" s="3"/>
      <c r="C1529" s="41"/>
    </row>
    <row r="1530" spans="1:3">
      <c r="A1530" s="81">
        <v>46303</v>
      </c>
      <c r="B1530" s="3"/>
      <c r="C1530" s="41"/>
    </row>
    <row r="1531" spans="1:3">
      <c r="A1531" s="81">
        <v>46304</v>
      </c>
      <c r="B1531" s="3"/>
      <c r="C1531" s="41"/>
    </row>
    <row r="1532" spans="1:3">
      <c r="A1532" s="81">
        <v>46305</v>
      </c>
      <c r="B1532" s="3"/>
      <c r="C1532" s="41"/>
    </row>
    <row r="1533" spans="1:3">
      <c r="A1533" s="81">
        <v>46306</v>
      </c>
      <c r="B1533" s="3"/>
      <c r="C1533" s="41"/>
    </row>
    <row r="1534" spans="1:3">
      <c r="A1534" s="81">
        <v>46307</v>
      </c>
      <c r="B1534" s="3"/>
      <c r="C1534" s="41"/>
    </row>
    <row r="1535" spans="1:3">
      <c r="A1535" s="81">
        <v>46308</v>
      </c>
      <c r="B1535" s="3"/>
      <c r="C1535" s="41"/>
    </row>
    <row r="1536" spans="1:3">
      <c r="A1536" s="81">
        <v>46309</v>
      </c>
      <c r="B1536" s="3"/>
      <c r="C1536" s="41"/>
    </row>
    <row r="1537" spans="1:3">
      <c r="A1537" s="81">
        <v>46310</v>
      </c>
      <c r="B1537" s="3"/>
      <c r="C1537" s="41"/>
    </row>
    <row r="1538" spans="1:3">
      <c r="A1538" s="81">
        <v>46311</v>
      </c>
      <c r="B1538" s="3"/>
      <c r="C1538" s="41"/>
    </row>
    <row r="1539" spans="1:3">
      <c r="A1539" s="81">
        <v>46312</v>
      </c>
      <c r="B1539" s="3"/>
      <c r="C1539" s="41"/>
    </row>
    <row r="1540" spans="1:3">
      <c r="A1540" s="81">
        <v>46313</v>
      </c>
      <c r="B1540" s="3"/>
      <c r="C1540" s="41"/>
    </row>
    <row r="1541" spans="1:3">
      <c r="A1541" s="81">
        <v>46314</v>
      </c>
      <c r="B1541" s="3"/>
      <c r="C1541" s="41"/>
    </row>
    <row r="1542" spans="1:3">
      <c r="A1542" s="81">
        <v>46315</v>
      </c>
      <c r="B1542" s="3"/>
      <c r="C1542" s="41"/>
    </row>
    <row r="1543" spans="1:3">
      <c r="A1543" s="81">
        <v>46316</v>
      </c>
      <c r="B1543" s="3"/>
      <c r="C1543" s="41"/>
    </row>
    <row r="1544" spans="1:3">
      <c r="A1544" s="81">
        <v>46317</v>
      </c>
      <c r="B1544" s="3"/>
      <c r="C1544" s="41"/>
    </row>
    <row r="1545" spans="1:3">
      <c r="A1545" s="81">
        <v>46318</v>
      </c>
      <c r="B1545" s="3"/>
      <c r="C1545" s="41"/>
    </row>
    <row r="1546" spans="1:3">
      <c r="A1546" s="81">
        <v>46319</v>
      </c>
      <c r="B1546" s="3"/>
      <c r="C1546" s="41"/>
    </row>
    <row r="1547" spans="1:3">
      <c r="A1547" s="81">
        <v>46320</v>
      </c>
      <c r="B1547" s="3"/>
      <c r="C1547" s="41"/>
    </row>
    <row r="1548" spans="1:3">
      <c r="A1548" s="81">
        <v>46321</v>
      </c>
      <c r="B1548" s="3"/>
      <c r="C1548" s="41"/>
    </row>
    <row r="1549" spans="1:3">
      <c r="A1549" s="81">
        <v>46322</v>
      </c>
      <c r="B1549" s="3"/>
      <c r="C1549" s="41"/>
    </row>
    <row r="1550" spans="1:3">
      <c r="A1550" s="81">
        <v>46323</v>
      </c>
      <c r="B1550" s="3"/>
      <c r="C1550" s="41"/>
    </row>
    <row r="1551" spans="1:3">
      <c r="A1551" s="81">
        <v>46324</v>
      </c>
      <c r="B1551" s="3"/>
      <c r="C1551" s="41"/>
    </row>
    <row r="1552" spans="1:3">
      <c r="A1552" s="81">
        <v>46325</v>
      </c>
      <c r="B1552" s="3"/>
      <c r="C1552" s="41"/>
    </row>
    <row r="1553" spans="1:3">
      <c r="A1553" s="81">
        <v>46326</v>
      </c>
      <c r="B1553" s="3"/>
      <c r="C1553" s="41"/>
    </row>
    <row r="1554" spans="1:3">
      <c r="A1554" s="81">
        <v>46327</v>
      </c>
      <c r="B1554" s="3"/>
      <c r="C1554" s="41"/>
    </row>
    <row r="1555" spans="1:3">
      <c r="A1555" s="81">
        <v>46328</v>
      </c>
      <c r="B1555" s="3"/>
      <c r="C1555" s="41"/>
    </row>
    <row r="1556" spans="1:3">
      <c r="A1556" s="81">
        <v>46329</v>
      </c>
      <c r="B1556" s="3"/>
      <c r="C1556" s="41"/>
    </row>
    <row r="1557" spans="1:3">
      <c r="A1557" s="81">
        <v>46330</v>
      </c>
      <c r="B1557" s="3"/>
      <c r="C1557" s="41"/>
    </row>
    <row r="1558" spans="1:3">
      <c r="A1558" s="81">
        <v>46331</v>
      </c>
      <c r="B1558" s="3"/>
      <c r="C1558" s="41"/>
    </row>
    <row r="1559" spans="1:3">
      <c r="A1559" s="81">
        <v>46332</v>
      </c>
      <c r="B1559" s="3"/>
      <c r="C1559" s="41"/>
    </row>
    <row r="1560" spans="1:3">
      <c r="A1560" s="81">
        <v>46333</v>
      </c>
      <c r="B1560" s="3"/>
      <c r="C1560" s="41"/>
    </row>
    <row r="1561" spans="1:3">
      <c r="A1561" s="81">
        <v>46334</v>
      </c>
      <c r="B1561" s="3"/>
      <c r="C1561" s="41"/>
    </row>
    <row r="1562" spans="1:3">
      <c r="A1562" s="81">
        <v>46335</v>
      </c>
      <c r="B1562" s="3"/>
      <c r="C1562" s="41"/>
    </row>
    <row r="1563" spans="1:3">
      <c r="A1563" s="81">
        <v>46336</v>
      </c>
      <c r="B1563" s="3"/>
      <c r="C1563" s="41"/>
    </row>
    <row r="1564" spans="1:3">
      <c r="A1564" s="81">
        <v>46337</v>
      </c>
      <c r="B1564" s="3"/>
      <c r="C1564" s="41"/>
    </row>
    <row r="1565" spans="1:3">
      <c r="A1565" s="81">
        <v>46338</v>
      </c>
      <c r="B1565" s="3"/>
      <c r="C1565" s="41"/>
    </row>
    <row r="1566" spans="1:3">
      <c r="A1566" s="81">
        <v>46339</v>
      </c>
      <c r="B1566" s="3"/>
      <c r="C1566" s="41"/>
    </row>
    <row r="1567" spans="1:3">
      <c r="A1567" s="81">
        <v>46340</v>
      </c>
      <c r="B1567" s="3"/>
      <c r="C1567" s="41"/>
    </row>
    <row r="1568" spans="1:3">
      <c r="A1568" s="81">
        <v>46341</v>
      </c>
      <c r="B1568" s="3"/>
      <c r="C1568" s="41"/>
    </row>
    <row r="1569" spans="1:3">
      <c r="A1569" s="81">
        <v>46342</v>
      </c>
      <c r="B1569" s="3"/>
      <c r="C1569" s="41"/>
    </row>
    <row r="1570" spans="1:3">
      <c r="A1570" s="81">
        <v>46343</v>
      </c>
      <c r="B1570" s="3"/>
      <c r="C1570" s="41"/>
    </row>
    <row r="1571" spans="1:3">
      <c r="A1571" s="81">
        <v>46344</v>
      </c>
      <c r="B1571" s="3"/>
      <c r="C1571" s="41"/>
    </row>
    <row r="1572" spans="1:3">
      <c r="A1572" s="81">
        <v>46345</v>
      </c>
      <c r="B1572" s="3"/>
      <c r="C1572" s="41"/>
    </row>
    <row r="1573" spans="1:3">
      <c r="A1573" s="81">
        <v>46346</v>
      </c>
      <c r="B1573" s="3"/>
      <c r="C1573" s="41"/>
    </row>
    <row r="1574" spans="1:3">
      <c r="A1574" s="81">
        <v>46347</v>
      </c>
      <c r="B1574" s="3"/>
      <c r="C1574" s="41"/>
    </row>
    <row r="1575" spans="1:3">
      <c r="A1575" s="81">
        <v>46348</v>
      </c>
      <c r="B1575" s="3"/>
      <c r="C1575" s="41"/>
    </row>
    <row r="1576" spans="1:3">
      <c r="A1576" s="81">
        <v>46349</v>
      </c>
      <c r="B1576" s="3"/>
      <c r="C1576" s="41"/>
    </row>
    <row r="1577" spans="1:3">
      <c r="A1577" s="81">
        <v>46350</v>
      </c>
      <c r="B1577" s="3"/>
      <c r="C1577" s="41"/>
    </row>
    <row r="1578" spans="1:3">
      <c r="A1578" s="81">
        <v>46351</v>
      </c>
      <c r="B1578" s="3"/>
      <c r="C1578" s="41"/>
    </row>
    <row r="1579" spans="1:3">
      <c r="A1579" s="81">
        <v>46352</v>
      </c>
      <c r="B1579" s="3"/>
      <c r="C1579" s="41"/>
    </row>
    <row r="1580" spans="1:3">
      <c r="A1580" s="81">
        <v>46353</v>
      </c>
      <c r="B1580" s="3"/>
      <c r="C1580" s="41"/>
    </row>
    <row r="1581" spans="1:3">
      <c r="A1581" s="81">
        <v>46354</v>
      </c>
      <c r="B1581" s="3"/>
      <c r="C1581" s="41"/>
    </row>
    <row r="1582" spans="1:3">
      <c r="A1582" s="81">
        <v>46355</v>
      </c>
      <c r="B1582" s="3"/>
      <c r="C1582" s="41"/>
    </row>
    <row r="1583" spans="1:3">
      <c r="A1583" s="81">
        <v>46356</v>
      </c>
      <c r="B1583" s="3"/>
      <c r="C1583" s="41"/>
    </row>
    <row r="1584" spans="1:3">
      <c r="A1584" s="81">
        <v>46357</v>
      </c>
      <c r="B1584" s="3"/>
      <c r="C1584" s="41"/>
    </row>
    <row r="1585" spans="1:3">
      <c r="A1585" s="81">
        <v>46358</v>
      </c>
      <c r="B1585" s="3"/>
      <c r="C1585" s="41"/>
    </row>
    <row r="1586" spans="1:3">
      <c r="A1586" s="81">
        <v>46359</v>
      </c>
      <c r="B1586" s="3"/>
      <c r="C1586" s="41"/>
    </row>
    <row r="1587" spans="1:3">
      <c r="A1587" s="81">
        <v>46360</v>
      </c>
      <c r="B1587" s="3"/>
      <c r="C1587" s="41"/>
    </row>
    <row r="1588" spans="1:3">
      <c r="A1588" s="81">
        <v>46361</v>
      </c>
      <c r="B1588" s="3"/>
      <c r="C1588" s="41"/>
    </row>
    <row r="1589" spans="1:3">
      <c r="A1589" s="81">
        <v>46362</v>
      </c>
      <c r="B1589" s="3"/>
      <c r="C1589" s="41"/>
    </row>
    <row r="1590" spans="1:3">
      <c r="A1590" s="81">
        <v>46363</v>
      </c>
      <c r="B1590" s="3"/>
      <c r="C1590" s="41"/>
    </row>
    <row r="1591" spans="1:3">
      <c r="A1591" s="81">
        <v>46364</v>
      </c>
      <c r="B1591" s="3"/>
      <c r="C1591" s="41"/>
    </row>
    <row r="1592" spans="1:3">
      <c r="A1592" s="81">
        <v>46365</v>
      </c>
      <c r="B1592" s="3"/>
      <c r="C1592" s="41"/>
    </row>
    <row r="1593" spans="1:3">
      <c r="A1593" s="81">
        <v>46366</v>
      </c>
      <c r="B1593" s="3"/>
      <c r="C1593" s="41"/>
    </row>
    <row r="1594" spans="1:3">
      <c r="A1594" s="81">
        <v>46367</v>
      </c>
      <c r="B1594" s="3"/>
      <c r="C1594" s="41"/>
    </row>
    <row r="1595" spans="1:3">
      <c r="A1595" s="81">
        <v>46368</v>
      </c>
      <c r="B1595" s="3"/>
      <c r="C1595" s="41"/>
    </row>
    <row r="1596" spans="1:3">
      <c r="A1596" s="81">
        <v>46369</v>
      </c>
      <c r="B1596" s="3"/>
      <c r="C1596" s="41"/>
    </row>
    <row r="1597" spans="1:3">
      <c r="A1597" s="81">
        <v>46370</v>
      </c>
      <c r="B1597" s="3"/>
      <c r="C1597" s="41"/>
    </row>
    <row r="1598" spans="1:3">
      <c r="A1598" s="81">
        <v>46371</v>
      </c>
      <c r="B1598" s="3"/>
      <c r="C1598" s="41"/>
    </row>
    <row r="1599" spans="1:3">
      <c r="A1599" s="81">
        <v>46372</v>
      </c>
      <c r="B1599" s="3"/>
      <c r="C1599" s="41"/>
    </row>
    <row r="1600" spans="1:3">
      <c r="A1600" s="81">
        <v>46373</v>
      </c>
      <c r="B1600" s="3"/>
      <c r="C1600" s="41"/>
    </row>
    <row r="1601" spans="1:3">
      <c r="A1601" s="81">
        <v>46374</v>
      </c>
      <c r="B1601" s="3"/>
      <c r="C1601" s="41"/>
    </row>
    <row r="1602" spans="1:3">
      <c r="A1602" s="81">
        <v>46375</v>
      </c>
      <c r="B1602" s="3"/>
      <c r="C1602" s="41"/>
    </row>
    <row r="1603" spans="1:3">
      <c r="A1603" s="81">
        <v>46376</v>
      </c>
      <c r="B1603" s="3"/>
      <c r="C1603" s="41"/>
    </row>
    <row r="1604" spans="1:3">
      <c r="A1604" s="81">
        <v>46377</v>
      </c>
      <c r="B1604" s="3"/>
      <c r="C1604" s="41"/>
    </row>
    <row r="1605" spans="1:3">
      <c r="A1605" s="81">
        <v>46378</v>
      </c>
      <c r="B1605" s="3"/>
      <c r="C1605" s="41"/>
    </row>
    <row r="1606" spans="1:3">
      <c r="A1606" s="81">
        <v>46379</v>
      </c>
      <c r="B1606" s="3"/>
      <c r="C1606" s="41"/>
    </row>
    <row r="1607" spans="1:3">
      <c r="A1607" s="81">
        <v>46380</v>
      </c>
      <c r="B1607" s="3"/>
      <c r="C1607" s="41"/>
    </row>
    <row r="1608" spans="1:3">
      <c r="A1608" s="81">
        <v>46381</v>
      </c>
      <c r="B1608" s="3"/>
      <c r="C1608" s="41"/>
    </row>
    <row r="1609" spans="1:3">
      <c r="A1609" s="81">
        <v>46382</v>
      </c>
      <c r="B1609" s="3"/>
      <c r="C1609" s="41"/>
    </row>
    <row r="1610" spans="1:3">
      <c r="A1610" s="81">
        <v>46383</v>
      </c>
      <c r="B1610" s="3"/>
      <c r="C1610" s="41"/>
    </row>
    <row r="1611" spans="1:3">
      <c r="A1611" s="81">
        <v>46384</v>
      </c>
      <c r="B1611" s="3"/>
      <c r="C1611" s="41"/>
    </row>
    <row r="1612" spans="1:3">
      <c r="A1612" s="81">
        <v>46385</v>
      </c>
      <c r="B1612" s="3"/>
      <c r="C1612" s="41"/>
    </row>
    <row r="1613" spans="1:3">
      <c r="A1613" s="81">
        <v>46386</v>
      </c>
      <c r="B1613" s="3"/>
      <c r="C1613" s="41"/>
    </row>
    <row r="1614" spans="1:3">
      <c r="A1614" s="81">
        <v>46387</v>
      </c>
      <c r="B1614" s="3"/>
      <c r="C1614" s="41"/>
    </row>
    <row r="1615" spans="1:3">
      <c r="A1615" s="81">
        <v>46388</v>
      </c>
      <c r="B1615" s="3"/>
      <c r="C1615" s="41"/>
    </row>
    <row r="1616" spans="1:3">
      <c r="A1616" s="81">
        <v>46389</v>
      </c>
      <c r="B1616" s="3"/>
      <c r="C1616" s="41"/>
    </row>
    <row r="1617" spans="1:3">
      <c r="A1617" s="81">
        <v>46390</v>
      </c>
      <c r="B1617" s="3"/>
      <c r="C1617" s="41"/>
    </row>
    <row r="1618" spans="1:3">
      <c r="A1618" s="81">
        <v>46391</v>
      </c>
      <c r="B1618" s="3"/>
      <c r="C1618" s="41"/>
    </row>
    <row r="1619" spans="1:3">
      <c r="A1619" s="81">
        <v>46392</v>
      </c>
      <c r="B1619" s="3"/>
      <c r="C1619" s="41"/>
    </row>
    <row r="1620" spans="1:3">
      <c r="A1620" s="81">
        <v>46393</v>
      </c>
      <c r="B1620" s="3"/>
      <c r="C1620" s="41"/>
    </row>
    <row r="1621" spans="1:3">
      <c r="A1621" s="81">
        <v>46394</v>
      </c>
      <c r="B1621" s="3"/>
      <c r="C1621" s="41"/>
    </row>
    <row r="1622" spans="1:3">
      <c r="A1622" s="81">
        <v>46395</v>
      </c>
      <c r="B1622" s="3"/>
      <c r="C1622" s="41"/>
    </row>
    <row r="1623" spans="1:3">
      <c r="A1623" s="81">
        <v>46396</v>
      </c>
      <c r="B1623" s="3"/>
      <c r="C1623" s="41"/>
    </row>
    <row r="1624" spans="1:3">
      <c r="A1624" s="81">
        <v>46397</v>
      </c>
      <c r="B1624" s="3"/>
      <c r="C1624" s="41"/>
    </row>
    <row r="1625" spans="1:3">
      <c r="A1625" s="81">
        <v>46398</v>
      </c>
      <c r="B1625" s="3"/>
      <c r="C1625" s="41"/>
    </row>
    <row r="1626" spans="1:3">
      <c r="A1626" s="81">
        <v>46399</v>
      </c>
      <c r="B1626" s="3"/>
      <c r="C1626" s="41"/>
    </row>
    <row r="1627" spans="1:3">
      <c r="A1627" s="81">
        <v>46400</v>
      </c>
      <c r="B1627" s="3"/>
      <c r="C1627" s="41"/>
    </row>
    <row r="1628" spans="1:3">
      <c r="A1628" s="81">
        <v>46401</v>
      </c>
      <c r="B1628" s="3"/>
      <c r="C1628" s="41"/>
    </row>
    <row r="1629" spans="1:3">
      <c r="A1629" s="81">
        <v>46402</v>
      </c>
      <c r="B1629" s="3"/>
      <c r="C1629" s="41"/>
    </row>
    <row r="1630" spans="1:3">
      <c r="A1630" s="81">
        <v>46403</v>
      </c>
      <c r="B1630" s="3"/>
      <c r="C1630" s="41"/>
    </row>
    <row r="1631" spans="1:3">
      <c r="A1631" s="81">
        <v>46404</v>
      </c>
      <c r="B1631" s="3"/>
      <c r="C1631" s="41"/>
    </row>
    <row r="1632" spans="1:3">
      <c r="A1632" s="81">
        <v>46405</v>
      </c>
      <c r="B1632" s="3"/>
      <c r="C1632" s="41"/>
    </row>
    <row r="1633" spans="1:3">
      <c r="A1633" s="81">
        <v>46406</v>
      </c>
      <c r="B1633" s="3"/>
      <c r="C1633" s="41"/>
    </row>
    <row r="1634" spans="1:3">
      <c r="A1634" s="81">
        <v>46407</v>
      </c>
      <c r="B1634" s="3"/>
      <c r="C1634" s="41"/>
    </row>
    <row r="1635" spans="1:3">
      <c r="A1635" s="81">
        <v>46408</v>
      </c>
      <c r="B1635" s="3"/>
      <c r="C1635" s="41"/>
    </row>
    <row r="1636" spans="1:3">
      <c r="A1636" s="81">
        <v>46409</v>
      </c>
      <c r="B1636" s="3"/>
      <c r="C1636" s="41"/>
    </row>
    <row r="1637" spans="1:3">
      <c r="A1637" s="81">
        <v>46410</v>
      </c>
      <c r="B1637" s="3"/>
      <c r="C1637" s="41"/>
    </row>
    <row r="1638" spans="1:3">
      <c r="A1638" s="81">
        <v>46411</v>
      </c>
      <c r="B1638" s="3"/>
      <c r="C1638" s="41"/>
    </row>
    <row r="1639" spans="1:3">
      <c r="A1639" s="81">
        <v>46412</v>
      </c>
      <c r="B1639" s="3"/>
      <c r="C1639" s="41"/>
    </row>
    <row r="1640" spans="1:3">
      <c r="A1640" s="81">
        <v>46413</v>
      </c>
      <c r="B1640" s="3"/>
      <c r="C1640" s="41"/>
    </row>
    <row r="1641" spans="1:3">
      <c r="A1641" s="81">
        <v>46414</v>
      </c>
      <c r="B1641" s="3"/>
      <c r="C1641" s="41"/>
    </row>
    <row r="1642" spans="1:3">
      <c r="A1642" s="81">
        <v>46415</v>
      </c>
      <c r="B1642" s="3"/>
      <c r="C1642" s="41"/>
    </row>
    <row r="1643" spans="1:3">
      <c r="A1643" s="81">
        <v>46416</v>
      </c>
      <c r="B1643" s="3"/>
      <c r="C1643" s="41"/>
    </row>
    <row r="1644" spans="1:3">
      <c r="A1644" s="81">
        <v>46417</v>
      </c>
      <c r="B1644" s="3"/>
      <c r="C1644" s="41"/>
    </row>
    <row r="1645" spans="1:3">
      <c r="A1645" s="81">
        <v>46418</v>
      </c>
      <c r="B1645" s="3"/>
      <c r="C1645" s="41"/>
    </row>
    <row r="1646" spans="1:3">
      <c r="A1646" s="81">
        <v>46419</v>
      </c>
      <c r="B1646" s="3"/>
      <c r="C1646" s="41"/>
    </row>
    <row r="1647" spans="1:3">
      <c r="A1647" s="81">
        <v>46420</v>
      </c>
      <c r="B1647" s="3"/>
      <c r="C1647" s="41"/>
    </row>
    <row r="1648" spans="1:3">
      <c r="A1648" s="81">
        <v>46421</v>
      </c>
      <c r="B1648" s="3"/>
      <c r="C1648" s="41"/>
    </row>
    <row r="1649" spans="1:3">
      <c r="A1649" s="81">
        <v>46422</v>
      </c>
      <c r="B1649" s="3"/>
      <c r="C1649" s="41"/>
    </row>
    <row r="1650" spans="1:3">
      <c r="A1650" s="81">
        <v>46423</v>
      </c>
      <c r="B1650" s="3"/>
      <c r="C1650" s="41"/>
    </row>
    <row r="1651" spans="1:3">
      <c r="A1651" s="81">
        <v>46424</v>
      </c>
      <c r="B1651" s="3"/>
      <c r="C1651" s="41"/>
    </row>
    <row r="1652" spans="1:3">
      <c r="A1652" s="81">
        <v>46425</v>
      </c>
      <c r="B1652" s="3"/>
      <c r="C1652" s="41"/>
    </row>
    <row r="1653" spans="1:3">
      <c r="A1653" s="81">
        <v>46426</v>
      </c>
      <c r="B1653" s="3"/>
      <c r="C1653" s="41"/>
    </row>
    <row r="1654" spans="1:3">
      <c r="A1654" s="81">
        <v>46427</v>
      </c>
      <c r="B1654" s="3"/>
      <c r="C1654" s="41"/>
    </row>
    <row r="1655" spans="1:3">
      <c r="A1655" s="81">
        <v>46428</v>
      </c>
      <c r="B1655" s="3"/>
      <c r="C1655" s="41"/>
    </row>
    <row r="1656" spans="1:3">
      <c r="A1656" s="81">
        <v>46429</v>
      </c>
      <c r="B1656" s="3"/>
      <c r="C1656" s="41"/>
    </row>
    <row r="1657" spans="1:3">
      <c r="A1657" s="81">
        <v>46430</v>
      </c>
      <c r="B1657" s="3"/>
      <c r="C1657" s="41"/>
    </row>
    <row r="1658" spans="1:3">
      <c r="A1658" s="81">
        <v>46431</v>
      </c>
      <c r="B1658" s="3"/>
      <c r="C1658" s="41"/>
    </row>
    <row r="1659" spans="1:3">
      <c r="A1659" s="81">
        <v>46432</v>
      </c>
      <c r="B1659" s="3"/>
      <c r="C1659" s="41"/>
    </row>
    <row r="1660" spans="1:3">
      <c r="A1660" s="81">
        <v>46433</v>
      </c>
      <c r="B1660" s="3"/>
      <c r="C1660" s="41"/>
    </row>
    <row r="1661" spans="1:3">
      <c r="A1661" s="81">
        <v>46434</v>
      </c>
      <c r="B1661" s="3"/>
      <c r="C1661" s="41"/>
    </row>
    <row r="1662" spans="1:3">
      <c r="A1662" s="81">
        <v>46435</v>
      </c>
      <c r="B1662" s="3"/>
      <c r="C1662" s="41"/>
    </row>
    <row r="1663" spans="1:3">
      <c r="A1663" s="81">
        <v>46436</v>
      </c>
      <c r="B1663" s="3"/>
      <c r="C1663" s="41"/>
    </row>
    <row r="1664" spans="1:3">
      <c r="A1664" s="81">
        <v>46437</v>
      </c>
      <c r="B1664" s="3"/>
      <c r="C1664" s="41"/>
    </row>
    <row r="1665" spans="1:3">
      <c r="A1665" s="81">
        <v>46438</v>
      </c>
      <c r="B1665" s="3"/>
      <c r="C1665" s="41"/>
    </row>
    <row r="1666" spans="1:3">
      <c r="A1666" s="81">
        <v>46439</v>
      </c>
      <c r="B1666" s="3"/>
      <c r="C1666" s="41"/>
    </row>
    <row r="1667" spans="1:3">
      <c r="A1667" s="81">
        <v>46440</v>
      </c>
      <c r="B1667" s="3"/>
      <c r="C1667" s="41"/>
    </row>
    <row r="1668" spans="1:3">
      <c r="A1668" s="81">
        <v>46441</v>
      </c>
      <c r="B1668" s="3"/>
      <c r="C1668" s="41"/>
    </row>
    <row r="1669" spans="1:3">
      <c r="A1669" s="81">
        <v>46442</v>
      </c>
      <c r="B1669" s="3"/>
      <c r="C1669" s="41"/>
    </row>
    <row r="1670" spans="1:3">
      <c r="A1670" s="81">
        <v>46443</v>
      </c>
      <c r="B1670" s="3"/>
      <c r="C1670" s="41"/>
    </row>
    <row r="1671" spans="1:3">
      <c r="A1671" s="81">
        <v>46444</v>
      </c>
      <c r="B1671" s="3"/>
      <c r="C1671" s="41"/>
    </row>
    <row r="1672" spans="1:3">
      <c r="A1672" s="81">
        <v>46445</v>
      </c>
      <c r="B1672" s="3"/>
      <c r="C1672" s="41"/>
    </row>
    <row r="1673" spans="1:3">
      <c r="A1673" s="81">
        <v>46446</v>
      </c>
      <c r="B1673" s="3"/>
      <c r="C1673" s="41"/>
    </row>
    <row r="1674" spans="1:3">
      <c r="A1674" s="81">
        <v>46447</v>
      </c>
      <c r="B1674" s="3"/>
      <c r="C1674" s="41"/>
    </row>
    <row r="1675" spans="1:3">
      <c r="A1675" s="81">
        <v>46448</v>
      </c>
      <c r="B1675" s="3"/>
      <c r="C1675" s="41"/>
    </row>
    <row r="1676" spans="1:3">
      <c r="A1676" s="81">
        <v>46449</v>
      </c>
      <c r="B1676" s="3"/>
      <c r="C1676" s="41"/>
    </row>
    <row r="1677" spans="1:3">
      <c r="A1677" s="81">
        <v>46450</v>
      </c>
      <c r="B1677" s="3"/>
      <c r="C1677" s="41"/>
    </row>
    <row r="1678" spans="1:3">
      <c r="A1678" s="81">
        <v>46451</v>
      </c>
      <c r="B1678" s="3"/>
      <c r="C1678" s="41"/>
    </row>
    <row r="1679" spans="1:3">
      <c r="A1679" s="81">
        <v>46452</v>
      </c>
      <c r="B1679" s="3"/>
      <c r="C1679" s="41"/>
    </row>
    <row r="1680" spans="1:3">
      <c r="A1680" s="81">
        <v>46453</v>
      </c>
      <c r="B1680" s="3"/>
      <c r="C1680" s="41"/>
    </row>
    <row r="1681" spans="1:3">
      <c r="A1681" s="81">
        <v>46454</v>
      </c>
      <c r="B1681" s="3"/>
      <c r="C1681" s="41"/>
    </row>
    <row r="1682" spans="1:3">
      <c r="A1682" s="81">
        <v>46455</v>
      </c>
      <c r="B1682" s="3"/>
      <c r="C1682" s="41"/>
    </row>
    <row r="1683" spans="1:3">
      <c r="A1683" s="81">
        <v>46456</v>
      </c>
      <c r="B1683" s="3"/>
      <c r="C1683" s="41"/>
    </row>
    <row r="1684" spans="1:3">
      <c r="A1684" s="81">
        <v>46457</v>
      </c>
      <c r="B1684" s="3"/>
      <c r="C1684" s="41"/>
    </row>
    <row r="1685" spans="1:3">
      <c r="A1685" s="81">
        <v>46458</v>
      </c>
      <c r="B1685" s="3"/>
      <c r="C1685" s="41"/>
    </row>
    <row r="1686" spans="1:3">
      <c r="A1686" s="81">
        <v>46459</v>
      </c>
      <c r="B1686" s="3"/>
      <c r="C1686" s="41"/>
    </row>
    <row r="1687" spans="1:3">
      <c r="A1687" s="81">
        <v>46460</v>
      </c>
      <c r="B1687" s="3"/>
      <c r="C1687" s="41"/>
    </row>
    <row r="1688" spans="1:3">
      <c r="A1688" s="81">
        <v>46461</v>
      </c>
      <c r="B1688" s="3"/>
      <c r="C1688" s="41"/>
    </row>
    <row r="1689" spans="1:3">
      <c r="A1689" s="81">
        <v>46462</v>
      </c>
      <c r="B1689" s="3"/>
      <c r="C1689" s="41"/>
    </row>
    <row r="1690" spans="1:3">
      <c r="A1690" s="81">
        <v>46463</v>
      </c>
      <c r="B1690" s="3"/>
      <c r="C1690" s="41"/>
    </row>
    <row r="1691" spans="1:3">
      <c r="A1691" s="81">
        <v>46464</v>
      </c>
      <c r="B1691" s="3"/>
      <c r="C1691" s="41"/>
    </row>
    <row r="1692" spans="1:3">
      <c r="A1692" s="81">
        <v>46465</v>
      </c>
      <c r="B1692" s="3"/>
      <c r="C1692" s="41"/>
    </row>
    <row r="1693" spans="1:3">
      <c r="A1693" s="81">
        <v>46466</v>
      </c>
      <c r="B1693" s="3"/>
      <c r="C1693" s="41"/>
    </row>
    <row r="1694" spans="1:3">
      <c r="A1694" s="81">
        <v>46467</v>
      </c>
      <c r="B1694" s="3"/>
      <c r="C1694" s="41"/>
    </row>
    <row r="1695" spans="1:3">
      <c r="A1695" s="81">
        <v>46468</v>
      </c>
      <c r="B1695" s="3"/>
      <c r="C1695" s="41"/>
    </row>
    <row r="1696" spans="1:3">
      <c r="A1696" s="81">
        <v>46469</v>
      </c>
      <c r="B1696" s="3"/>
      <c r="C1696" s="41"/>
    </row>
    <row r="1697" spans="1:3">
      <c r="A1697" s="81">
        <v>46470</v>
      </c>
      <c r="B1697" s="3"/>
      <c r="C1697" s="41"/>
    </row>
    <row r="1698" spans="1:3">
      <c r="A1698" s="81">
        <v>46471</v>
      </c>
      <c r="B1698" s="3"/>
      <c r="C1698" s="41"/>
    </row>
    <row r="1699" spans="1:3">
      <c r="A1699" s="81">
        <v>46472</v>
      </c>
      <c r="B1699" s="3"/>
      <c r="C1699" s="41"/>
    </row>
    <row r="1700" spans="1:3">
      <c r="A1700" s="81">
        <v>46473</v>
      </c>
      <c r="B1700" s="3"/>
      <c r="C1700" s="41"/>
    </row>
    <row r="1701" spans="1:3">
      <c r="A1701" s="81">
        <v>46474</v>
      </c>
      <c r="B1701" s="3"/>
      <c r="C1701" s="41"/>
    </row>
    <row r="1702" spans="1:3">
      <c r="A1702" s="81">
        <v>46475</v>
      </c>
      <c r="B1702" s="3"/>
      <c r="C1702" s="41"/>
    </row>
    <row r="1703" spans="1:3">
      <c r="A1703" s="81">
        <v>46476</v>
      </c>
      <c r="B1703" s="3"/>
      <c r="C1703" s="41"/>
    </row>
    <row r="1704" spans="1:3">
      <c r="A1704" s="81">
        <v>46477</v>
      </c>
      <c r="B1704" s="3"/>
      <c r="C1704" s="41"/>
    </row>
    <row r="1705" spans="1:3">
      <c r="A1705" s="81">
        <v>46478</v>
      </c>
      <c r="B1705" s="3"/>
      <c r="C1705" s="41"/>
    </row>
    <row r="1706" spans="1:3">
      <c r="A1706" s="81">
        <v>46479</v>
      </c>
      <c r="B1706" s="3"/>
      <c r="C1706" s="41"/>
    </row>
    <row r="1707" spans="1:3">
      <c r="A1707" s="81">
        <v>46480</v>
      </c>
      <c r="B1707" s="3"/>
      <c r="C1707" s="41"/>
    </row>
    <row r="1708" spans="1:3">
      <c r="A1708" s="81">
        <v>46481</v>
      </c>
      <c r="B1708" s="3"/>
      <c r="C1708" s="41"/>
    </row>
    <row r="1709" spans="1:3">
      <c r="A1709" s="81">
        <v>46482</v>
      </c>
      <c r="B1709" s="3"/>
      <c r="C1709" s="41"/>
    </row>
    <row r="1710" spans="1:3">
      <c r="A1710" s="81">
        <v>46483</v>
      </c>
      <c r="B1710" s="3"/>
      <c r="C1710" s="41"/>
    </row>
    <row r="1711" spans="1:3">
      <c r="A1711" s="81">
        <v>46484</v>
      </c>
      <c r="B1711" s="3"/>
      <c r="C1711" s="41"/>
    </row>
    <row r="1712" spans="1:3">
      <c r="A1712" s="81">
        <v>46485</v>
      </c>
      <c r="B1712" s="3"/>
      <c r="C1712" s="41"/>
    </row>
    <row r="1713" spans="1:3">
      <c r="A1713" s="81">
        <v>46486</v>
      </c>
      <c r="B1713" s="3"/>
      <c r="C1713" s="41"/>
    </row>
    <row r="1714" spans="1:3">
      <c r="A1714" s="81">
        <v>46487</v>
      </c>
      <c r="B1714" s="3"/>
      <c r="C1714" s="41"/>
    </row>
    <row r="1715" spans="1:3">
      <c r="A1715" s="81">
        <v>46488</v>
      </c>
      <c r="B1715" s="3"/>
      <c r="C1715" s="41"/>
    </row>
    <row r="1716" spans="1:3">
      <c r="A1716" s="81">
        <v>46489</v>
      </c>
      <c r="B1716" s="3"/>
      <c r="C1716" s="41"/>
    </row>
    <row r="1717" spans="1:3">
      <c r="A1717" s="81">
        <v>46490</v>
      </c>
      <c r="B1717" s="3"/>
      <c r="C1717" s="41"/>
    </row>
    <row r="1718" spans="1:3">
      <c r="A1718" s="81">
        <v>46491</v>
      </c>
      <c r="B1718" s="3"/>
      <c r="C1718" s="41"/>
    </row>
    <row r="1719" spans="1:3">
      <c r="A1719" s="81">
        <v>46492</v>
      </c>
      <c r="B1719" s="3"/>
      <c r="C1719" s="41"/>
    </row>
    <row r="1720" spans="1:3">
      <c r="A1720" s="81">
        <v>46493</v>
      </c>
      <c r="B1720" s="3"/>
      <c r="C1720" s="41"/>
    </row>
    <row r="1721" spans="1:3">
      <c r="A1721" s="81">
        <v>46494</v>
      </c>
      <c r="B1721" s="3"/>
      <c r="C1721" s="41"/>
    </row>
    <row r="1722" spans="1:3">
      <c r="A1722" s="81">
        <v>46495</v>
      </c>
      <c r="B1722" s="3"/>
      <c r="C1722" s="41"/>
    </row>
    <row r="1723" spans="1:3">
      <c r="A1723" s="81">
        <v>46496</v>
      </c>
      <c r="B1723" s="3"/>
      <c r="C1723" s="41"/>
    </row>
    <row r="1724" spans="1:3">
      <c r="A1724" s="81">
        <v>46497</v>
      </c>
      <c r="B1724" s="3"/>
      <c r="C1724" s="41"/>
    </row>
    <row r="1725" spans="1:3">
      <c r="A1725" s="81">
        <v>46498</v>
      </c>
      <c r="B1725" s="3"/>
      <c r="C1725" s="41"/>
    </row>
    <row r="1726" spans="1:3">
      <c r="A1726" s="81">
        <v>46499</v>
      </c>
      <c r="B1726" s="3"/>
      <c r="C1726" s="41"/>
    </row>
    <row r="1727" spans="1:3">
      <c r="A1727" s="81">
        <v>46500</v>
      </c>
      <c r="B1727" s="3"/>
      <c r="C1727" s="41"/>
    </row>
    <row r="1728" spans="1:3">
      <c r="A1728" s="81">
        <v>46501</v>
      </c>
      <c r="B1728" s="3"/>
      <c r="C1728" s="41"/>
    </row>
    <row r="1729" spans="1:3">
      <c r="A1729" s="81">
        <v>46502</v>
      </c>
      <c r="B1729" s="3"/>
      <c r="C1729" s="41"/>
    </row>
    <row r="1730" spans="1:3">
      <c r="A1730" s="81">
        <v>46503</v>
      </c>
      <c r="B1730" s="3"/>
      <c r="C1730" s="41"/>
    </row>
    <row r="1731" spans="1:3">
      <c r="A1731" s="81">
        <v>46504</v>
      </c>
      <c r="B1731" s="3"/>
      <c r="C1731" s="41"/>
    </row>
    <row r="1732" spans="1:3">
      <c r="A1732" s="81">
        <v>46505</v>
      </c>
      <c r="B1732" s="3"/>
      <c r="C1732" s="41"/>
    </row>
    <row r="1733" spans="1:3">
      <c r="A1733" s="81">
        <v>46506</v>
      </c>
      <c r="B1733" s="3"/>
      <c r="C1733" s="41"/>
    </row>
    <row r="1734" spans="1:3">
      <c r="A1734" s="81">
        <v>46507</v>
      </c>
      <c r="B1734" s="3"/>
      <c r="C1734" s="41"/>
    </row>
    <row r="1735" spans="1:3">
      <c r="A1735" s="81">
        <v>46508</v>
      </c>
      <c r="B1735" s="3"/>
      <c r="C1735" s="41"/>
    </row>
    <row r="1736" spans="1:3">
      <c r="A1736" s="81">
        <v>46509</v>
      </c>
      <c r="B1736" s="3"/>
      <c r="C1736" s="41"/>
    </row>
    <row r="1737" spans="1:3">
      <c r="A1737" s="81">
        <v>46510</v>
      </c>
      <c r="B1737" s="3"/>
      <c r="C1737" s="41"/>
    </row>
    <row r="1738" spans="1:3">
      <c r="A1738" s="81">
        <v>46511</v>
      </c>
      <c r="B1738" s="3"/>
      <c r="C1738" s="41"/>
    </row>
    <row r="1739" spans="1:3">
      <c r="A1739" s="81">
        <v>46512</v>
      </c>
      <c r="B1739" s="3"/>
      <c r="C1739" s="41"/>
    </row>
    <row r="1740" spans="1:3">
      <c r="A1740" s="81">
        <v>46513</v>
      </c>
      <c r="B1740" s="3"/>
      <c r="C1740" s="41"/>
    </row>
    <row r="1741" spans="1:3">
      <c r="A1741" s="81">
        <v>46514</v>
      </c>
      <c r="B1741" s="3"/>
      <c r="C1741" s="41"/>
    </row>
    <row r="1742" spans="1:3">
      <c r="A1742" s="81">
        <v>46515</v>
      </c>
      <c r="B1742" s="3"/>
      <c r="C1742" s="41"/>
    </row>
    <row r="1743" spans="1:3">
      <c r="A1743" s="81">
        <v>46516</v>
      </c>
      <c r="B1743" s="3"/>
      <c r="C1743" s="41"/>
    </row>
    <row r="1744" spans="1:3">
      <c r="A1744" s="81">
        <v>46517</v>
      </c>
      <c r="B1744" s="3"/>
      <c r="C1744" s="41"/>
    </row>
    <row r="1745" spans="1:3">
      <c r="A1745" s="81">
        <v>46518</v>
      </c>
      <c r="B1745" s="3"/>
      <c r="C1745" s="41"/>
    </row>
    <row r="1746" spans="1:3">
      <c r="A1746" s="81">
        <v>46519</v>
      </c>
      <c r="B1746" s="3"/>
      <c r="C1746" s="41"/>
    </row>
    <row r="1747" spans="1:3">
      <c r="A1747" s="81">
        <v>46520</v>
      </c>
      <c r="B1747" s="3"/>
      <c r="C1747" s="41"/>
    </row>
    <row r="1748" spans="1:3">
      <c r="A1748" s="81">
        <v>46521</v>
      </c>
      <c r="B1748" s="3"/>
      <c r="C1748" s="41"/>
    </row>
    <row r="1749" spans="1:3">
      <c r="A1749" s="81">
        <v>46522</v>
      </c>
      <c r="B1749" s="3"/>
      <c r="C1749" s="41"/>
    </row>
    <row r="1750" spans="1:3">
      <c r="A1750" s="81">
        <v>46523</v>
      </c>
      <c r="B1750" s="3"/>
      <c r="C1750" s="41"/>
    </row>
    <row r="1751" spans="1:3">
      <c r="A1751" s="81">
        <v>46524</v>
      </c>
      <c r="B1751" s="3"/>
      <c r="C1751" s="41"/>
    </row>
    <row r="1752" spans="1:3">
      <c r="A1752" s="81">
        <v>46525</v>
      </c>
      <c r="B1752" s="3"/>
      <c r="C1752" s="41"/>
    </row>
    <row r="1753" spans="1:3">
      <c r="A1753" s="81">
        <v>46526</v>
      </c>
      <c r="B1753" s="3"/>
      <c r="C1753" s="41"/>
    </row>
    <row r="1754" spans="1:3">
      <c r="A1754" s="81">
        <v>46527</v>
      </c>
      <c r="B1754" s="3"/>
      <c r="C1754" s="41"/>
    </row>
    <row r="1755" spans="1:3">
      <c r="A1755" s="81">
        <v>46528</v>
      </c>
      <c r="B1755" s="3"/>
      <c r="C1755" s="41"/>
    </row>
    <row r="1756" spans="1:3">
      <c r="A1756" s="81">
        <v>46529</v>
      </c>
      <c r="B1756" s="3"/>
      <c r="C1756" s="41"/>
    </row>
    <row r="1757" spans="1:3">
      <c r="A1757" s="81">
        <v>46530</v>
      </c>
      <c r="B1757" s="3"/>
      <c r="C1757" s="41"/>
    </row>
    <row r="1758" spans="1:3">
      <c r="A1758" s="81">
        <v>46531</v>
      </c>
      <c r="B1758" s="3"/>
      <c r="C1758" s="41"/>
    </row>
    <row r="1759" spans="1:3">
      <c r="A1759" s="81">
        <v>46532</v>
      </c>
      <c r="B1759" s="3"/>
      <c r="C1759" s="41"/>
    </row>
    <row r="1760" spans="1:3">
      <c r="A1760" s="81">
        <v>46533</v>
      </c>
      <c r="B1760" s="3"/>
      <c r="C1760" s="41"/>
    </row>
    <row r="1761" spans="1:3">
      <c r="A1761" s="81">
        <v>46534</v>
      </c>
      <c r="B1761" s="3"/>
      <c r="C1761" s="41"/>
    </row>
    <row r="1762" spans="1:3">
      <c r="A1762" s="81">
        <v>46535</v>
      </c>
      <c r="B1762" s="3"/>
      <c r="C1762" s="41"/>
    </row>
    <row r="1763" spans="1:3">
      <c r="A1763" s="81">
        <v>46536</v>
      </c>
      <c r="B1763" s="3"/>
      <c r="C1763" s="41"/>
    </row>
    <row r="1764" spans="1:3">
      <c r="A1764" s="81">
        <v>46537</v>
      </c>
      <c r="B1764" s="3"/>
      <c r="C1764" s="41"/>
    </row>
    <row r="1765" spans="1:3">
      <c r="A1765" s="81">
        <v>46538</v>
      </c>
      <c r="B1765" s="3"/>
      <c r="C1765" s="41"/>
    </row>
    <row r="1766" spans="1:3">
      <c r="A1766" s="81">
        <v>46539</v>
      </c>
      <c r="B1766" s="3"/>
      <c r="C1766" s="41"/>
    </row>
    <row r="1767" spans="1:3">
      <c r="A1767" s="81">
        <v>46540</v>
      </c>
      <c r="B1767" s="3"/>
      <c r="C1767" s="41"/>
    </row>
    <row r="1768" spans="1:3">
      <c r="A1768" s="81">
        <v>46541</v>
      </c>
      <c r="B1768" s="3"/>
      <c r="C1768" s="41"/>
    </row>
    <row r="1769" spans="1:3">
      <c r="A1769" s="81">
        <v>46542</v>
      </c>
      <c r="B1769" s="3"/>
      <c r="C1769" s="41"/>
    </row>
    <row r="1770" spans="1:3">
      <c r="A1770" s="81">
        <v>46543</v>
      </c>
      <c r="B1770" s="3"/>
      <c r="C1770" s="41"/>
    </row>
    <row r="1771" spans="1:3">
      <c r="A1771" s="81">
        <v>46544</v>
      </c>
      <c r="B1771" s="3"/>
      <c r="C1771" s="41"/>
    </row>
    <row r="1772" spans="1:3">
      <c r="A1772" s="81">
        <v>46545</v>
      </c>
      <c r="B1772" s="3"/>
      <c r="C1772" s="41"/>
    </row>
    <row r="1773" spans="1:3">
      <c r="A1773" s="81">
        <v>46546</v>
      </c>
      <c r="B1773" s="3"/>
      <c r="C1773" s="41"/>
    </row>
    <row r="1774" spans="1:3">
      <c r="A1774" s="81">
        <v>46547</v>
      </c>
      <c r="B1774" s="3"/>
      <c r="C1774" s="41"/>
    </row>
    <row r="1775" spans="1:3">
      <c r="A1775" s="81">
        <v>46548</v>
      </c>
      <c r="B1775" s="3"/>
      <c r="C1775" s="41"/>
    </row>
    <row r="1776" spans="1:3">
      <c r="A1776" s="81">
        <v>46549</v>
      </c>
      <c r="B1776" s="3"/>
      <c r="C1776" s="41"/>
    </row>
    <row r="1777" spans="1:3">
      <c r="A1777" s="81">
        <v>46550</v>
      </c>
      <c r="B1777" s="3"/>
      <c r="C1777" s="41"/>
    </row>
    <row r="1778" spans="1:3">
      <c r="A1778" s="81">
        <v>46551</v>
      </c>
      <c r="B1778" s="3"/>
      <c r="C1778" s="41"/>
    </row>
    <row r="1779" spans="1:3">
      <c r="A1779" s="81">
        <v>46552</v>
      </c>
      <c r="B1779" s="3"/>
      <c r="C1779" s="41"/>
    </row>
    <row r="1780" spans="1:3">
      <c r="A1780" s="81">
        <v>46553</v>
      </c>
      <c r="B1780" s="3"/>
      <c r="C1780" s="41"/>
    </row>
    <row r="1781" spans="1:3">
      <c r="A1781" s="81">
        <v>46554</v>
      </c>
      <c r="B1781" s="3"/>
      <c r="C1781" s="41"/>
    </row>
    <row r="1782" spans="1:3">
      <c r="A1782" s="81">
        <v>46555</v>
      </c>
      <c r="B1782" s="3"/>
      <c r="C1782" s="41"/>
    </row>
    <row r="1783" spans="1:3">
      <c r="A1783" s="81">
        <v>46556</v>
      </c>
      <c r="B1783" s="3"/>
      <c r="C1783" s="41"/>
    </row>
    <row r="1784" spans="1:3">
      <c r="A1784" s="81">
        <v>46557</v>
      </c>
      <c r="B1784" s="3"/>
      <c r="C1784" s="41"/>
    </row>
    <row r="1785" spans="1:3">
      <c r="A1785" s="81">
        <v>46558</v>
      </c>
      <c r="B1785" s="3"/>
      <c r="C1785" s="41"/>
    </row>
    <row r="1786" spans="1:3">
      <c r="A1786" s="81">
        <v>46559</v>
      </c>
      <c r="B1786" s="3"/>
      <c r="C1786" s="41"/>
    </row>
    <row r="1787" spans="1:3">
      <c r="A1787" s="81">
        <v>46560</v>
      </c>
      <c r="B1787" s="3"/>
      <c r="C1787" s="41"/>
    </row>
    <row r="1788" spans="1:3">
      <c r="A1788" s="81">
        <v>46561</v>
      </c>
      <c r="B1788" s="3"/>
      <c r="C1788" s="41"/>
    </row>
    <row r="1789" spans="1:3">
      <c r="A1789" s="81">
        <v>46562</v>
      </c>
      <c r="B1789" s="3"/>
      <c r="C1789" s="41"/>
    </row>
    <row r="1790" spans="1:3">
      <c r="A1790" s="81">
        <v>46563</v>
      </c>
      <c r="B1790" s="3"/>
      <c r="C1790" s="41"/>
    </row>
    <row r="1791" spans="1:3">
      <c r="A1791" s="81">
        <v>46564</v>
      </c>
      <c r="B1791" s="3"/>
      <c r="C1791" s="41"/>
    </row>
    <row r="1792" spans="1:3">
      <c r="A1792" s="81">
        <v>46565</v>
      </c>
      <c r="B1792" s="3"/>
      <c r="C1792" s="41"/>
    </row>
    <row r="1793" spans="1:3">
      <c r="A1793" s="81">
        <v>46566</v>
      </c>
      <c r="B1793" s="3"/>
      <c r="C1793" s="41"/>
    </row>
    <row r="1794" spans="1:3">
      <c r="A1794" s="81">
        <v>46567</v>
      </c>
      <c r="B1794" s="3"/>
      <c r="C1794" s="41"/>
    </row>
    <row r="1795" spans="1:3">
      <c r="A1795" s="81">
        <v>46568</v>
      </c>
      <c r="B1795" s="3"/>
      <c r="C1795" s="41"/>
    </row>
    <row r="1796" spans="1:3">
      <c r="A1796" s="81">
        <v>46569</v>
      </c>
      <c r="B1796" s="3"/>
      <c r="C1796" s="41"/>
    </row>
    <row r="1797" spans="1:3">
      <c r="A1797" s="81">
        <v>46570</v>
      </c>
      <c r="B1797" s="3"/>
      <c r="C1797" s="41"/>
    </row>
    <row r="1798" spans="1:3">
      <c r="A1798" s="81">
        <v>46571</v>
      </c>
      <c r="B1798" s="3"/>
      <c r="C1798" s="41"/>
    </row>
    <row r="1799" spans="1:3">
      <c r="A1799" s="81">
        <v>46572</v>
      </c>
      <c r="B1799" s="3"/>
      <c r="C1799" s="41"/>
    </row>
    <row r="1800" spans="1:3">
      <c r="A1800" s="81">
        <v>46573</v>
      </c>
      <c r="B1800" s="3"/>
      <c r="C1800" s="41"/>
    </row>
    <row r="1801" spans="1:3">
      <c r="A1801" s="81">
        <v>46574</v>
      </c>
      <c r="B1801" s="3"/>
      <c r="C1801" s="41"/>
    </row>
    <row r="1802" spans="1:3">
      <c r="A1802" s="81">
        <v>46575</v>
      </c>
      <c r="B1802" s="3"/>
      <c r="C1802" s="41"/>
    </row>
    <row r="1803" spans="1:3">
      <c r="A1803" s="81">
        <v>46576</v>
      </c>
      <c r="B1803" s="3"/>
      <c r="C1803" s="41"/>
    </row>
    <row r="1804" spans="1:3">
      <c r="A1804" s="81">
        <v>46577</v>
      </c>
      <c r="B1804" s="3"/>
      <c r="C1804" s="41"/>
    </row>
    <row r="1805" spans="1:3">
      <c r="A1805" s="81">
        <v>46578</v>
      </c>
      <c r="B1805" s="3"/>
      <c r="C1805" s="41"/>
    </row>
    <row r="1806" spans="1:3">
      <c r="A1806" s="81">
        <v>46579</v>
      </c>
      <c r="B1806" s="3"/>
      <c r="C1806" s="41"/>
    </row>
    <row r="1807" spans="1:3">
      <c r="A1807" s="81">
        <v>46580</v>
      </c>
      <c r="B1807" s="3"/>
      <c r="C1807" s="41"/>
    </row>
    <row r="1808" spans="1:3">
      <c r="A1808" s="81">
        <v>46581</v>
      </c>
      <c r="B1808" s="3"/>
      <c r="C1808" s="41"/>
    </row>
    <row r="1809" spans="1:3">
      <c r="A1809" s="81">
        <v>46582</v>
      </c>
      <c r="B1809" s="3"/>
      <c r="C1809" s="41"/>
    </row>
    <row r="1810" spans="1:3">
      <c r="A1810" s="81">
        <v>46583</v>
      </c>
      <c r="B1810" s="3"/>
      <c r="C1810" s="41"/>
    </row>
    <row r="1811" spans="1:3">
      <c r="A1811" s="81">
        <v>46584</v>
      </c>
      <c r="B1811" s="3"/>
      <c r="C1811" s="41"/>
    </row>
    <row r="1812" spans="1:3">
      <c r="A1812" s="81">
        <v>46585</v>
      </c>
      <c r="B1812" s="3"/>
      <c r="C1812" s="41"/>
    </row>
    <row r="1813" spans="1:3">
      <c r="A1813" s="81">
        <v>46586</v>
      </c>
      <c r="B1813" s="3"/>
      <c r="C1813" s="41"/>
    </row>
    <row r="1814" spans="1:3">
      <c r="A1814" s="81">
        <v>46587</v>
      </c>
      <c r="B1814" s="3"/>
      <c r="C1814" s="41"/>
    </row>
    <row r="1815" spans="1:3">
      <c r="A1815" s="81">
        <v>46588</v>
      </c>
      <c r="B1815" s="3"/>
      <c r="C1815" s="41"/>
    </row>
    <row r="1816" spans="1:3">
      <c r="A1816" s="81">
        <v>46589</v>
      </c>
      <c r="B1816" s="3"/>
      <c r="C1816" s="41"/>
    </row>
    <row r="1817" spans="1:3">
      <c r="A1817" s="81">
        <v>46590</v>
      </c>
      <c r="B1817" s="3"/>
      <c r="C1817" s="41"/>
    </row>
    <row r="1818" spans="1:3">
      <c r="A1818" s="81">
        <v>46591</v>
      </c>
      <c r="B1818" s="3"/>
      <c r="C1818" s="41"/>
    </row>
    <row r="1819" spans="1:3">
      <c r="A1819" s="81">
        <v>46592</v>
      </c>
      <c r="B1819" s="3"/>
      <c r="C1819" s="41"/>
    </row>
    <row r="1820" spans="1:3">
      <c r="A1820" s="81">
        <v>46593</v>
      </c>
      <c r="B1820" s="3"/>
      <c r="C1820" s="41"/>
    </row>
    <row r="1821" spans="1:3">
      <c r="A1821" s="81">
        <v>46594</v>
      </c>
      <c r="B1821" s="3"/>
      <c r="C1821" s="41"/>
    </row>
    <row r="1822" spans="1:3">
      <c r="A1822" s="81">
        <v>46595</v>
      </c>
      <c r="B1822" s="3"/>
      <c r="C1822" s="41"/>
    </row>
    <row r="1823" spans="1:3">
      <c r="A1823" s="81">
        <v>46596</v>
      </c>
      <c r="B1823" s="3"/>
      <c r="C1823" s="41"/>
    </row>
    <row r="1824" spans="1:3">
      <c r="A1824" s="81">
        <v>46597</v>
      </c>
      <c r="B1824" s="3"/>
      <c r="C1824" s="41"/>
    </row>
    <row r="1825" spans="1:3">
      <c r="A1825" s="81">
        <v>46598</v>
      </c>
      <c r="B1825" s="3"/>
      <c r="C1825" s="41"/>
    </row>
    <row r="1826" spans="1:3">
      <c r="A1826" s="81">
        <v>46599</v>
      </c>
      <c r="B1826" s="3"/>
      <c r="C1826" s="41"/>
    </row>
    <row r="1827" spans="1:3">
      <c r="A1827" s="81">
        <v>46600</v>
      </c>
      <c r="B1827" s="3"/>
      <c r="C1827" s="41"/>
    </row>
    <row r="1828" spans="1:3">
      <c r="A1828" s="81">
        <v>46601</v>
      </c>
      <c r="B1828" s="3"/>
      <c r="C1828" s="41"/>
    </row>
    <row r="1829" spans="1:3">
      <c r="A1829" s="81">
        <v>46602</v>
      </c>
      <c r="B1829" s="3"/>
      <c r="C1829" s="41"/>
    </row>
    <row r="1830" spans="1:3">
      <c r="A1830" s="81">
        <v>46603</v>
      </c>
      <c r="B1830" s="3"/>
      <c r="C1830" s="41"/>
    </row>
    <row r="1831" spans="1:3">
      <c r="A1831" s="81">
        <v>46604</v>
      </c>
      <c r="B1831" s="3"/>
      <c r="C1831" s="41"/>
    </row>
    <row r="1832" spans="1:3">
      <c r="A1832" s="81">
        <v>46605</v>
      </c>
      <c r="B1832" s="3"/>
      <c r="C1832" s="41"/>
    </row>
    <row r="1833" spans="1:3">
      <c r="A1833" s="81">
        <v>46606</v>
      </c>
      <c r="B1833" s="3"/>
      <c r="C1833" s="41"/>
    </row>
    <row r="1834" spans="1:3">
      <c r="A1834" s="81">
        <v>46607</v>
      </c>
      <c r="B1834" s="3"/>
      <c r="C1834" s="41"/>
    </row>
    <row r="1835" spans="1:3">
      <c r="A1835" s="81">
        <v>46608</v>
      </c>
      <c r="B1835" s="3"/>
      <c r="C1835" s="41"/>
    </row>
    <row r="1836" spans="1:3">
      <c r="A1836" s="81">
        <v>46609</v>
      </c>
      <c r="B1836" s="3"/>
      <c r="C1836" s="41"/>
    </row>
    <row r="1837" spans="1:3">
      <c r="A1837" s="81">
        <v>46610</v>
      </c>
      <c r="B1837" s="3"/>
      <c r="C1837" s="41"/>
    </row>
    <row r="1838" spans="1:3">
      <c r="A1838" s="81">
        <v>46611</v>
      </c>
      <c r="B1838" s="3"/>
      <c r="C1838" s="41"/>
    </row>
    <row r="1839" spans="1:3">
      <c r="A1839" s="81">
        <v>46612</v>
      </c>
      <c r="B1839" s="3"/>
      <c r="C1839" s="41"/>
    </row>
    <row r="1840" spans="1:3">
      <c r="A1840" s="81">
        <v>46613</v>
      </c>
      <c r="B1840" s="3"/>
      <c r="C1840" s="41"/>
    </row>
    <row r="1841" spans="1:3">
      <c r="A1841" s="81">
        <v>46614</v>
      </c>
      <c r="B1841" s="3"/>
      <c r="C1841" s="41"/>
    </row>
    <row r="1842" spans="1:3">
      <c r="A1842" s="81">
        <v>46615</v>
      </c>
      <c r="B1842" s="3"/>
      <c r="C1842" s="41"/>
    </row>
    <row r="1843" spans="1:3">
      <c r="A1843" s="81">
        <v>46616</v>
      </c>
      <c r="B1843" s="3"/>
      <c r="C1843" s="41"/>
    </row>
    <row r="1844" spans="1:3">
      <c r="A1844" s="81">
        <v>46617</v>
      </c>
      <c r="B1844" s="3"/>
      <c r="C1844" s="41"/>
    </row>
    <row r="1845" spans="1:3">
      <c r="A1845" s="81">
        <v>46618</v>
      </c>
      <c r="B1845" s="3"/>
      <c r="C1845" s="41"/>
    </row>
    <row r="1846" spans="1:3">
      <c r="A1846" s="81">
        <v>46619</v>
      </c>
      <c r="B1846" s="3"/>
      <c r="C1846" s="41"/>
    </row>
    <row r="1847" spans="1:3">
      <c r="A1847" s="81">
        <v>46620</v>
      </c>
      <c r="B1847" s="3"/>
      <c r="C1847" s="41"/>
    </row>
    <row r="1848" spans="1:3">
      <c r="A1848" s="81">
        <v>46621</v>
      </c>
      <c r="B1848" s="3"/>
      <c r="C1848" s="41"/>
    </row>
    <row r="1849" spans="1:3">
      <c r="A1849" s="81">
        <v>46622</v>
      </c>
      <c r="B1849" s="3"/>
      <c r="C1849" s="41"/>
    </row>
    <row r="1850" spans="1:3">
      <c r="A1850" s="81">
        <v>46623</v>
      </c>
      <c r="B1850" s="3"/>
      <c r="C1850" s="41"/>
    </row>
    <row r="1851" spans="1:3">
      <c r="A1851" s="81">
        <v>46624</v>
      </c>
      <c r="B1851" s="3"/>
      <c r="C1851" s="41"/>
    </row>
    <row r="1852" spans="1:3">
      <c r="A1852" s="81">
        <v>46625</v>
      </c>
      <c r="B1852" s="3"/>
      <c r="C1852" s="41"/>
    </row>
    <row r="1853" spans="1:3">
      <c r="A1853" s="81">
        <v>46626</v>
      </c>
      <c r="B1853" s="3"/>
      <c r="C1853" s="41"/>
    </row>
    <row r="1854" spans="1:3">
      <c r="A1854" s="81">
        <v>46627</v>
      </c>
      <c r="B1854" s="3"/>
      <c r="C1854" s="41"/>
    </row>
    <row r="1855" spans="1:3">
      <c r="A1855" s="81">
        <v>46628</v>
      </c>
      <c r="B1855" s="3"/>
      <c r="C1855" s="41"/>
    </row>
    <row r="1856" spans="1:3">
      <c r="A1856" s="81">
        <v>46629</v>
      </c>
      <c r="B1856" s="3"/>
      <c r="C1856" s="41"/>
    </row>
    <row r="1857" spans="1:3">
      <c r="A1857" s="81">
        <v>46630</v>
      </c>
      <c r="B1857" s="3"/>
      <c r="C1857" s="41"/>
    </row>
    <row r="1858" spans="1:3">
      <c r="A1858" s="81">
        <v>46631</v>
      </c>
      <c r="B1858" s="3"/>
      <c r="C1858" s="41"/>
    </row>
    <row r="1859" spans="1:3">
      <c r="A1859" s="81">
        <v>46632</v>
      </c>
      <c r="B1859" s="3"/>
      <c r="C1859" s="41"/>
    </row>
    <row r="1860" spans="1:3">
      <c r="A1860" s="81">
        <v>46633</v>
      </c>
      <c r="B1860" s="3"/>
      <c r="C1860" s="41"/>
    </row>
    <row r="1861" spans="1:3">
      <c r="A1861" s="81">
        <v>46634</v>
      </c>
      <c r="B1861" s="3"/>
      <c r="C1861" s="41"/>
    </row>
    <row r="1862" spans="1:3">
      <c r="A1862" s="81">
        <v>46635</v>
      </c>
      <c r="B1862" s="3"/>
      <c r="C1862" s="41"/>
    </row>
    <row r="1863" spans="1:3">
      <c r="A1863" s="81">
        <v>46636</v>
      </c>
      <c r="B1863" s="3"/>
      <c r="C1863" s="41"/>
    </row>
    <row r="1864" spans="1:3">
      <c r="A1864" s="81">
        <v>46637</v>
      </c>
      <c r="B1864" s="3"/>
      <c r="C1864" s="41"/>
    </row>
    <row r="1865" spans="1:3">
      <c r="A1865" s="81">
        <v>46638</v>
      </c>
      <c r="B1865" s="3"/>
      <c r="C1865" s="41"/>
    </row>
    <row r="1866" spans="1:3">
      <c r="A1866" s="81">
        <v>46639</v>
      </c>
      <c r="B1866" s="3"/>
      <c r="C1866" s="41"/>
    </row>
    <row r="1867" spans="1:3">
      <c r="A1867" s="81">
        <v>46640</v>
      </c>
      <c r="B1867" s="3"/>
      <c r="C1867" s="41"/>
    </row>
    <row r="1868" spans="1:3">
      <c r="A1868" s="81">
        <v>46641</v>
      </c>
      <c r="B1868" s="3"/>
      <c r="C1868" s="41"/>
    </row>
    <row r="1869" spans="1:3">
      <c r="A1869" s="81">
        <v>46642</v>
      </c>
      <c r="B1869" s="3"/>
      <c r="C1869" s="41"/>
    </row>
    <row r="1870" spans="1:3">
      <c r="A1870" s="81">
        <v>46643</v>
      </c>
      <c r="B1870" s="3"/>
      <c r="C1870" s="41"/>
    </row>
    <row r="1871" spans="1:3">
      <c r="A1871" s="81">
        <v>46644</v>
      </c>
      <c r="B1871" s="3"/>
      <c r="C1871" s="41"/>
    </row>
    <row r="1872" spans="1:3">
      <c r="A1872" s="81">
        <v>46645</v>
      </c>
      <c r="B1872" s="3"/>
      <c r="C1872" s="41"/>
    </row>
    <row r="1873" spans="1:3">
      <c r="A1873" s="81">
        <v>46646</v>
      </c>
      <c r="B1873" s="3"/>
      <c r="C1873" s="41"/>
    </row>
    <row r="1874" spans="1:3">
      <c r="A1874" s="81">
        <v>46647</v>
      </c>
      <c r="B1874" s="3"/>
      <c r="C1874" s="41"/>
    </row>
    <row r="1875" spans="1:3">
      <c r="A1875" s="81">
        <v>46648</v>
      </c>
      <c r="B1875" s="3"/>
      <c r="C1875" s="41"/>
    </row>
    <row r="1876" spans="1:3">
      <c r="A1876" s="81">
        <v>46649</v>
      </c>
      <c r="B1876" s="3"/>
      <c r="C1876" s="41"/>
    </row>
    <row r="1877" spans="1:3">
      <c r="A1877" s="81">
        <v>46650</v>
      </c>
      <c r="B1877" s="3"/>
      <c r="C1877" s="41"/>
    </row>
    <row r="1878" spans="1:3">
      <c r="A1878" s="81">
        <v>46651</v>
      </c>
      <c r="B1878" s="3"/>
      <c r="C1878" s="41"/>
    </row>
    <row r="1879" spans="1:3">
      <c r="A1879" s="81">
        <v>46652</v>
      </c>
      <c r="B1879" s="3"/>
      <c r="C1879" s="41"/>
    </row>
    <row r="1880" spans="1:3">
      <c r="A1880" s="81">
        <v>46653</v>
      </c>
      <c r="B1880" s="3"/>
      <c r="C1880" s="41"/>
    </row>
    <row r="1881" spans="1:3">
      <c r="A1881" s="81">
        <v>46654</v>
      </c>
      <c r="B1881" s="3"/>
      <c r="C1881" s="41"/>
    </row>
    <row r="1882" spans="1:3">
      <c r="A1882" s="81">
        <v>46655</v>
      </c>
      <c r="B1882" s="3"/>
      <c r="C1882" s="41"/>
    </row>
    <row r="1883" spans="1:3">
      <c r="A1883" s="81">
        <v>46656</v>
      </c>
      <c r="B1883" s="3"/>
      <c r="C1883" s="41"/>
    </row>
    <row r="1884" spans="1:3">
      <c r="A1884" s="81">
        <v>46657</v>
      </c>
      <c r="B1884" s="3"/>
      <c r="C1884" s="41"/>
    </row>
    <row r="1885" spans="1:3">
      <c r="A1885" s="81">
        <v>46658</v>
      </c>
      <c r="B1885" s="3"/>
      <c r="C1885" s="41"/>
    </row>
    <row r="1886" spans="1:3">
      <c r="A1886" s="81">
        <v>46659</v>
      </c>
      <c r="B1886" s="3"/>
      <c r="C1886" s="41"/>
    </row>
    <row r="1887" spans="1:3">
      <c r="A1887" s="81">
        <v>46660</v>
      </c>
      <c r="B1887" s="3"/>
      <c r="C1887" s="41"/>
    </row>
    <row r="1888" spans="1:3">
      <c r="A1888" s="81">
        <v>46661</v>
      </c>
      <c r="B1888" s="3"/>
      <c r="C1888" s="41"/>
    </row>
    <row r="1889" spans="1:3">
      <c r="A1889" s="81">
        <v>46662</v>
      </c>
      <c r="B1889" s="3"/>
      <c r="C1889" s="41"/>
    </row>
    <row r="1890" spans="1:3">
      <c r="A1890" s="81">
        <v>46663</v>
      </c>
      <c r="B1890" s="3"/>
      <c r="C1890" s="41"/>
    </row>
    <row r="1891" spans="1:3">
      <c r="A1891" s="81">
        <v>46664</v>
      </c>
      <c r="B1891" s="3"/>
      <c r="C1891" s="41"/>
    </row>
    <row r="1892" spans="1:3">
      <c r="A1892" s="81">
        <v>46665</v>
      </c>
      <c r="B1892" s="3"/>
      <c r="C1892" s="41"/>
    </row>
    <row r="1893" spans="1:3">
      <c r="A1893" s="81">
        <v>46666</v>
      </c>
      <c r="B1893" s="3"/>
      <c r="C1893" s="41"/>
    </row>
    <row r="1894" spans="1:3">
      <c r="A1894" s="81">
        <v>46667</v>
      </c>
      <c r="B1894" s="3"/>
      <c r="C1894" s="41"/>
    </row>
    <row r="1895" spans="1:3">
      <c r="A1895" s="81">
        <v>46668</v>
      </c>
      <c r="B1895" s="3"/>
      <c r="C1895" s="41"/>
    </row>
    <row r="1896" spans="1:3">
      <c r="A1896" s="81">
        <v>46669</v>
      </c>
      <c r="B1896" s="3"/>
      <c r="C1896" s="41"/>
    </row>
    <row r="1897" spans="1:3">
      <c r="A1897" s="81">
        <v>46670</v>
      </c>
      <c r="B1897" s="3"/>
      <c r="C1897" s="41"/>
    </row>
    <row r="1898" spans="1:3">
      <c r="A1898" s="81">
        <v>46671</v>
      </c>
      <c r="B1898" s="3"/>
      <c r="C1898" s="41"/>
    </row>
    <row r="1899" spans="1:3">
      <c r="A1899" s="81">
        <v>46672</v>
      </c>
      <c r="B1899" s="3"/>
      <c r="C1899" s="41"/>
    </row>
    <row r="1900" spans="1:3">
      <c r="A1900" s="81">
        <v>46673</v>
      </c>
      <c r="B1900" s="3"/>
      <c r="C1900" s="41"/>
    </row>
    <row r="1901" spans="1:3">
      <c r="A1901" s="81">
        <v>46674</v>
      </c>
      <c r="B1901" s="3"/>
      <c r="C1901" s="41"/>
    </row>
    <row r="1902" spans="1:3">
      <c r="A1902" s="81">
        <v>46675</v>
      </c>
      <c r="B1902" s="3"/>
      <c r="C1902" s="41"/>
    </row>
    <row r="1903" spans="1:3">
      <c r="A1903" s="81">
        <v>46676</v>
      </c>
      <c r="B1903" s="3"/>
      <c r="C1903" s="41"/>
    </row>
    <row r="1904" spans="1:3">
      <c r="A1904" s="81">
        <v>46677</v>
      </c>
      <c r="B1904" s="3"/>
      <c r="C1904" s="41"/>
    </row>
    <row r="1905" spans="1:3">
      <c r="A1905" s="81">
        <v>46678</v>
      </c>
      <c r="B1905" s="3"/>
      <c r="C1905" s="41"/>
    </row>
    <row r="1906" spans="1:3">
      <c r="A1906" s="81">
        <v>46679</v>
      </c>
      <c r="B1906" s="3"/>
      <c r="C1906" s="41"/>
    </row>
    <row r="1907" spans="1:3">
      <c r="A1907" s="81">
        <v>46680</v>
      </c>
      <c r="B1907" s="3"/>
      <c r="C1907" s="41"/>
    </row>
    <row r="1908" spans="1:3">
      <c r="A1908" s="81">
        <v>46681</v>
      </c>
      <c r="B1908" s="3"/>
      <c r="C1908" s="41"/>
    </row>
    <row r="1909" spans="1:3">
      <c r="A1909" s="81">
        <v>46682</v>
      </c>
      <c r="B1909" s="3"/>
      <c r="C1909" s="41"/>
    </row>
    <row r="1910" spans="1:3">
      <c r="A1910" s="81">
        <v>46683</v>
      </c>
      <c r="B1910" s="3"/>
      <c r="C1910" s="41"/>
    </row>
    <row r="1911" spans="1:3">
      <c r="A1911" s="81">
        <v>46684</v>
      </c>
      <c r="B1911" s="3"/>
      <c r="C1911" s="41"/>
    </row>
    <row r="1912" spans="1:3">
      <c r="A1912" s="81">
        <v>46685</v>
      </c>
      <c r="B1912" s="3"/>
      <c r="C1912" s="41"/>
    </row>
    <row r="1913" spans="1:3">
      <c r="A1913" s="81">
        <v>46686</v>
      </c>
      <c r="B1913" s="3"/>
      <c r="C1913" s="41"/>
    </row>
    <row r="1914" spans="1:3">
      <c r="A1914" s="81">
        <v>46687</v>
      </c>
      <c r="B1914" s="3"/>
      <c r="C1914" s="41"/>
    </row>
    <row r="1915" spans="1:3">
      <c r="A1915" s="81">
        <v>46688</v>
      </c>
      <c r="B1915" s="3"/>
      <c r="C1915" s="41"/>
    </row>
    <row r="1916" spans="1:3">
      <c r="A1916" s="81">
        <v>46689</v>
      </c>
      <c r="B1916" s="3"/>
      <c r="C1916" s="41"/>
    </row>
    <row r="1917" spans="1:3">
      <c r="A1917" s="81">
        <v>46690</v>
      </c>
      <c r="B1917" s="3"/>
      <c r="C1917" s="41"/>
    </row>
    <row r="1918" spans="1:3">
      <c r="A1918" s="81">
        <v>46691</v>
      </c>
      <c r="B1918" s="3"/>
      <c r="C1918" s="41"/>
    </row>
    <row r="1919" spans="1:3">
      <c r="A1919" s="81">
        <v>46692</v>
      </c>
      <c r="B1919" s="3"/>
      <c r="C1919" s="41"/>
    </row>
    <row r="1920" spans="1:3">
      <c r="A1920" s="81">
        <v>46693</v>
      </c>
      <c r="B1920" s="3"/>
      <c r="C1920" s="41"/>
    </row>
    <row r="1921" spans="1:3">
      <c r="A1921" s="81">
        <v>46694</v>
      </c>
      <c r="B1921" s="3"/>
      <c r="C1921" s="41"/>
    </row>
    <row r="1922" spans="1:3">
      <c r="A1922" s="81">
        <v>46695</v>
      </c>
      <c r="B1922" s="3"/>
      <c r="C1922" s="41"/>
    </row>
    <row r="1923" spans="1:3">
      <c r="A1923" s="81">
        <v>46696</v>
      </c>
      <c r="B1923" s="3"/>
      <c r="C1923" s="41"/>
    </row>
    <row r="1924" spans="1:3">
      <c r="A1924" s="81">
        <v>46697</v>
      </c>
      <c r="B1924" s="3"/>
      <c r="C1924" s="41"/>
    </row>
    <row r="1925" spans="1:3">
      <c r="A1925" s="81">
        <v>46698</v>
      </c>
      <c r="B1925" s="3"/>
      <c r="C1925" s="41"/>
    </row>
    <row r="1926" spans="1:3">
      <c r="A1926" s="81">
        <v>46699</v>
      </c>
      <c r="B1926" s="3"/>
      <c r="C1926" s="41"/>
    </row>
    <row r="1927" spans="1:3">
      <c r="A1927" s="81">
        <v>46700</v>
      </c>
      <c r="B1927" s="3"/>
      <c r="C1927" s="41"/>
    </row>
    <row r="1928" spans="1:3">
      <c r="A1928" s="81">
        <v>46701</v>
      </c>
      <c r="B1928" s="3"/>
      <c r="C1928" s="41"/>
    </row>
    <row r="1929" spans="1:3">
      <c r="A1929" s="81">
        <v>46702</v>
      </c>
      <c r="B1929" s="3"/>
      <c r="C1929" s="41"/>
    </row>
    <row r="1930" spans="1:3">
      <c r="A1930" s="81">
        <v>46703</v>
      </c>
      <c r="B1930" s="3"/>
      <c r="C1930" s="41"/>
    </row>
    <row r="1931" spans="1:3">
      <c r="A1931" s="81">
        <v>46704</v>
      </c>
      <c r="B1931" s="3"/>
      <c r="C1931" s="41"/>
    </row>
    <row r="1932" spans="1:3">
      <c r="A1932" s="81">
        <v>46705</v>
      </c>
      <c r="B1932" s="3"/>
      <c r="C1932" s="41"/>
    </row>
    <row r="1933" spans="1:3">
      <c r="A1933" s="81">
        <v>46706</v>
      </c>
      <c r="B1933" s="3"/>
      <c r="C1933" s="41"/>
    </row>
    <row r="1934" spans="1:3">
      <c r="A1934" s="81">
        <v>46707</v>
      </c>
      <c r="B1934" s="3"/>
      <c r="C1934" s="41"/>
    </row>
    <row r="1935" spans="1:3">
      <c r="A1935" s="81">
        <v>46708</v>
      </c>
      <c r="B1935" s="3"/>
      <c r="C1935" s="41"/>
    </row>
    <row r="1936" spans="1:3">
      <c r="A1936" s="81">
        <v>46709</v>
      </c>
      <c r="B1936" s="3"/>
      <c r="C1936" s="41"/>
    </row>
    <row r="1937" spans="1:3">
      <c r="A1937" s="81">
        <v>46710</v>
      </c>
      <c r="B1937" s="3"/>
      <c r="C1937" s="41"/>
    </row>
    <row r="1938" spans="1:3">
      <c r="A1938" s="81">
        <v>46711</v>
      </c>
      <c r="B1938" s="3"/>
      <c r="C1938" s="41"/>
    </row>
    <row r="1939" spans="1:3">
      <c r="A1939" s="81">
        <v>46712</v>
      </c>
      <c r="B1939" s="3"/>
      <c r="C1939" s="41"/>
    </row>
    <row r="1940" spans="1:3">
      <c r="A1940" s="81">
        <v>46713</v>
      </c>
      <c r="B1940" s="3"/>
      <c r="C1940" s="41"/>
    </row>
    <row r="1941" spans="1:3">
      <c r="A1941" s="81">
        <v>46714</v>
      </c>
      <c r="B1941" s="3"/>
      <c r="C1941" s="41"/>
    </row>
    <row r="1942" spans="1:3">
      <c r="A1942" s="81">
        <v>46715</v>
      </c>
      <c r="B1942" s="3"/>
      <c r="C1942" s="41"/>
    </row>
    <row r="1943" spans="1:3">
      <c r="A1943" s="81">
        <v>46716</v>
      </c>
      <c r="B1943" s="3"/>
      <c r="C1943" s="41"/>
    </row>
    <row r="1944" spans="1:3">
      <c r="A1944" s="81">
        <v>46717</v>
      </c>
      <c r="B1944" s="3"/>
      <c r="C1944" s="41"/>
    </row>
    <row r="1945" spans="1:3">
      <c r="A1945" s="81">
        <v>46718</v>
      </c>
      <c r="B1945" s="3"/>
      <c r="C1945" s="41"/>
    </row>
    <row r="1946" spans="1:3">
      <c r="A1946" s="81">
        <v>46719</v>
      </c>
      <c r="B1946" s="3"/>
      <c r="C1946" s="41"/>
    </row>
    <row r="1947" spans="1:3">
      <c r="A1947" s="81">
        <v>46720</v>
      </c>
      <c r="B1947" s="3"/>
      <c r="C1947" s="41"/>
    </row>
    <row r="1948" spans="1:3">
      <c r="A1948" s="81">
        <v>46721</v>
      </c>
      <c r="B1948" s="3"/>
      <c r="C1948" s="41"/>
    </row>
    <row r="1949" spans="1:3">
      <c r="A1949" s="81">
        <v>46722</v>
      </c>
      <c r="B1949" s="3"/>
      <c r="C1949" s="41"/>
    </row>
    <row r="1950" spans="1:3">
      <c r="A1950" s="81">
        <v>46723</v>
      </c>
      <c r="B1950" s="3"/>
      <c r="C1950" s="41"/>
    </row>
    <row r="1951" spans="1:3">
      <c r="A1951" s="81">
        <v>46724</v>
      </c>
      <c r="B1951" s="3"/>
      <c r="C1951" s="41"/>
    </row>
    <row r="1952" spans="1:3">
      <c r="A1952" s="81">
        <v>46725</v>
      </c>
      <c r="B1952" s="3"/>
      <c r="C1952" s="41"/>
    </row>
    <row r="1953" spans="1:3">
      <c r="A1953" s="81">
        <v>46726</v>
      </c>
      <c r="B1953" s="3"/>
      <c r="C1953" s="41"/>
    </row>
    <row r="1954" spans="1:3">
      <c r="A1954" s="81">
        <v>46727</v>
      </c>
      <c r="B1954" s="3"/>
      <c r="C1954" s="41"/>
    </row>
    <row r="1955" spans="1:3">
      <c r="A1955" s="81">
        <v>46728</v>
      </c>
      <c r="B1955" s="3"/>
      <c r="C1955" s="41"/>
    </row>
    <row r="1956" spans="1:3">
      <c r="A1956" s="81">
        <v>46729</v>
      </c>
      <c r="B1956" s="3"/>
      <c r="C1956" s="41"/>
    </row>
    <row r="1957" spans="1:3">
      <c r="A1957" s="81">
        <v>46730</v>
      </c>
      <c r="B1957" s="3"/>
      <c r="C1957" s="41"/>
    </row>
    <row r="1958" spans="1:3">
      <c r="A1958" s="81">
        <v>46731</v>
      </c>
      <c r="B1958" s="3"/>
      <c r="C1958" s="41"/>
    </row>
    <row r="1959" spans="1:3">
      <c r="A1959" s="81">
        <v>46732</v>
      </c>
      <c r="B1959" s="3"/>
      <c r="C1959" s="41"/>
    </row>
    <row r="1960" spans="1:3">
      <c r="A1960" s="81">
        <v>46733</v>
      </c>
      <c r="B1960" s="3"/>
      <c r="C1960" s="41"/>
    </row>
    <row r="1961" spans="1:3">
      <c r="A1961" s="81">
        <v>46734</v>
      </c>
      <c r="B1961" s="3"/>
      <c r="C1961" s="41"/>
    </row>
    <row r="1962" spans="1:3">
      <c r="A1962" s="81">
        <v>46735</v>
      </c>
      <c r="B1962" s="3"/>
      <c r="C1962" s="41"/>
    </row>
    <row r="1963" spans="1:3">
      <c r="A1963" s="81">
        <v>46736</v>
      </c>
      <c r="B1963" s="3"/>
      <c r="C1963" s="41"/>
    </row>
    <row r="1964" spans="1:3">
      <c r="A1964" s="81">
        <v>46737</v>
      </c>
      <c r="B1964" s="3"/>
      <c r="C1964" s="41"/>
    </row>
    <row r="1965" spans="1:3">
      <c r="A1965" s="81">
        <v>46738</v>
      </c>
      <c r="B1965" s="3"/>
      <c r="C1965" s="41"/>
    </row>
    <row r="1966" spans="1:3">
      <c r="A1966" s="81">
        <v>46739</v>
      </c>
      <c r="B1966" s="3"/>
      <c r="C1966" s="41"/>
    </row>
    <row r="1967" spans="1:3">
      <c r="A1967" s="81">
        <v>46740</v>
      </c>
      <c r="B1967" s="3"/>
      <c r="C1967" s="41"/>
    </row>
    <row r="1968" spans="1:3">
      <c r="A1968" s="81">
        <v>46741</v>
      </c>
      <c r="B1968" s="3"/>
      <c r="C1968" s="41"/>
    </row>
    <row r="1969" spans="1:3">
      <c r="A1969" s="81">
        <v>46742</v>
      </c>
      <c r="B1969" s="3"/>
      <c r="C1969" s="41"/>
    </row>
    <row r="1970" spans="1:3">
      <c r="A1970" s="81">
        <v>46743</v>
      </c>
      <c r="B1970" s="3"/>
      <c r="C1970" s="41"/>
    </row>
    <row r="1971" spans="1:3">
      <c r="A1971" s="81">
        <v>46744</v>
      </c>
      <c r="B1971" s="3"/>
      <c r="C1971" s="41"/>
    </row>
    <row r="1972" spans="1:3">
      <c r="A1972" s="81">
        <v>46745</v>
      </c>
      <c r="B1972" s="3"/>
      <c r="C1972" s="41"/>
    </row>
    <row r="1973" spans="1:3">
      <c r="A1973" s="81">
        <v>46746</v>
      </c>
      <c r="B1973" s="3"/>
      <c r="C1973" s="41"/>
    </row>
    <row r="1974" spans="1:3">
      <c r="A1974" s="81">
        <v>46747</v>
      </c>
      <c r="B1974" s="3"/>
      <c r="C1974" s="41"/>
    </row>
    <row r="1975" spans="1:3">
      <c r="A1975" s="81">
        <v>46748</v>
      </c>
      <c r="B1975" s="3"/>
      <c r="C1975" s="41"/>
    </row>
    <row r="1976" spans="1:3">
      <c r="A1976" s="81">
        <v>46749</v>
      </c>
      <c r="B1976" s="3"/>
      <c r="C1976" s="41"/>
    </row>
    <row r="1977" spans="1:3">
      <c r="A1977" s="81">
        <v>46750</v>
      </c>
      <c r="B1977" s="3"/>
      <c r="C1977" s="41"/>
    </row>
    <row r="1978" spans="1:3">
      <c r="A1978" s="81">
        <v>46751</v>
      </c>
      <c r="B1978" s="3"/>
      <c r="C1978" s="41"/>
    </row>
    <row r="1979" spans="1:3">
      <c r="A1979" s="81">
        <v>46752</v>
      </c>
      <c r="B1979" s="3"/>
      <c r="C1979" s="41"/>
    </row>
    <row r="1980" spans="1:3">
      <c r="A1980" s="81">
        <v>46753</v>
      </c>
      <c r="B1980" s="3"/>
      <c r="C1980" s="41"/>
    </row>
    <row r="1981" spans="1:3">
      <c r="A1981" s="81">
        <v>46754</v>
      </c>
      <c r="B1981" s="3"/>
      <c r="C1981" s="41"/>
    </row>
    <row r="1982" spans="1:3">
      <c r="A1982" s="81">
        <v>46755</v>
      </c>
      <c r="B1982" s="3"/>
      <c r="C1982" s="41"/>
    </row>
    <row r="1983" spans="1:3">
      <c r="A1983" s="81">
        <v>46756</v>
      </c>
      <c r="B1983" s="3"/>
      <c r="C1983" s="41"/>
    </row>
    <row r="1984" spans="1:3">
      <c r="A1984" s="81">
        <v>46757</v>
      </c>
      <c r="B1984" s="3"/>
      <c r="C1984" s="41"/>
    </row>
    <row r="1985" spans="1:3">
      <c r="A1985" s="81">
        <v>46758</v>
      </c>
      <c r="B1985" s="3"/>
      <c r="C1985" s="41"/>
    </row>
    <row r="1986" spans="1:3">
      <c r="A1986" s="81">
        <v>46759</v>
      </c>
      <c r="B1986" s="3"/>
      <c r="C1986" s="41"/>
    </row>
    <row r="1987" spans="1:3">
      <c r="A1987" s="81">
        <v>46760</v>
      </c>
      <c r="B1987" s="3"/>
      <c r="C1987" s="41"/>
    </row>
    <row r="1988" spans="1:3">
      <c r="A1988" s="81">
        <v>46761</v>
      </c>
      <c r="B1988" s="3"/>
      <c r="C1988" s="41"/>
    </row>
    <row r="1989" spans="1:3">
      <c r="A1989" s="81">
        <v>46762</v>
      </c>
      <c r="B1989" s="3"/>
      <c r="C1989" s="41"/>
    </row>
    <row r="1990" spans="1:3">
      <c r="A1990" s="81">
        <v>46763</v>
      </c>
      <c r="B1990" s="3"/>
      <c r="C1990" s="41"/>
    </row>
    <row r="1991" spans="1:3">
      <c r="A1991" s="81">
        <v>46764</v>
      </c>
      <c r="B1991" s="3"/>
      <c r="C1991" s="41"/>
    </row>
    <row r="1992" spans="1:3">
      <c r="A1992" s="81">
        <v>46765</v>
      </c>
      <c r="B1992" s="3"/>
      <c r="C1992" s="41"/>
    </row>
    <row r="1993" spans="1:3">
      <c r="A1993" s="81">
        <v>46766</v>
      </c>
      <c r="B1993" s="3"/>
      <c r="C1993" s="41"/>
    </row>
    <row r="1994" spans="1:3">
      <c r="A1994" s="81">
        <v>46767</v>
      </c>
      <c r="B1994" s="3"/>
      <c r="C1994" s="41"/>
    </row>
    <row r="1995" spans="1:3">
      <c r="A1995" s="81">
        <v>46768</v>
      </c>
      <c r="B1995" s="3"/>
      <c r="C1995" s="41"/>
    </row>
    <row r="1996" spans="1:3">
      <c r="A1996" s="81">
        <v>46769</v>
      </c>
      <c r="B1996" s="3"/>
      <c r="C1996" s="41"/>
    </row>
    <row r="1997" spans="1:3">
      <c r="A1997" s="81">
        <v>46770</v>
      </c>
      <c r="B1997" s="3"/>
      <c r="C1997" s="41"/>
    </row>
    <row r="1998" spans="1:3">
      <c r="A1998" s="81">
        <v>46771</v>
      </c>
      <c r="B1998" s="3"/>
      <c r="C1998" s="41"/>
    </row>
    <row r="1999" spans="1:3">
      <c r="A1999" s="81">
        <v>46772</v>
      </c>
      <c r="B1999" s="3"/>
      <c r="C1999" s="41"/>
    </row>
    <row r="2000" spans="1:3">
      <c r="A2000" s="81">
        <v>46773</v>
      </c>
      <c r="B2000" s="3"/>
      <c r="C2000" s="41"/>
    </row>
    <row r="2001" spans="1:3">
      <c r="A2001" s="81">
        <v>46774</v>
      </c>
      <c r="B2001" s="3"/>
      <c r="C2001" s="41"/>
    </row>
    <row r="2002" spans="1:3">
      <c r="A2002" s="81">
        <v>46775</v>
      </c>
      <c r="B2002" s="3"/>
      <c r="C2002" s="41"/>
    </row>
    <row r="2003" spans="1:3">
      <c r="A2003" s="81">
        <v>46776</v>
      </c>
      <c r="B2003" s="3"/>
      <c r="C2003" s="41"/>
    </row>
    <row r="2004" spans="1:3">
      <c r="A2004" s="81">
        <v>46777</v>
      </c>
      <c r="B2004" s="3"/>
      <c r="C2004" s="41"/>
    </row>
    <row r="2005" spans="1:3">
      <c r="A2005" s="81">
        <v>46778</v>
      </c>
      <c r="B2005" s="3"/>
      <c r="C2005" s="41"/>
    </row>
    <row r="2006" spans="1:3">
      <c r="A2006" s="81">
        <v>46779</v>
      </c>
      <c r="B2006" s="3"/>
      <c r="C2006" s="41"/>
    </row>
    <row r="2007" spans="1:3">
      <c r="A2007" s="81">
        <v>46780</v>
      </c>
      <c r="B2007" s="3"/>
      <c r="C2007" s="41"/>
    </row>
    <row r="2008" spans="1:3">
      <c r="A2008" s="81">
        <v>46781</v>
      </c>
      <c r="B2008" s="3"/>
      <c r="C2008" s="41"/>
    </row>
    <row r="2009" spans="1:3">
      <c r="A2009" s="81">
        <v>46782</v>
      </c>
      <c r="B2009" s="3"/>
      <c r="C2009" s="41"/>
    </row>
    <row r="2010" spans="1:3">
      <c r="A2010" s="81">
        <v>46783</v>
      </c>
      <c r="B2010" s="3"/>
      <c r="C2010" s="41"/>
    </row>
    <row r="2011" spans="1:3">
      <c r="A2011" s="81">
        <v>46784</v>
      </c>
      <c r="B2011" s="3"/>
      <c r="C2011" s="41"/>
    </row>
    <row r="2012" spans="1:3">
      <c r="A2012" s="81">
        <v>46785</v>
      </c>
      <c r="B2012" s="3"/>
      <c r="C2012" s="41"/>
    </row>
    <row r="2013" spans="1:3">
      <c r="A2013" s="81">
        <v>46786</v>
      </c>
      <c r="B2013" s="3"/>
      <c r="C2013" s="41"/>
    </row>
    <row r="2014" spans="1:3">
      <c r="A2014" s="81">
        <v>46787</v>
      </c>
      <c r="B2014" s="3"/>
      <c r="C2014" s="41"/>
    </row>
    <row r="2015" spans="1:3">
      <c r="A2015" s="81">
        <v>46788</v>
      </c>
      <c r="B2015" s="3"/>
      <c r="C2015" s="41"/>
    </row>
    <row r="2016" spans="1:3">
      <c r="A2016" s="81">
        <v>46789</v>
      </c>
      <c r="B2016" s="3"/>
      <c r="C2016" s="41"/>
    </row>
    <row r="2017" spans="1:3">
      <c r="A2017" s="81">
        <v>46790</v>
      </c>
      <c r="B2017" s="3"/>
      <c r="C2017" s="41"/>
    </row>
    <row r="2018" spans="1:3">
      <c r="A2018" s="81">
        <v>46791</v>
      </c>
      <c r="B2018" s="3"/>
      <c r="C2018" s="41"/>
    </row>
    <row r="2019" spans="1:3">
      <c r="A2019" s="81">
        <v>46792</v>
      </c>
      <c r="B2019" s="3"/>
      <c r="C2019" s="41"/>
    </row>
    <row r="2020" spans="1:3">
      <c r="A2020" s="81">
        <v>46793</v>
      </c>
      <c r="B2020" s="3"/>
      <c r="C2020" s="41"/>
    </row>
    <row r="2021" spans="1:3">
      <c r="A2021" s="81">
        <v>46794</v>
      </c>
      <c r="B2021" s="3"/>
      <c r="C2021" s="41"/>
    </row>
    <row r="2022" spans="1:3">
      <c r="A2022" s="81">
        <v>46795</v>
      </c>
      <c r="B2022" s="3"/>
      <c r="C2022" s="41"/>
    </row>
    <row r="2023" spans="1:3">
      <c r="A2023" s="81">
        <v>46796</v>
      </c>
      <c r="B2023" s="3"/>
      <c r="C2023" s="41"/>
    </row>
    <row r="2024" spans="1:3">
      <c r="A2024" s="81">
        <v>46797</v>
      </c>
      <c r="B2024" s="3"/>
      <c r="C2024" s="41"/>
    </row>
    <row r="2025" spans="1:3">
      <c r="A2025" s="81">
        <v>46798</v>
      </c>
      <c r="B2025" s="3"/>
      <c r="C2025" s="41"/>
    </row>
    <row r="2026" spans="1:3">
      <c r="A2026" s="81">
        <v>46799</v>
      </c>
      <c r="B2026" s="3"/>
      <c r="C2026" s="41"/>
    </row>
    <row r="2027" spans="1:3">
      <c r="A2027" s="81">
        <v>46800</v>
      </c>
      <c r="B2027" s="3"/>
      <c r="C2027" s="41"/>
    </row>
    <row r="2028" spans="1:3">
      <c r="A2028" s="81">
        <v>46801</v>
      </c>
      <c r="B2028" s="3"/>
      <c r="C2028" s="41"/>
    </row>
    <row r="2029" spans="1:3">
      <c r="A2029" s="81">
        <v>46802</v>
      </c>
      <c r="B2029" s="3"/>
      <c r="C2029" s="41"/>
    </row>
    <row r="2030" spans="1:3">
      <c r="A2030" s="81">
        <v>46803</v>
      </c>
      <c r="B2030" s="3"/>
      <c r="C2030" s="41"/>
    </row>
    <row r="2031" spans="1:3">
      <c r="A2031" s="81">
        <v>46804</v>
      </c>
      <c r="B2031" s="3"/>
      <c r="C2031" s="41"/>
    </row>
    <row r="2032" spans="1:3">
      <c r="A2032" s="81">
        <v>46805</v>
      </c>
      <c r="B2032" s="3"/>
      <c r="C2032" s="41"/>
    </row>
    <row r="2033" spans="1:3">
      <c r="A2033" s="81">
        <v>46806</v>
      </c>
      <c r="B2033" s="3"/>
      <c r="C2033" s="41"/>
    </row>
    <row r="2034" spans="1:3">
      <c r="A2034" s="81">
        <v>46807</v>
      </c>
      <c r="B2034" s="3"/>
      <c r="C2034" s="41"/>
    </row>
    <row r="2035" spans="1:3">
      <c r="A2035" s="81">
        <v>46808</v>
      </c>
      <c r="B2035" s="3"/>
      <c r="C2035" s="41"/>
    </row>
    <row r="2036" spans="1:3">
      <c r="A2036" s="81">
        <v>46809</v>
      </c>
      <c r="B2036" s="3"/>
      <c r="C2036" s="41"/>
    </row>
    <row r="2037" spans="1:3">
      <c r="A2037" s="81">
        <v>46810</v>
      </c>
      <c r="B2037" s="3"/>
      <c r="C2037" s="41"/>
    </row>
    <row r="2038" spans="1:3">
      <c r="A2038" s="81">
        <v>46811</v>
      </c>
      <c r="B2038" s="3"/>
      <c r="C2038" s="41"/>
    </row>
    <row r="2039" spans="1:3">
      <c r="A2039" s="81">
        <v>46812</v>
      </c>
      <c r="B2039" s="3"/>
      <c r="C2039" s="41"/>
    </row>
    <row r="2040" spans="1:3">
      <c r="A2040" s="81">
        <v>46813</v>
      </c>
      <c r="B2040" s="3"/>
      <c r="C2040" s="41"/>
    </row>
    <row r="2041" spans="1:3">
      <c r="A2041" s="81">
        <v>46814</v>
      </c>
      <c r="B2041" s="3"/>
      <c r="C2041" s="41"/>
    </row>
    <row r="2042" spans="1:3">
      <c r="A2042" s="81">
        <v>46815</v>
      </c>
      <c r="B2042" s="3"/>
      <c r="C2042" s="41"/>
    </row>
    <row r="2043" spans="1:3">
      <c r="A2043" s="81">
        <v>46816</v>
      </c>
      <c r="B2043" s="3"/>
      <c r="C2043" s="41"/>
    </row>
    <row r="2044" spans="1:3">
      <c r="A2044" s="81">
        <v>46817</v>
      </c>
      <c r="B2044" s="3"/>
      <c r="C2044" s="41"/>
    </row>
    <row r="2045" spans="1:3">
      <c r="A2045" s="81">
        <v>46818</v>
      </c>
      <c r="B2045" s="3"/>
      <c r="C2045" s="41"/>
    </row>
    <row r="2046" spans="1:3">
      <c r="A2046" s="81">
        <v>46819</v>
      </c>
      <c r="B2046" s="3"/>
      <c r="C2046" s="41"/>
    </row>
    <row r="2047" spans="1:3">
      <c r="A2047" s="81">
        <v>46820</v>
      </c>
      <c r="B2047" s="3"/>
      <c r="C2047" s="41"/>
    </row>
    <row r="2048" spans="1:3">
      <c r="A2048" s="81">
        <v>46821</v>
      </c>
      <c r="B2048" s="3"/>
      <c r="C2048" s="41"/>
    </row>
    <row r="2049" spans="1:3">
      <c r="A2049" s="81">
        <v>46822</v>
      </c>
      <c r="B2049" s="3"/>
      <c r="C2049" s="41"/>
    </row>
    <row r="2050" spans="1:3">
      <c r="A2050" s="81">
        <v>46823</v>
      </c>
      <c r="B2050" s="3"/>
      <c r="C2050" s="41"/>
    </row>
    <row r="2051" spans="1:3">
      <c r="A2051" s="81">
        <v>46824</v>
      </c>
      <c r="B2051" s="3"/>
      <c r="C2051" s="41"/>
    </row>
    <row r="2052" spans="1:3">
      <c r="A2052" s="81">
        <v>46825</v>
      </c>
      <c r="B2052" s="3"/>
      <c r="C2052" s="41"/>
    </row>
    <row r="2053" spans="1:3">
      <c r="A2053" s="81">
        <v>46826</v>
      </c>
      <c r="B2053" s="3"/>
      <c r="C2053" s="41"/>
    </row>
    <row r="2054" spans="1:3">
      <c r="A2054" s="81">
        <v>46827</v>
      </c>
      <c r="B2054" s="3"/>
      <c r="C2054" s="41"/>
    </row>
    <row r="2055" spans="1:3">
      <c r="A2055" s="81">
        <v>46828</v>
      </c>
      <c r="B2055" s="3"/>
      <c r="C2055" s="41"/>
    </row>
    <row r="2056" spans="1:3">
      <c r="A2056" s="81">
        <v>46829</v>
      </c>
      <c r="B2056" s="3"/>
      <c r="C2056" s="41"/>
    </row>
    <row r="2057" spans="1:3">
      <c r="A2057" s="81">
        <v>46830</v>
      </c>
      <c r="B2057" s="3"/>
      <c r="C2057" s="41"/>
    </row>
    <row r="2058" spans="1:3">
      <c r="A2058" s="81">
        <v>46831</v>
      </c>
      <c r="B2058" s="3"/>
      <c r="C2058" s="41"/>
    </row>
    <row r="2059" spans="1:3">
      <c r="A2059" s="81">
        <v>46832</v>
      </c>
      <c r="B2059" s="3"/>
      <c r="C2059" s="41"/>
    </row>
    <row r="2060" spans="1:3">
      <c r="A2060" s="81">
        <v>46833</v>
      </c>
      <c r="B2060" s="3"/>
      <c r="C2060" s="41"/>
    </row>
    <row r="2061" spans="1:3">
      <c r="A2061" s="81">
        <v>46834</v>
      </c>
      <c r="B2061" s="3"/>
      <c r="C2061" s="41"/>
    </row>
    <row r="2062" spans="1:3">
      <c r="A2062" s="81">
        <v>46835</v>
      </c>
      <c r="B2062" s="3"/>
      <c r="C2062" s="41"/>
    </row>
    <row r="2063" spans="1:3">
      <c r="A2063" s="81">
        <v>46836</v>
      </c>
      <c r="B2063" s="3"/>
      <c r="C2063" s="41"/>
    </row>
    <row r="2064" spans="1:3">
      <c r="A2064" s="81">
        <v>46837</v>
      </c>
      <c r="B2064" s="3"/>
      <c r="C2064" s="41"/>
    </row>
    <row r="2065" spans="1:3">
      <c r="A2065" s="81">
        <v>46838</v>
      </c>
      <c r="B2065" s="3"/>
      <c r="C2065" s="41"/>
    </row>
    <row r="2066" spans="1:3">
      <c r="A2066" s="81">
        <v>46839</v>
      </c>
      <c r="B2066" s="3"/>
      <c r="C2066" s="41"/>
    </row>
    <row r="2067" spans="1:3">
      <c r="A2067" s="81">
        <v>46840</v>
      </c>
      <c r="B2067" s="3"/>
      <c r="C2067" s="41"/>
    </row>
    <row r="2068" spans="1:3">
      <c r="A2068" s="81">
        <v>46841</v>
      </c>
      <c r="B2068" s="3"/>
      <c r="C2068" s="41"/>
    </row>
    <row r="2069" spans="1:3">
      <c r="A2069" s="81">
        <v>46842</v>
      </c>
      <c r="B2069" s="3"/>
      <c r="C2069" s="41"/>
    </row>
    <row r="2070" spans="1:3">
      <c r="A2070" s="81">
        <v>46843</v>
      </c>
      <c r="B2070" s="3"/>
      <c r="C2070" s="41"/>
    </row>
    <row r="2071" spans="1:3">
      <c r="A2071" s="81">
        <v>46844</v>
      </c>
      <c r="B2071" s="3"/>
      <c r="C2071" s="41"/>
    </row>
    <row r="2072" spans="1:3">
      <c r="A2072" s="81">
        <v>46845</v>
      </c>
      <c r="B2072" s="3"/>
      <c r="C2072" s="41"/>
    </row>
    <row r="2073" spans="1:3">
      <c r="A2073" s="81">
        <v>46846</v>
      </c>
      <c r="B2073" s="3"/>
      <c r="C2073" s="41"/>
    </row>
    <row r="2074" spans="1:3">
      <c r="A2074" s="81">
        <v>46847</v>
      </c>
      <c r="B2074" s="3"/>
      <c r="C2074" s="41"/>
    </row>
    <row r="2075" spans="1:3">
      <c r="A2075" s="81">
        <v>46848</v>
      </c>
      <c r="B2075" s="3"/>
      <c r="C2075" s="41"/>
    </row>
    <row r="2076" spans="1:3">
      <c r="A2076" s="81">
        <v>46849</v>
      </c>
      <c r="B2076" s="3"/>
      <c r="C2076" s="41"/>
    </row>
    <row r="2077" spans="1:3">
      <c r="A2077" s="81">
        <v>46850</v>
      </c>
      <c r="B2077" s="3"/>
      <c r="C2077" s="41"/>
    </row>
    <row r="2078" spans="1:3">
      <c r="A2078" s="81">
        <v>46851</v>
      </c>
      <c r="B2078" s="3"/>
      <c r="C2078" s="41"/>
    </row>
    <row r="2079" spans="1:3">
      <c r="A2079" s="81">
        <v>46852</v>
      </c>
      <c r="B2079" s="3"/>
      <c r="C2079" s="41"/>
    </row>
    <row r="2080" spans="1:3">
      <c r="A2080" s="81">
        <v>46853</v>
      </c>
      <c r="B2080" s="3"/>
      <c r="C2080" s="41"/>
    </row>
    <row r="2081" spans="1:3">
      <c r="A2081" s="81">
        <v>46854</v>
      </c>
      <c r="B2081" s="3"/>
      <c r="C2081" s="41"/>
    </row>
    <row r="2082" spans="1:3">
      <c r="A2082" s="81">
        <v>46855</v>
      </c>
      <c r="B2082" s="3"/>
      <c r="C2082" s="41"/>
    </row>
    <row r="2083" spans="1:3">
      <c r="A2083" s="81">
        <v>46856</v>
      </c>
      <c r="B2083" s="3"/>
      <c r="C2083" s="41"/>
    </row>
    <row r="2084" spans="1:3">
      <c r="A2084" s="81">
        <v>46857</v>
      </c>
      <c r="B2084" s="3"/>
      <c r="C2084" s="41"/>
    </row>
    <row r="2085" spans="1:3">
      <c r="A2085" s="81">
        <v>46858</v>
      </c>
      <c r="B2085" s="3"/>
      <c r="C2085" s="41"/>
    </row>
    <row r="2086" spans="1:3">
      <c r="A2086" s="81">
        <v>46859</v>
      </c>
      <c r="B2086" s="3"/>
      <c r="C2086" s="41"/>
    </row>
    <row r="2087" spans="1:3">
      <c r="A2087" s="81">
        <v>46860</v>
      </c>
      <c r="B2087" s="3"/>
      <c r="C2087" s="41"/>
    </row>
    <row r="2088" spans="1:3">
      <c r="A2088" s="81">
        <v>46861</v>
      </c>
      <c r="B2088" s="3"/>
      <c r="C2088" s="41"/>
    </row>
    <row r="2089" spans="1:3">
      <c r="A2089" s="81">
        <v>46862</v>
      </c>
      <c r="B2089" s="3"/>
      <c r="C2089" s="41"/>
    </row>
    <row r="2090" spans="1:3">
      <c r="A2090" s="81">
        <v>46863</v>
      </c>
      <c r="B2090" s="3"/>
      <c r="C2090" s="41"/>
    </row>
    <row r="2091" spans="1:3">
      <c r="A2091" s="81">
        <v>46864</v>
      </c>
      <c r="B2091" s="3"/>
      <c r="C2091" s="41"/>
    </row>
    <row r="2092" spans="1:3">
      <c r="A2092" s="81">
        <v>46865</v>
      </c>
      <c r="B2092" s="3"/>
      <c r="C2092" s="41"/>
    </row>
    <row r="2093" spans="1:3">
      <c r="A2093" s="81">
        <v>46866</v>
      </c>
      <c r="B2093" s="3"/>
      <c r="C2093" s="41"/>
    </row>
    <row r="2094" spans="1:3">
      <c r="A2094" s="81">
        <v>46867</v>
      </c>
      <c r="B2094" s="3"/>
      <c r="C2094" s="41"/>
    </row>
    <row r="2095" spans="1:3">
      <c r="A2095" s="81">
        <v>46868</v>
      </c>
      <c r="B2095" s="3"/>
      <c r="C2095" s="41"/>
    </row>
    <row r="2096" spans="1:3">
      <c r="A2096" s="81">
        <v>46869</v>
      </c>
      <c r="B2096" s="3"/>
      <c r="C2096" s="41"/>
    </row>
    <row r="2097" spans="1:3">
      <c r="A2097" s="81">
        <v>46870</v>
      </c>
      <c r="B2097" s="3"/>
      <c r="C2097" s="41"/>
    </row>
    <row r="2098" spans="1:3">
      <c r="A2098" s="81">
        <v>46871</v>
      </c>
      <c r="B2098" s="3"/>
      <c r="C2098" s="41"/>
    </row>
    <row r="2099" spans="1:3">
      <c r="A2099" s="81">
        <v>46872</v>
      </c>
      <c r="B2099" s="3"/>
      <c r="C2099" s="41"/>
    </row>
    <row r="2100" spans="1:3">
      <c r="A2100" s="81">
        <v>46873</v>
      </c>
      <c r="B2100" s="3"/>
      <c r="C2100" s="41"/>
    </row>
    <row r="2101" spans="1:3">
      <c r="A2101" s="81">
        <v>46874</v>
      </c>
      <c r="B2101" s="3"/>
      <c r="C2101" s="41"/>
    </row>
    <row r="2102" spans="1:3">
      <c r="A2102" s="81">
        <v>46875</v>
      </c>
      <c r="B2102" s="3"/>
      <c r="C2102" s="41"/>
    </row>
    <row r="2103" spans="1:3">
      <c r="A2103" s="81">
        <v>46876</v>
      </c>
      <c r="B2103" s="3"/>
      <c r="C2103" s="41"/>
    </row>
    <row r="2104" spans="1:3">
      <c r="A2104" s="81">
        <v>46877</v>
      </c>
      <c r="B2104" s="3"/>
      <c r="C2104" s="41"/>
    </row>
    <row r="2105" spans="1:3">
      <c r="A2105" s="81">
        <v>46878</v>
      </c>
      <c r="B2105" s="3"/>
      <c r="C2105" s="41"/>
    </row>
    <row r="2106" spans="1:3">
      <c r="A2106" s="81">
        <v>46879</v>
      </c>
      <c r="B2106" s="3"/>
      <c r="C2106" s="41"/>
    </row>
    <row r="2107" spans="1:3">
      <c r="A2107" s="81">
        <v>46880</v>
      </c>
      <c r="B2107" s="3"/>
      <c r="C2107" s="41"/>
    </row>
    <row r="2108" spans="1:3">
      <c r="A2108" s="81">
        <v>46881</v>
      </c>
      <c r="B2108" s="3"/>
      <c r="C2108" s="41"/>
    </row>
    <row r="2109" spans="1:3">
      <c r="A2109" s="81">
        <v>46882</v>
      </c>
      <c r="B2109" s="3"/>
      <c r="C2109" s="41"/>
    </row>
    <row r="2110" spans="1:3">
      <c r="A2110" s="81">
        <v>46883</v>
      </c>
      <c r="B2110" s="3"/>
      <c r="C2110" s="41"/>
    </row>
    <row r="2111" spans="1:3">
      <c r="A2111" s="81">
        <v>46884</v>
      </c>
      <c r="B2111" s="3"/>
      <c r="C2111" s="41"/>
    </row>
    <row r="2112" spans="1:3">
      <c r="A2112" s="81">
        <v>46885</v>
      </c>
      <c r="B2112" s="3"/>
      <c r="C2112" s="41"/>
    </row>
    <row r="2113" spans="1:3">
      <c r="A2113" s="81">
        <v>46886</v>
      </c>
      <c r="B2113" s="3"/>
      <c r="C2113" s="41"/>
    </row>
    <row r="2114" spans="1:3">
      <c r="A2114" s="81">
        <v>46887</v>
      </c>
      <c r="B2114" s="3"/>
      <c r="C2114" s="41"/>
    </row>
    <row r="2115" spans="1:3">
      <c r="A2115" s="81">
        <v>46888</v>
      </c>
      <c r="B2115" s="3"/>
      <c r="C2115" s="41"/>
    </row>
    <row r="2116" spans="1:3">
      <c r="A2116" s="81">
        <v>46889</v>
      </c>
      <c r="B2116" s="3"/>
      <c r="C2116" s="41"/>
    </row>
    <row r="2117" spans="1:3">
      <c r="A2117" s="81">
        <v>46890</v>
      </c>
      <c r="B2117" s="3"/>
      <c r="C2117" s="41"/>
    </row>
    <row r="2118" spans="1:3">
      <c r="A2118" s="81">
        <v>46891</v>
      </c>
      <c r="B2118" s="3"/>
      <c r="C2118" s="41"/>
    </row>
    <row r="2119" spans="1:3">
      <c r="A2119" s="81">
        <v>46892</v>
      </c>
      <c r="B2119" s="3"/>
      <c r="C2119" s="41"/>
    </row>
    <row r="2120" spans="1:3">
      <c r="A2120" s="81">
        <v>46893</v>
      </c>
      <c r="B2120" s="3"/>
      <c r="C2120" s="41"/>
    </row>
    <row r="2121" spans="1:3">
      <c r="A2121" s="81">
        <v>46894</v>
      </c>
      <c r="B2121" s="3"/>
      <c r="C2121" s="41"/>
    </row>
    <row r="2122" spans="1:3">
      <c r="A2122" s="81">
        <v>46895</v>
      </c>
      <c r="B2122" s="3"/>
      <c r="C2122" s="41"/>
    </row>
    <row r="2123" spans="1:3">
      <c r="A2123" s="81">
        <v>46896</v>
      </c>
      <c r="B2123" s="3"/>
      <c r="C2123" s="41"/>
    </row>
    <row r="2124" spans="1:3">
      <c r="A2124" s="81">
        <v>46897</v>
      </c>
      <c r="B2124" s="3"/>
      <c r="C2124" s="41"/>
    </row>
    <row r="2125" spans="1:3">
      <c r="A2125" s="81">
        <v>46898</v>
      </c>
      <c r="B2125" s="3"/>
      <c r="C2125" s="41"/>
    </row>
    <row r="2126" spans="1:3">
      <c r="A2126" s="81">
        <v>46899</v>
      </c>
      <c r="B2126" s="3"/>
      <c r="C2126" s="41"/>
    </row>
    <row r="2127" spans="1:3">
      <c r="A2127" s="81">
        <v>46900</v>
      </c>
      <c r="B2127" s="3"/>
      <c r="C2127" s="41"/>
    </row>
    <row r="2128" spans="1:3">
      <c r="A2128" s="81">
        <v>46901</v>
      </c>
      <c r="B2128" s="3"/>
      <c r="C2128" s="41"/>
    </row>
    <row r="2129" spans="1:3">
      <c r="A2129" s="81">
        <v>46902</v>
      </c>
      <c r="B2129" s="3"/>
      <c r="C2129" s="41"/>
    </row>
    <row r="2130" spans="1:3">
      <c r="A2130" s="81">
        <v>46903</v>
      </c>
      <c r="B2130" s="3"/>
      <c r="C2130" s="41"/>
    </row>
    <row r="2131" spans="1:3">
      <c r="A2131" s="81">
        <v>46904</v>
      </c>
      <c r="B2131" s="3"/>
      <c r="C2131" s="41"/>
    </row>
    <row r="2132" spans="1:3">
      <c r="A2132" s="81">
        <v>46905</v>
      </c>
      <c r="B2132" s="3"/>
      <c r="C2132" s="41"/>
    </row>
    <row r="2133" spans="1:3">
      <c r="A2133" s="81">
        <v>46906</v>
      </c>
      <c r="B2133" s="3"/>
      <c r="C2133" s="41"/>
    </row>
    <row r="2134" spans="1:3">
      <c r="A2134" s="81">
        <v>46907</v>
      </c>
      <c r="B2134" s="3"/>
      <c r="C2134" s="41"/>
    </row>
    <row r="2135" spans="1:3">
      <c r="A2135" s="81">
        <v>46908</v>
      </c>
      <c r="B2135" s="3"/>
      <c r="C2135" s="41"/>
    </row>
    <row r="2136" spans="1:3">
      <c r="A2136" s="81">
        <v>46909</v>
      </c>
      <c r="B2136" s="3"/>
      <c r="C2136" s="41"/>
    </row>
    <row r="2137" spans="1:3">
      <c r="A2137" s="81">
        <v>46910</v>
      </c>
      <c r="B2137" s="3"/>
      <c r="C2137" s="41"/>
    </row>
    <row r="2138" spans="1:3">
      <c r="A2138" s="81">
        <v>46911</v>
      </c>
      <c r="B2138" s="3"/>
      <c r="C2138" s="41"/>
    </row>
    <row r="2139" spans="1:3">
      <c r="A2139" s="81">
        <v>46912</v>
      </c>
      <c r="B2139" s="3"/>
      <c r="C2139" s="41"/>
    </row>
    <row r="2140" spans="1:3">
      <c r="A2140" s="81">
        <v>46913</v>
      </c>
      <c r="B2140" s="3"/>
      <c r="C2140" s="41"/>
    </row>
    <row r="2141" spans="1:3">
      <c r="A2141" s="81">
        <v>46914</v>
      </c>
      <c r="B2141" s="3"/>
      <c r="C2141" s="41"/>
    </row>
    <row r="2142" spans="1:3">
      <c r="A2142" s="81">
        <v>46915</v>
      </c>
      <c r="B2142" s="3"/>
      <c r="C2142" s="41"/>
    </row>
    <row r="2143" spans="1:3">
      <c r="A2143" s="81">
        <v>46916</v>
      </c>
      <c r="B2143" s="3"/>
      <c r="C2143" s="41"/>
    </row>
    <row r="2144" spans="1:3">
      <c r="A2144" s="81">
        <v>46917</v>
      </c>
      <c r="B2144" s="3"/>
      <c r="C2144" s="41"/>
    </row>
    <row r="2145" spans="1:3">
      <c r="A2145" s="81">
        <v>46918</v>
      </c>
      <c r="B2145" s="3"/>
      <c r="C2145" s="41"/>
    </row>
    <row r="2146" spans="1:3">
      <c r="A2146" s="81">
        <v>46919</v>
      </c>
      <c r="B2146" s="3"/>
      <c r="C2146" s="41"/>
    </row>
    <row r="2147" spans="1:3">
      <c r="A2147" s="81">
        <v>46920</v>
      </c>
      <c r="B2147" s="3"/>
      <c r="C2147" s="41"/>
    </row>
    <row r="2148" spans="1:3">
      <c r="A2148" s="81">
        <v>46921</v>
      </c>
      <c r="B2148" s="3"/>
      <c r="C2148" s="41"/>
    </row>
    <row r="2149" spans="1:3">
      <c r="A2149" s="81">
        <v>46922</v>
      </c>
      <c r="B2149" s="3"/>
      <c r="C2149" s="41"/>
    </row>
    <row r="2150" spans="1:3">
      <c r="A2150" s="81">
        <v>46923</v>
      </c>
      <c r="B2150" s="3"/>
      <c r="C2150" s="41"/>
    </row>
    <row r="2151" spans="1:3">
      <c r="A2151" s="81">
        <v>46924</v>
      </c>
      <c r="B2151" s="3"/>
      <c r="C2151" s="41"/>
    </row>
    <row r="2152" spans="1:3">
      <c r="A2152" s="81">
        <v>46925</v>
      </c>
      <c r="B2152" s="3"/>
      <c r="C2152" s="41"/>
    </row>
    <row r="2153" spans="1:3">
      <c r="A2153" s="81">
        <v>46926</v>
      </c>
      <c r="B2153" s="3"/>
      <c r="C2153" s="41"/>
    </row>
    <row r="2154" spans="1:3">
      <c r="A2154" s="81">
        <v>46927</v>
      </c>
      <c r="B2154" s="3"/>
      <c r="C2154" s="41"/>
    </row>
    <row r="2155" spans="1:3">
      <c r="A2155" s="81">
        <v>46928</v>
      </c>
      <c r="B2155" s="3"/>
      <c r="C2155" s="41"/>
    </row>
    <row r="2156" spans="1:3">
      <c r="A2156" s="81">
        <v>46929</v>
      </c>
      <c r="B2156" s="3"/>
      <c r="C2156" s="41"/>
    </row>
    <row r="2157" spans="1:3">
      <c r="A2157" s="81">
        <v>46930</v>
      </c>
      <c r="B2157" s="3"/>
      <c r="C2157" s="41"/>
    </row>
    <row r="2158" spans="1:3">
      <c r="A2158" s="81">
        <v>46931</v>
      </c>
      <c r="B2158" s="3"/>
      <c r="C2158" s="41"/>
    </row>
    <row r="2159" spans="1:3">
      <c r="A2159" s="81">
        <v>46932</v>
      </c>
      <c r="B2159" s="3"/>
      <c r="C2159" s="41"/>
    </row>
    <row r="2160" spans="1:3">
      <c r="A2160" s="81">
        <v>46933</v>
      </c>
      <c r="B2160" s="3"/>
      <c r="C2160" s="41"/>
    </row>
    <row r="2161" spans="1:3">
      <c r="A2161" s="81">
        <v>46934</v>
      </c>
      <c r="B2161" s="3"/>
      <c r="C2161" s="41"/>
    </row>
    <row r="2162" spans="1:3">
      <c r="A2162" s="81">
        <v>46935</v>
      </c>
      <c r="B2162" s="3"/>
      <c r="C2162" s="41"/>
    </row>
    <row r="2163" spans="1:3">
      <c r="A2163" s="81">
        <v>46936</v>
      </c>
      <c r="B2163" s="3"/>
      <c r="C2163" s="41"/>
    </row>
    <row r="2164" spans="1:3">
      <c r="A2164" s="81">
        <v>46937</v>
      </c>
      <c r="B2164" s="3"/>
      <c r="C2164" s="41"/>
    </row>
    <row r="2165" spans="1:3">
      <c r="A2165" s="81">
        <v>46938</v>
      </c>
      <c r="B2165" s="3"/>
      <c r="C2165" s="41"/>
    </row>
    <row r="2166" spans="1:3">
      <c r="A2166" s="81">
        <v>46939</v>
      </c>
      <c r="B2166" s="3"/>
      <c r="C2166" s="41"/>
    </row>
    <row r="2167" spans="1:3">
      <c r="A2167" s="81">
        <v>46940</v>
      </c>
      <c r="B2167" s="3"/>
      <c r="C2167" s="41"/>
    </row>
    <row r="2168" spans="1:3">
      <c r="A2168" s="81">
        <v>46941</v>
      </c>
      <c r="B2168" s="3"/>
      <c r="C2168" s="41"/>
    </row>
    <row r="2169" spans="1:3">
      <c r="A2169" s="81">
        <v>46942</v>
      </c>
      <c r="B2169" s="3"/>
      <c r="C2169" s="41"/>
    </row>
    <row r="2170" spans="1:3">
      <c r="A2170" s="81">
        <v>46943</v>
      </c>
      <c r="B2170" s="3"/>
      <c r="C2170" s="41"/>
    </row>
    <row r="2171" spans="1:3">
      <c r="A2171" s="81">
        <v>46944</v>
      </c>
      <c r="B2171" s="3"/>
      <c r="C2171" s="41"/>
    </row>
    <row r="2172" spans="1:3">
      <c r="A2172" s="81">
        <v>46945</v>
      </c>
      <c r="B2172" s="3"/>
      <c r="C2172" s="41"/>
    </row>
    <row r="2173" spans="1:3">
      <c r="A2173" s="81">
        <v>46946</v>
      </c>
      <c r="B2173" s="3"/>
      <c r="C2173" s="41"/>
    </row>
    <row r="2174" spans="1:3">
      <c r="A2174" s="81">
        <v>46947</v>
      </c>
      <c r="B2174" s="3"/>
      <c r="C2174" s="41"/>
    </row>
    <row r="2175" spans="1:3">
      <c r="A2175" s="81">
        <v>46948</v>
      </c>
      <c r="B2175" s="3"/>
      <c r="C2175" s="41"/>
    </row>
    <row r="2176" spans="1:3">
      <c r="A2176" s="81">
        <v>46949</v>
      </c>
      <c r="B2176" s="3"/>
      <c r="C2176" s="41"/>
    </row>
    <row r="2177" spans="1:3">
      <c r="A2177" s="81">
        <v>46950</v>
      </c>
      <c r="B2177" s="3"/>
      <c r="C2177" s="41"/>
    </row>
    <row r="2178" spans="1:3">
      <c r="A2178" s="81">
        <v>46951</v>
      </c>
      <c r="B2178" s="3"/>
      <c r="C2178" s="41"/>
    </row>
    <row r="2179" spans="1:3">
      <c r="A2179" s="81">
        <v>46952</v>
      </c>
      <c r="B2179" s="3"/>
      <c r="C2179" s="41"/>
    </row>
    <row r="2180" spans="1:3">
      <c r="A2180" s="81">
        <v>46953</v>
      </c>
      <c r="B2180" s="3"/>
      <c r="C2180" s="41"/>
    </row>
    <row r="2181" spans="1:3">
      <c r="A2181" s="81">
        <v>46954</v>
      </c>
      <c r="B2181" s="3"/>
      <c r="C2181" s="41"/>
    </row>
    <row r="2182" spans="1:3">
      <c r="A2182" s="81">
        <v>46955</v>
      </c>
      <c r="B2182" s="3"/>
      <c r="C2182" s="41"/>
    </row>
    <row r="2183" spans="1:3">
      <c r="A2183" s="81">
        <v>46956</v>
      </c>
      <c r="B2183" s="3"/>
      <c r="C2183" s="41"/>
    </row>
    <row r="2184" spans="1:3">
      <c r="A2184" s="81">
        <v>46957</v>
      </c>
      <c r="B2184" s="3"/>
      <c r="C2184" s="41"/>
    </row>
    <row r="2185" spans="1:3">
      <c r="A2185" s="81">
        <v>46958</v>
      </c>
      <c r="B2185" s="3"/>
      <c r="C2185" s="41"/>
    </row>
    <row r="2186" spans="1:3">
      <c r="A2186" s="81">
        <v>46959</v>
      </c>
      <c r="B2186" s="3"/>
      <c r="C2186" s="41"/>
    </row>
    <row r="2187" spans="1:3">
      <c r="A2187" s="81">
        <v>46960</v>
      </c>
      <c r="B2187" s="3"/>
      <c r="C2187" s="41"/>
    </row>
    <row r="2188" spans="1:3">
      <c r="A2188" s="81">
        <v>46961</v>
      </c>
      <c r="B2188" s="3"/>
      <c r="C2188" s="41"/>
    </row>
    <row r="2189" spans="1:3">
      <c r="A2189" s="81">
        <v>46962</v>
      </c>
      <c r="B2189" s="3"/>
      <c r="C2189" s="41"/>
    </row>
    <row r="2190" spans="1:3">
      <c r="A2190" s="81">
        <v>46963</v>
      </c>
      <c r="B2190" s="3"/>
      <c r="C2190" s="41"/>
    </row>
    <row r="2191" spans="1:3">
      <c r="A2191" s="81">
        <v>46964</v>
      </c>
      <c r="B2191" s="3"/>
      <c r="C2191" s="41"/>
    </row>
    <row r="2192" spans="1:3">
      <c r="A2192" s="81">
        <v>46965</v>
      </c>
      <c r="B2192" s="3"/>
      <c r="C2192" s="41"/>
    </row>
    <row r="2193" spans="1:3">
      <c r="A2193" s="81">
        <v>46966</v>
      </c>
      <c r="B2193" s="3"/>
      <c r="C2193" s="41"/>
    </row>
    <row r="2194" spans="1:3">
      <c r="A2194" s="81">
        <v>46967</v>
      </c>
      <c r="B2194" s="3"/>
      <c r="C2194" s="41"/>
    </row>
    <row r="2195" spans="1:3">
      <c r="A2195" s="81">
        <v>46968</v>
      </c>
      <c r="B2195" s="3"/>
      <c r="C2195" s="41"/>
    </row>
    <row r="2196" spans="1:3">
      <c r="A2196" s="81">
        <v>46969</v>
      </c>
      <c r="B2196" s="3"/>
      <c r="C2196" s="41"/>
    </row>
    <row r="2197" spans="1:3">
      <c r="A2197" s="81">
        <v>46970</v>
      </c>
      <c r="B2197" s="3"/>
      <c r="C2197" s="41"/>
    </row>
    <row r="2198" spans="1:3">
      <c r="A2198" s="81">
        <v>46971</v>
      </c>
      <c r="B2198" s="3"/>
      <c r="C2198" s="41"/>
    </row>
    <row r="2199" spans="1:3">
      <c r="A2199" s="81">
        <v>46972</v>
      </c>
      <c r="B2199" s="3"/>
      <c r="C2199" s="41"/>
    </row>
    <row r="2200" spans="1:3">
      <c r="A2200" s="81">
        <v>46973</v>
      </c>
      <c r="B2200" s="3"/>
      <c r="C2200" s="41"/>
    </row>
    <row r="2201" spans="1:3">
      <c r="A2201" s="81">
        <v>46974</v>
      </c>
      <c r="B2201" s="3"/>
      <c r="C2201" s="41"/>
    </row>
    <row r="2202" spans="1:3">
      <c r="A2202" s="81">
        <v>46975</v>
      </c>
      <c r="B2202" s="3"/>
      <c r="C2202" s="41"/>
    </row>
    <row r="2203" spans="1:3">
      <c r="A2203" s="81">
        <v>46976</v>
      </c>
      <c r="B2203" s="3"/>
      <c r="C2203" s="41"/>
    </row>
    <row r="2204" spans="1:3">
      <c r="A2204" s="81">
        <v>46977</v>
      </c>
      <c r="B2204" s="3"/>
      <c r="C2204" s="41"/>
    </row>
    <row r="2205" spans="1:3">
      <c r="A2205" s="81">
        <v>46978</v>
      </c>
      <c r="B2205" s="3"/>
      <c r="C2205" s="41"/>
    </row>
    <row r="2206" spans="1:3">
      <c r="A2206" s="81">
        <v>46979</v>
      </c>
      <c r="B2206" s="3"/>
      <c r="C2206" s="41"/>
    </row>
    <row r="2207" spans="1:3">
      <c r="A2207" s="81">
        <v>46980</v>
      </c>
      <c r="B2207" s="3"/>
      <c r="C2207" s="41"/>
    </row>
    <row r="2208" spans="1:3">
      <c r="A2208" s="81">
        <v>46981</v>
      </c>
      <c r="B2208" s="3"/>
      <c r="C2208" s="41"/>
    </row>
    <row r="2209" spans="1:3">
      <c r="A2209" s="81">
        <v>46982</v>
      </c>
      <c r="B2209" s="3"/>
      <c r="C2209" s="41"/>
    </row>
    <row r="2210" spans="1:3">
      <c r="A2210" s="81">
        <v>46983</v>
      </c>
      <c r="B2210" s="3"/>
      <c r="C2210" s="41"/>
    </row>
    <row r="2211" spans="1:3">
      <c r="A2211" s="81">
        <v>46984</v>
      </c>
      <c r="B2211" s="3"/>
      <c r="C2211" s="41"/>
    </row>
    <row r="2212" spans="1:3">
      <c r="A2212" s="81">
        <v>46985</v>
      </c>
      <c r="B2212" s="3"/>
      <c r="C2212" s="41"/>
    </row>
    <row r="2213" spans="1:3">
      <c r="A2213" s="81">
        <v>46986</v>
      </c>
      <c r="B2213" s="3"/>
      <c r="C2213" s="41"/>
    </row>
    <row r="2214" spans="1:3">
      <c r="A2214" s="81">
        <v>46987</v>
      </c>
      <c r="B2214" s="3"/>
      <c r="C2214" s="41"/>
    </row>
    <row r="2215" spans="1:3">
      <c r="A2215" s="81">
        <v>46988</v>
      </c>
      <c r="B2215" s="3"/>
      <c r="C2215" s="41"/>
    </row>
    <row r="2216" spans="1:3">
      <c r="A2216" s="81">
        <v>46989</v>
      </c>
      <c r="B2216" s="3"/>
      <c r="C2216" s="41"/>
    </row>
    <row r="2217" spans="1:3">
      <c r="A2217" s="81">
        <v>46990</v>
      </c>
      <c r="B2217" s="3"/>
      <c r="C2217" s="41"/>
    </row>
    <row r="2218" spans="1:3">
      <c r="A2218" s="81">
        <v>46991</v>
      </c>
      <c r="B2218" s="3"/>
      <c r="C2218" s="41"/>
    </row>
    <row r="2219" spans="1:3">
      <c r="A2219" s="81">
        <v>46992</v>
      </c>
      <c r="B2219" s="3"/>
      <c r="C2219" s="41"/>
    </row>
    <row r="2220" spans="1:3">
      <c r="A2220" s="81">
        <v>46993</v>
      </c>
      <c r="B2220" s="3"/>
      <c r="C2220" s="41"/>
    </row>
    <row r="2221" spans="1:3">
      <c r="A2221" s="81">
        <v>46994</v>
      </c>
      <c r="B2221" s="3"/>
      <c r="C2221" s="41"/>
    </row>
    <row r="2222" spans="1:3">
      <c r="A2222" s="81">
        <v>46995</v>
      </c>
      <c r="B2222" s="3"/>
      <c r="C2222" s="41"/>
    </row>
    <row r="2223" spans="1:3">
      <c r="A2223" s="81">
        <v>46996</v>
      </c>
      <c r="B2223" s="3"/>
      <c r="C2223" s="41"/>
    </row>
    <row r="2224" spans="1:3">
      <c r="A2224" s="81">
        <v>46997</v>
      </c>
      <c r="B2224" s="3"/>
      <c r="C2224" s="41"/>
    </row>
    <row r="2225" spans="1:3">
      <c r="A2225" s="81">
        <v>46998</v>
      </c>
      <c r="B2225" s="3"/>
      <c r="C2225" s="41"/>
    </row>
    <row r="2226" spans="1:3">
      <c r="A2226" s="81">
        <v>46999</v>
      </c>
      <c r="B2226" s="3"/>
      <c r="C2226" s="41"/>
    </row>
    <row r="2227" spans="1:3">
      <c r="A2227" s="81">
        <v>47000</v>
      </c>
      <c r="B2227" s="3"/>
      <c r="C2227" s="41"/>
    </row>
    <row r="2228" spans="1:3">
      <c r="A2228" s="81">
        <v>47001</v>
      </c>
      <c r="B2228" s="3"/>
      <c r="C2228" s="41"/>
    </row>
    <row r="2229" spans="1:3">
      <c r="A2229" s="81">
        <v>47002</v>
      </c>
      <c r="B2229" s="3"/>
      <c r="C2229" s="41"/>
    </row>
    <row r="2230" spans="1:3">
      <c r="A2230" s="81">
        <v>47003</v>
      </c>
      <c r="B2230" s="3"/>
      <c r="C2230" s="41"/>
    </row>
    <row r="2231" spans="1:3">
      <c r="A2231" s="81">
        <v>47004</v>
      </c>
      <c r="B2231" s="3"/>
      <c r="C2231" s="41"/>
    </row>
    <row r="2232" spans="1:3">
      <c r="A2232" s="81">
        <v>47005</v>
      </c>
      <c r="B2232" s="3"/>
      <c r="C2232" s="41"/>
    </row>
    <row r="2233" spans="1:3">
      <c r="A2233" s="81">
        <v>47006</v>
      </c>
      <c r="B2233" s="3"/>
      <c r="C2233" s="41"/>
    </row>
    <row r="2234" spans="1:3">
      <c r="A2234" s="81">
        <v>47007</v>
      </c>
      <c r="B2234" s="3"/>
      <c r="C2234" s="41"/>
    </row>
    <row r="2235" spans="1:3">
      <c r="A2235" s="81">
        <v>47008</v>
      </c>
      <c r="B2235" s="3"/>
      <c r="C2235" s="41"/>
    </row>
    <row r="2236" spans="1:3">
      <c r="A2236" s="81">
        <v>47009</v>
      </c>
      <c r="B2236" s="3"/>
      <c r="C2236" s="41"/>
    </row>
    <row r="2237" spans="1:3">
      <c r="A2237" s="81">
        <v>47010</v>
      </c>
      <c r="B2237" s="3"/>
      <c r="C2237" s="41"/>
    </row>
    <row r="2238" spans="1:3">
      <c r="A2238" s="81">
        <v>47011</v>
      </c>
      <c r="B2238" s="3"/>
      <c r="C2238" s="41"/>
    </row>
    <row r="2239" spans="1:3">
      <c r="A2239" s="81">
        <v>47012</v>
      </c>
      <c r="B2239" s="3"/>
      <c r="C2239" s="41"/>
    </row>
    <row r="2240" spans="1:3">
      <c r="A2240" s="81">
        <v>47013</v>
      </c>
      <c r="B2240" s="3"/>
      <c r="C2240" s="41"/>
    </row>
    <row r="2241" spans="1:3">
      <c r="A2241" s="81">
        <v>47014</v>
      </c>
      <c r="B2241" s="3"/>
      <c r="C2241" s="41"/>
    </row>
    <row r="2242" spans="1:3">
      <c r="A2242" s="81">
        <v>47015</v>
      </c>
      <c r="B2242" s="3"/>
      <c r="C2242" s="41"/>
    </row>
    <row r="2243" spans="1:3">
      <c r="A2243" s="81">
        <v>47016</v>
      </c>
      <c r="B2243" s="3"/>
      <c r="C2243" s="41"/>
    </row>
    <row r="2244" spans="1:3">
      <c r="A2244" s="81">
        <v>47017</v>
      </c>
      <c r="B2244" s="3"/>
      <c r="C2244" s="41"/>
    </row>
    <row r="2245" spans="1:3">
      <c r="A2245" s="81">
        <v>47018</v>
      </c>
      <c r="B2245" s="3"/>
      <c r="C2245" s="41"/>
    </row>
    <row r="2246" spans="1:3">
      <c r="A2246" s="81">
        <v>47019</v>
      </c>
      <c r="B2246" s="3"/>
      <c r="C2246" s="41"/>
    </row>
    <row r="2247" spans="1:3">
      <c r="A2247" s="81">
        <v>47020</v>
      </c>
      <c r="B2247" s="3"/>
      <c r="C2247" s="41"/>
    </row>
    <row r="2248" spans="1:3">
      <c r="A2248" s="81">
        <v>47021</v>
      </c>
      <c r="B2248" s="3"/>
      <c r="C2248" s="41"/>
    </row>
    <row r="2249" spans="1:3">
      <c r="A2249" s="81">
        <v>47022</v>
      </c>
      <c r="B2249" s="3"/>
      <c r="C2249" s="41"/>
    </row>
    <row r="2250" spans="1:3">
      <c r="A2250" s="81">
        <v>47023</v>
      </c>
      <c r="B2250" s="3"/>
      <c r="C2250" s="41"/>
    </row>
    <row r="2251" spans="1:3">
      <c r="A2251" s="81">
        <v>47024</v>
      </c>
      <c r="B2251" s="3"/>
      <c r="C2251" s="41"/>
    </row>
    <row r="2252" spans="1:3">
      <c r="A2252" s="81">
        <v>47025</v>
      </c>
      <c r="B2252" s="3"/>
      <c r="C2252" s="41"/>
    </row>
    <row r="2253" spans="1:3">
      <c r="A2253" s="81">
        <v>47026</v>
      </c>
      <c r="B2253" s="3"/>
      <c r="C2253" s="41"/>
    </row>
    <row r="2254" spans="1:3">
      <c r="A2254" s="81">
        <v>47027</v>
      </c>
      <c r="B2254" s="3"/>
      <c r="C2254" s="41"/>
    </row>
    <row r="2255" spans="1:3">
      <c r="A2255" s="81">
        <v>47028</v>
      </c>
      <c r="B2255" s="3"/>
      <c r="C2255" s="41"/>
    </row>
    <row r="2256" spans="1:3">
      <c r="A2256" s="81">
        <v>47029</v>
      </c>
      <c r="B2256" s="3"/>
      <c r="C2256" s="41"/>
    </row>
    <row r="2257" spans="1:3">
      <c r="A2257" s="81">
        <v>47030</v>
      </c>
      <c r="B2257" s="3"/>
      <c r="C2257" s="41"/>
    </row>
    <row r="2258" spans="1:3">
      <c r="A2258" s="81">
        <v>47031</v>
      </c>
      <c r="B2258" s="3"/>
      <c r="C2258" s="41"/>
    </row>
    <row r="2259" spans="1:3">
      <c r="A2259" s="81">
        <v>47032</v>
      </c>
      <c r="B2259" s="3"/>
      <c r="C2259" s="41"/>
    </row>
    <row r="2260" spans="1:3">
      <c r="A2260" s="81">
        <v>47033</v>
      </c>
      <c r="B2260" s="3"/>
      <c r="C2260" s="41"/>
    </row>
    <row r="2261" spans="1:3">
      <c r="A2261" s="81">
        <v>47034</v>
      </c>
      <c r="B2261" s="3"/>
      <c r="C2261" s="41"/>
    </row>
    <row r="2262" spans="1:3">
      <c r="A2262" s="81">
        <v>47035</v>
      </c>
      <c r="B2262" s="3"/>
      <c r="C2262" s="41"/>
    </row>
    <row r="2263" spans="1:3">
      <c r="A2263" s="81">
        <v>47036</v>
      </c>
      <c r="B2263" s="3"/>
      <c r="C2263" s="41"/>
    </row>
    <row r="2264" spans="1:3">
      <c r="A2264" s="81">
        <v>47037</v>
      </c>
      <c r="B2264" s="3"/>
      <c r="C2264" s="41"/>
    </row>
    <row r="2265" spans="1:3">
      <c r="A2265" s="81">
        <v>47038</v>
      </c>
      <c r="B2265" s="3"/>
      <c r="C2265" s="41"/>
    </row>
    <row r="2266" spans="1:3">
      <c r="A2266" s="81">
        <v>47039</v>
      </c>
      <c r="B2266" s="3"/>
      <c r="C2266" s="41"/>
    </row>
    <row r="2267" spans="1:3">
      <c r="A2267" s="81">
        <v>47040</v>
      </c>
      <c r="B2267" s="3"/>
      <c r="C2267" s="41"/>
    </row>
    <row r="2268" spans="1:3">
      <c r="A2268" s="81">
        <v>47041</v>
      </c>
      <c r="B2268" s="3"/>
      <c r="C2268" s="41"/>
    </row>
    <row r="2269" spans="1:3">
      <c r="A2269" s="81">
        <v>47042</v>
      </c>
      <c r="B2269" s="3"/>
      <c r="C2269" s="41"/>
    </row>
    <row r="2270" spans="1:3">
      <c r="A2270" s="81">
        <v>47043</v>
      </c>
      <c r="B2270" s="3"/>
      <c r="C2270" s="41"/>
    </row>
    <row r="2271" spans="1:3">
      <c r="A2271" s="81">
        <v>47044</v>
      </c>
      <c r="B2271" s="3"/>
      <c r="C2271" s="41"/>
    </row>
    <row r="2272" spans="1:3">
      <c r="A2272" s="81">
        <v>47045</v>
      </c>
      <c r="B2272" s="3"/>
      <c r="C2272" s="41"/>
    </row>
    <row r="2273" spans="1:3">
      <c r="A2273" s="81">
        <v>47046</v>
      </c>
      <c r="B2273" s="3"/>
      <c r="C2273" s="41"/>
    </row>
    <row r="2274" spans="1:3">
      <c r="A2274" s="81">
        <v>47047</v>
      </c>
      <c r="B2274" s="3"/>
      <c r="C2274" s="41"/>
    </row>
    <row r="2275" spans="1:3">
      <c r="A2275" s="81">
        <v>47048</v>
      </c>
      <c r="B2275" s="3"/>
      <c r="C2275" s="41"/>
    </row>
    <row r="2276" spans="1:3">
      <c r="A2276" s="81">
        <v>47049</v>
      </c>
      <c r="B2276" s="3"/>
      <c r="C2276" s="41"/>
    </row>
    <row r="2277" spans="1:3">
      <c r="A2277" s="81">
        <v>47050</v>
      </c>
      <c r="B2277" s="3"/>
      <c r="C2277" s="41"/>
    </row>
    <row r="2278" spans="1:3">
      <c r="A2278" s="81">
        <v>47051</v>
      </c>
      <c r="B2278" s="3"/>
      <c r="C2278" s="41"/>
    </row>
    <row r="2279" spans="1:3">
      <c r="A2279" s="81">
        <v>47052</v>
      </c>
      <c r="B2279" s="3"/>
      <c r="C2279" s="41"/>
    </row>
    <row r="2280" spans="1:3">
      <c r="A2280" s="81">
        <v>47053</v>
      </c>
      <c r="B2280" s="3"/>
      <c r="C2280" s="41"/>
    </row>
    <row r="2281" spans="1:3">
      <c r="A2281" s="81">
        <v>47054</v>
      </c>
      <c r="B2281" s="3"/>
      <c r="C2281" s="41"/>
    </row>
    <row r="2282" spans="1:3">
      <c r="A2282" s="81">
        <v>47055</v>
      </c>
      <c r="B2282" s="3"/>
      <c r="C2282" s="41"/>
    </row>
    <row r="2283" spans="1:3">
      <c r="A2283" s="81">
        <v>47056</v>
      </c>
      <c r="B2283" s="3"/>
      <c r="C2283" s="41"/>
    </row>
    <row r="2284" spans="1:3">
      <c r="A2284" s="81">
        <v>47057</v>
      </c>
      <c r="B2284" s="3"/>
      <c r="C2284" s="41"/>
    </row>
    <row r="2285" spans="1:3">
      <c r="A2285" s="81">
        <v>47058</v>
      </c>
      <c r="B2285" s="3"/>
      <c r="C2285" s="41"/>
    </row>
    <row r="2286" spans="1:3">
      <c r="A2286" s="81">
        <v>47059</v>
      </c>
      <c r="B2286" s="3"/>
      <c r="C2286" s="41"/>
    </row>
    <row r="2287" spans="1:3">
      <c r="A2287" s="81">
        <v>47060</v>
      </c>
      <c r="B2287" s="3"/>
      <c r="C2287" s="41"/>
    </row>
    <row r="2288" spans="1:3">
      <c r="A2288" s="81">
        <v>47061</v>
      </c>
      <c r="B2288" s="3"/>
      <c r="C2288" s="41"/>
    </row>
    <row r="2289" spans="1:3">
      <c r="A2289" s="81">
        <v>47062</v>
      </c>
      <c r="B2289" s="3"/>
      <c r="C2289" s="41"/>
    </row>
    <row r="2290" spans="1:3">
      <c r="A2290" s="81">
        <v>47063</v>
      </c>
      <c r="B2290" s="3"/>
      <c r="C2290" s="41"/>
    </row>
    <row r="2291" spans="1:3">
      <c r="A2291" s="81">
        <v>47064</v>
      </c>
      <c r="B2291" s="3"/>
      <c r="C2291" s="41"/>
    </row>
    <row r="2292" spans="1:3">
      <c r="A2292" s="81">
        <v>47065</v>
      </c>
      <c r="B2292" s="3"/>
      <c r="C2292" s="41"/>
    </row>
    <row r="2293" spans="1:3">
      <c r="A2293" s="81">
        <v>47066</v>
      </c>
      <c r="B2293" s="3"/>
      <c r="C2293" s="41"/>
    </row>
    <row r="2294" spans="1:3">
      <c r="A2294" s="81">
        <v>47067</v>
      </c>
      <c r="B2294" s="3"/>
      <c r="C2294" s="41"/>
    </row>
    <row r="2295" spans="1:3">
      <c r="A2295" s="81">
        <v>47068</v>
      </c>
      <c r="B2295" s="3"/>
      <c r="C2295" s="41"/>
    </row>
    <row r="2296" spans="1:3">
      <c r="A2296" s="81">
        <v>47069</v>
      </c>
      <c r="B2296" s="3"/>
      <c r="C2296" s="41"/>
    </row>
    <row r="2297" spans="1:3">
      <c r="A2297" s="81">
        <v>47070</v>
      </c>
      <c r="B2297" s="3"/>
      <c r="C2297" s="41"/>
    </row>
    <row r="2298" spans="1:3">
      <c r="A2298" s="81">
        <v>47071</v>
      </c>
      <c r="B2298" s="3"/>
      <c r="C2298" s="41"/>
    </row>
    <row r="2299" spans="1:3">
      <c r="A2299" s="81">
        <v>47072</v>
      </c>
      <c r="B2299" s="3"/>
      <c r="C2299" s="41"/>
    </row>
    <row r="2300" spans="1:3">
      <c r="A2300" s="81">
        <v>47073</v>
      </c>
      <c r="B2300" s="3"/>
      <c r="C2300" s="41"/>
    </row>
    <row r="2301" spans="1:3">
      <c r="A2301" s="81">
        <v>47074</v>
      </c>
      <c r="B2301" s="3"/>
      <c r="C2301" s="41"/>
    </row>
    <row r="2302" spans="1:3">
      <c r="A2302" s="81">
        <v>47075</v>
      </c>
      <c r="B2302" s="3"/>
      <c r="C2302" s="41"/>
    </row>
    <row r="2303" spans="1:3">
      <c r="A2303" s="81">
        <v>47076</v>
      </c>
      <c r="B2303" s="3"/>
      <c r="C2303" s="41"/>
    </row>
    <row r="2304" spans="1:3">
      <c r="A2304" s="81">
        <v>47077</v>
      </c>
      <c r="B2304" s="3"/>
      <c r="C2304" s="41"/>
    </row>
    <row r="2305" spans="1:3">
      <c r="A2305" s="81">
        <v>47078</v>
      </c>
      <c r="B2305" s="3"/>
      <c r="C2305" s="41"/>
    </row>
    <row r="2306" spans="1:3">
      <c r="A2306" s="81">
        <v>47079</v>
      </c>
      <c r="B2306" s="3"/>
      <c r="C2306" s="41"/>
    </row>
    <row r="2307" spans="1:3">
      <c r="A2307" s="81">
        <v>47080</v>
      </c>
      <c r="B2307" s="3"/>
      <c r="C2307" s="41"/>
    </row>
    <row r="2308" spans="1:3">
      <c r="A2308" s="81">
        <v>47081</v>
      </c>
      <c r="B2308" s="3"/>
      <c r="C2308" s="41"/>
    </row>
    <row r="2309" spans="1:3">
      <c r="A2309" s="81">
        <v>47082</v>
      </c>
      <c r="B2309" s="3"/>
      <c r="C2309" s="41"/>
    </row>
    <row r="2310" spans="1:3">
      <c r="A2310" s="81">
        <v>47083</v>
      </c>
      <c r="B2310" s="3"/>
      <c r="C2310" s="41"/>
    </row>
    <row r="2311" spans="1:3">
      <c r="A2311" s="81">
        <v>47084</v>
      </c>
      <c r="B2311" s="3"/>
      <c r="C2311" s="41"/>
    </row>
    <row r="2312" spans="1:3">
      <c r="A2312" s="81">
        <v>47085</v>
      </c>
      <c r="B2312" s="3"/>
      <c r="C2312" s="41"/>
    </row>
    <row r="2313" spans="1:3">
      <c r="A2313" s="81">
        <v>47086</v>
      </c>
      <c r="B2313" s="3"/>
      <c r="C2313" s="41"/>
    </row>
    <row r="2314" spans="1:3">
      <c r="A2314" s="81">
        <v>47087</v>
      </c>
      <c r="B2314" s="3"/>
      <c r="C2314" s="41"/>
    </row>
    <row r="2315" spans="1:3">
      <c r="A2315" s="81">
        <v>47088</v>
      </c>
      <c r="B2315" s="3"/>
      <c r="C2315" s="41"/>
    </row>
    <row r="2316" spans="1:3">
      <c r="A2316" s="81">
        <v>47089</v>
      </c>
      <c r="B2316" s="3"/>
      <c r="C2316" s="41"/>
    </row>
    <row r="2317" spans="1:3">
      <c r="A2317" s="81">
        <v>47090</v>
      </c>
      <c r="B2317" s="3"/>
      <c r="C2317" s="41"/>
    </row>
    <row r="2318" spans="1:3">
      <c r="A2318" s="81">
        <v>47091</v>
      </c>
      <c r="B2318" s="3"/>
      <c r="C2318" s="41"/>
    </row>
    <row r="2319" spans="1:3">
      <c r="A2319" s="81">
        <v>47092</v>
      </c>
      <c r="B2319" s="3"/>
      <c r="C2319" s="41"/>
    </row>
    <row r="2320" spans="1:3">
      <c r="A2320" s="81">
        <v>47093</v>
      </c>
      <c r="B2320" s="3"/>
      <c r="C2320" s="41"/>
    </row>
    <row r="2321" spans="1:3">
      <c r="A2321" s="81">
        <v>47094</v>
      </c>
      <c r="B2321" s="3"/>
      <c r="C2321" s="41"/>
    </row>
    <row r="2322" spans="1:3">
      <c r="A2322" s="81">
        <v>47095</v>
      </c>
      <c r="B2322" s="3"/>
      <c r="C2322" s="41"/>
    </row>
    <row r="2323" spans="1:3">
      <c r="A2323" s="81">
        <v>47096</v>
      </c>
      <c r="B2323" s="3"/>
      <c r="C2323" s="41"/>
    </row>
    <row r="2324" spans="1:3">
      <c r="A2324" s="81">
        <v>47097</v>
      </c>
      <c r="B2324" s="3"/>
      <c r="C2324" s="41"/>
    </row>
    <row r="2325" spans="1:3">
      <c r="A2325" s="81">
        <v>47098</v>
      </c>
      <c r="B2325" s="3"/>
      <c r="C2325" s="41"/>
    </row>
    <row r="2326" spans="1:3">
      <c r="A2326" s="81">
        <v>47099</v>
      </c>
      <c r="B2326" s="3"/>
      <c r="C2326" s="41"/>
    </row>
    <row r="2327" spans="1:3">
      <c r="A2327" s="81">
        <v>47100</v>
      </c>
      <c r="B2327" s="3"/>
      <c r="C2327" s="41"/>
    </row>
    <row r="2328" spans="1:3">
      <c r="A2328" s="81">
        <v>47101</v>
      </c>
      <c r="B2328" s="3"/>
      <c r="C2328" s="41"/>
    </row>
    <row r="2329" spans="1:3">
      <c r="A2329" s="81">
        <v>47102</v>
      </c>
      <c r="B2329" s="3"/>
      <c r="C2329" s="41"/>
    </row>
    <row r="2330" spans="1:3">
      <c r="A2330" s="81">
        <v>47103</v>
      </c>
      <c r="B2330" s="3"/>
      <c r="C2330" s="41"/>
    </row>
    <row r="2331" spans="1:3">
      <c r="A2331" s="81">
        <v>47104</v>
      </c>
      <c r="B2331" s="3"/>
      <c r="C2331" s="41"/>
    </row>
    <row r="2332" spans="1:3">
      <c r="A2332" s="81">
        <v>47105</v>
      </c>
      <c r="B2332" s="3"/>
      <c r="C2332" s="41"/>
    </row>
    <row r="2333" spans="1:3">
      <c r="A2333" s="81">
        <v>47106</v>
      </c>
      <c r="B2333" s="3"/>
      <c r="C2333" s="41"/>
    </row>
    <row r="2334" spans="1:3">
      <c r="A2334" s="81">
        <v>47107</v>
      </c>
      <c r="B2334" s="3"/>
      <c r="C2334" s="41"/>
    </row>
    <row r="2335" spans="1:3">
      <c r="A2335" s="81">
        <v>47108</v>
      </c>
      <c r="B2335" s="3"/>
      <c r="C2335" s="41"/>
    </row>
    <row r="2336" spans="1:3">
      <c r="A2336" s="81">
        <v>47109</v>
      </c>
      <c r="B2336" s="3"/>
      <c r="C2336" s="41"/>
    </row>
    <row r="2337" spans="1:3">
      <c r="A2337" s="81">
        <v>47110</v>
      </c>
      <c r="B2337" s="3"/>
      <c r="C2337" s="41"/>
    </row>
    <row r="2338" spans="1:3">
      <c r="A2338" s="81">
        <v>47111</v>
      </c>
      <c r="B2338" s="3"/>
      <c r="C2338" s="41"/>
    </row>
    <row r="2339" spans="1:3">
      <c r="A2339" s="81">
        <v>47112</v>
      </c>
      <c r="B2339" s="3"/>
      <c r="C2339" s="41"/>
    </row>
    <row r="2340" spans="1:3">
      <c r="A2340" s="81">
        <v>47113</v>
      </c>
      <c r="B2340" s="3"/>
      <c r="C2340" s="41"/>
    </row>
    <row r="2341" spans="1:3">
      <c r="A2341" s="81">
        <v>47114</v>
      </c>
      <c r="B2341" s="3"/>
      <c r="C2341" s="41"/>
    </row>
    <row r="2342" spans="1:3">
      <c r="A2342" s="81">
        <v>47115</v>
      </c>
      <c r="B2342" s="3"/>
      <c r="C2342" s="41"/>
    </row>
    <row r="2343" spans="1:3">
      <c r="A2343" s="81">
        <v>47116</v>
      </c>
      <c r="B2343" s="3"/>
      <c r="C2343" s="41"/>
    </row>
    <row r="2344" spans="1:3">
      <c r="A2344" s="81">
        <v>47117</v>
      </c>
      <c r="B2344" s="3"/>
      <c r="C2344" s="41"/>
    </row>
    <row r="2345" spans="1:3">
      <c r="A2345" s="81">
        <v>47118</v>
      </c>
      <c r="B2345" s="3"/>
      <c r="C2345" s="41"/>
    </row>
    <row r="2346" spans="1:3">
      <c r="A2346" s="81">
        <v>47119</v>
      </c>
      <c r="B2346" s="3"/>
      <c r="C2346" s="41"/>
    </row>
    <row r="2347" spans="1:3">
      <c r="A2347" s="81">
        <v>47120</v>
      </c>
      <c r="B2347" s="3"/>
      <c r="C2347" s="41"/>
    </row>
    <row r="2348" spans="1:3">
      <c r="A2348" s="81">
        <v>47121</v>
      </c>
      <c r="B2348" s="3"/>
      <c r="C2348" s="41"/>
    </row>
    <row r="2349" spans="1:3">
      <c r="A2349" s="81">
        <v>47122</v>
      </c>
      <c r="B2349" s="3"/>
      <c r="C2349" s="41"/>
    </row>
    <row r="2350" spans="1:3">
      <c r="A2350" s="81">
        <v>47123</v>
      </c>
      <c r="B2350" s="3"/>
      <c r="C2350" s="41"/>
    </row>
    <row r="2351" spans="1:3">
      <c r="A2351" s="81">
        <v>47124</v>
      </c>
      <c r="B2351" s="3"/>
      <c r="C2351" s="41"/>
    </row>
    <row r="2352" spans="1:3">
      <c r="A2352" s="81">
        <v>47125</v>
      </c>
      <c r="B2352" s="3"/>
      <c r="C2352" s="41"/>
    </row>
    <row r="2353" spans="1:3">
      <c r="A2353" s="81">
        <v>47126</v>
      </c>
      <c r="B2353" s="3"/>
      <c r="C2353" s="41"/>
    </row>
    <row r="2354" spans="1:3">
      <c r="A2354" s="81">
        <v>47127</v>
      </c>
      <c r="B2354" s="3"/>
      <c r="C2354" s="41"/>
    </row>
    <row r="2355" spans="1:3">
      <c r="A2355" s="81">
        <v>47128</v>
      </c>
      <c r="B2355" s="3"/>
      <c r="C2355" s="41"/>
    </row>
    <row r="2356" spans="1:3">
      <c r="A2356" s="81">
        <v>47129</v>
      </c>
      <c r="B2356" s="3"/>
      <c r="C2356" s="41"/>
    </row>
    <row r="2357" spans="1:3">
      <c r="A2357" s="81">
        <v>47130</v>
      </c>
      <c r="B2357" s="3"/>
      <c r="C2357" s="41"/>
    </row>
    <row r="2358" spans="1:3">
      <c r="A2358" s="81">
        <v>47131</v>
      </c>
      <c r="B2358" s="3"/>
      <c r="C2358" s="41"/>
    </row>
    <row r="2359" spans="1:3">
      <c r="A2359" s="81">
        <v>47132</v>
      </c>
      <c r="B2359" s="3"/>
      <c r="C2359" s="41"/>
    </row>
    <row r="2360" spans="1:3">
      <c r="A2360" s="81">
        <v>47133</v>
      </c>
      <c r="B2360" s="3"/>
      <c r="C2360" s="41"/>
    </row>
    <row r="2361" spans="1:3">
      <c r="A2361" s="81">
        <v>47134</v>
      </c>
      <c r="B2361" s="3"/>
      <c r="C2361" s="41"/>
    </row>
    <row r="2362" spans="1:3">
      <c r="A2362" s="81">
        <v>47135</v>
      </c>
      <c r="B2362" s="3"/>
      <c r="C2362" s="41"/>
    </row>
    <row r="2363" spans="1:3">
      <c r="A2363" s="81">
        <v>47136</v>
      </c>
      <c r="B2363" s="3"/>
      <c r="C2363" s="41"/>
    </row>
    <row r="2364" spans="1:3">
      <c r="A2364" s="81">
        <v>47137</v>
      </c>
      <c r="B2364" s="3"/>
      <c r="C2364" s="41"/>
    </row>
    <row r="2365" spans="1:3">
      <c r="A2365" s="81">
        <v>47138</v>
      </c>
      <c r="B2365" s="3"/>
      <c r="C2365" s="41"/>
    </row>
    <row r="2366" spans="1:3">
      <c r="A2366" s="81">
        <v>47139</v>
      </c>
      <c r="B2366" s="3"/>
      <c r="C2366" s="41"/>
    </row>
    <row r="2367" spans="1:3">
      <c r="A2367" s="81">
        <v>47140</v>
      </c>
      <c r="B2367" s="3"/>
      <c r="C2367" s="41"/>
    </row>
    <row r="2368" spans="1:3">
      <c r="A2368" s="81">
        <v>47141</v>
      </c>
      <c r="B2368" s="3"/>
      <c r="C2368" s="41"/>
    </row>
    <row r="2369" spans="1:3">
      <c r="A2369" s="81">
        <v>47142</v>
      </c>
      <c r="B2369" s="3"/>
      <c r="C2369" s="41"/>
    </row>
    <row r="2370" spans="1:3">
      <c r="A2370" s="81">
        <v>47143</v>
      </c>
      <c r="B2370" s="3"/>
      <c r="C2370" s="41"/>
    </row>
    <row r="2371" spans="1:3">
      <c r="A2371" s="81">
        <v>47144</v>
      </c>
      <c r="B2371" s="3"/>
      <c r="C2371" s="41"/>
    </row>
    <row r="2372" spans="1:3">
      <c r="A2372" s="81">
        <v>47145</v>
      </c>
      <c r="B2372" s="3"/>
      <c r="C2372" s="41"/>
    </row>
    <row r="2373" spans="1:3">
      <c r="A2373" s="81">
        <v>47146</v>
      </c>
      <c r="B2373" s="3"/>
      <c r="C2373" s="41"/>
    </row>
    <row r="2374" spans="1:3">
      <c r="A2374" s="81">
        <v>47147</v>
      </c>
      <c r="B2374" s="3"/>
      <c r="C2374" s="41"/>
    </row>
    <row r="2375" spans="1:3">
      <c r="A2375" s="81">
        <v>47148</v>
      </c>
      <c r="B2375" s="3"/>
      <c r="C2375" s="41"/>
    </row>
    <row r="2376" spans="1:3">
      <c r="A2376" s="81">
        <v>47149</v>
      </c>
      <c r="B2376" s="3"/>
      <c r="C2376" s="41"/>
    </row>
    <row r="2377" spans="1:3">
      <c r="A2377" s="81">
        <v>47150</v>
      </c>
      <c r="B2377" s="3"/>
      <c r="C2377" s="41"/>
    </row>
    <row r="2378" spans="1:3">
      <c r="A2378" s="81">
        <v>47151</v>
      </c>
      <c r="B2378" s="3"/>
      <c r="C2378" s="41"/>
    </row>
    <row r="2379" spans="1:3">
      <c r="A2379" s="81">
        <v>47152</v>
      </c>
      <c r="B2379" s="3"/>
      <c r="C2379" s="41"/>
    </row>
    <row r="2380" spans="1:3">
      <c r="A2380" s="81">
        <v>47153</v>
      </c>
      <c r="B2380" s="3"/>
      <c r="C2380" s="41"/>
    </row>
    <row r="2381" spans="1:3">
      <c r="A2381" s="81">
        <v>47154</v>
      </c>
      <c r="B2381" s="3"/>
      <c r="C2381" s="41"/>
    </row>
    <row r="2382" spans="1:3">
      <c r="A2382" s="81">
        <v>47155</v>
      </c>
      <c r="B2382" s="3"/>
      <c r="C2382" s="41"/>
    </row>
    <row r="2383" spans="1:3">
      <c r="A2383" s="81">
        <v>47156</v>
      </c>
      <c r="B2383" s="3"/>
      <c r="C2383" s="41"/>
    </row>
    <row r="2384" spans="1:3">
      <c r="A2384" s="81">
        <v>47157</v>
      </c>
      <c r="B2384" s="3"/>
      <c r="C2384" s="41"/>
    </row>
    <row r="2385" spans="1:3">
      <c r="A2385" s="81">
        <v>47158</v>
      </c>
      <c r="B2385" s="3"/>
      <c r="C2385" s="41"/>
    </row>
    <row r="2386" spans="1:3">
      <c r="A2386" s="81">
        <v>47159</v>
      </c>
      <c r="B2386" s="3"/>
      <c r="C2386" s="41"/>
    </row>
    <row r="2387" spans="1:3">
      <c r="A2387" s="81">
        <v>47160</v>
      </c>
      <c r="B2387" s="3"/>
      <c r="C2387" s="41"/>
    </row>
    <row r="2388" spans="1:3">
      <c r="A2388" s="81">
        <v>47161</v>
      </c>
      <c r="B2388" s="3"/>
      <c r="C2388" s="41"/>
    </row>
    <row r="2389" spans="1:3">
      <c r="A2389" s="81">
        <v>47162</v>
      </c>
      <c r="B2389" s="3"/>
      <c r="C2389" s="41"/>
    </row>
    <row r="2390" spans="1:3">
      <c r="A2390" s="81">
        <v>47163</v>
      </c>
      <c r="B2390" s="3"/>
      <c r="C2390" s="41"/>
    </row>
    <row r="2391" spans="1:3">
      <c r="A2391" s="81">
        <v>47164</v>
      </c>
      <c r="B2391" s="3"/>
      <c r="C2391" s="41"/>
    </row>
    <row r="2392" spans="1:3">
      <c r="A2392" s="81">
        <v>47165</v>
      </c>
      <c r="B2392" s="3"/>
      <c r="C2392" s="41"/>
    </row>
    <row r="2393" spans="1:3">
      <c r="A2393" s="81">
        <v>47166</v>
      </c>
      <c r="B2393" s="3"/>
      <c r="C2393" s="41"/>
    </row>
    <row r="2394" spans="1:3">
      <c r="A2394" s="81">
        <v>47167</v>
      </c>
      <c r="B2394" s="3"/>
      <c r="C2394" s="41"/>
    </row>
    <row r="2395" spans="1:3">
      <c r="A2395" s="81">
        <v>47168</v>
      </c>
      <c r="B2395" s="3"/>
      <c r="C2395" s="41"/>
    </row>
    <row r="2396" spans="1:3">
      <c r="A2396" s="81">
        <v>47169</v>
      </c>
      <c r="B2396" s="3"/>
      <c r="C2396" s="41"/>
    </row>
    <row r="2397" spans="1:3">
      <c r="A2397" s="81">
        <v>47170</v>
      </c>
      <c r="B2397" s="3"/>
      <c r="C2397" s="41"/>
    </row>
    <row r="2398" spans="1:3">
      <c r="A2398" s="81">
        <v>47171</v>
      </c>
      <c r="B2398" s="3"/>
      <c r="C2398" s="41"/>
    </row>
    <row r="2399" spans="1:3">
      <c r="A2399" s="81">
        <v>47172</v>
      </c>
      <c r="B2399" s="3"/>
      <c r="C2399" s="41"/>
    </row>
    <row r="2400" spans="1:3">
      <c r="A2400" s="81">
        <v>47173</v>
      </c>
      <c r="B2400" s="3"/>
      <c r="C2400" s="41"/>
    </row>
    <row r="2401" spans="1:3">
      <c r="A2401" s="81">
        <v>47174</v>
      </c>
      <c r="B2401" s="3"/>
      <c r="C2401" s="41"/>
    </row>
    <row r="2402" spans="1:3">
      <c r="A2402" s="81">
        <v>47175</v>
      </c>
      <c r="B2402" s="3"/>
      <c r="C2402" s="41"/>
    </row>
    <row r="2403" spans="1:3">
      <c r="A2403" s="81">
        <v>47176</v>
      </c>
      <c r="B2403" s="3"/>
      <c r="C2403" s="41"/>
    </row>
    <row r="2404" spans="1:3">
      <c r="A2404" s="81">
        <v>47177</v>
      </c>
      <c r="B2404" s="3"/>
      <c r="C2404" s="41"/>
    </row>
    <row r="2405" spans="1:3">
      <c r="A2405" s="81">
        <v>47178</v>
      </c>
      <c r="B2405" s="3"/>
      <c r="C2405" s="41"/>
    </row>
    <row r="2406" spans="1:3">
      <c r="A2406" s="81">
        <v>47179</v>
      </c>
      <c r="B2406" s="3"/>
      <c r="C2406" s="41"/>
    </row>
    <row r="2407" spans="1:3">
      <c r="A2407" s="81">
        <v>47180</v>
      </c>
      <c r="B2407" s="3"/>
      <c r="C2407" s="41"/>
    </row>
    <row r="2408" spans="1:3">
      <c r="A2408" s="81">
        <v>47181</v>
      </c>
      <c r="B2408" s="3"/>
      <c r="C2408" s="41"/>
    </row>
    <row r="2409" spans="1:3">
      <c r="A2409" s="81">
        <v>47182</v>
      </c>
      <c r="B2409" s="3"/>
      <c r="C2409" s="41"/>
    </row>
    <row r="2410" spans="1:3">
      <c r="A2410" s="81">
        <v>47183</v>
      </c>
      <c r="B2410" s="3"/>
      <c r="C2410" s="41"/>
    </row>
    <row r="2411" spans="1:3">
      <c r="A2411" s="81">
        <v>47184</v>
      </c>
      <c r="B2411" s="3"/>
      <c r="C2411" s="41"/>
    </row>
    <row r="2412" spans="1:3">
      <c r="A2412" s="81">
        <v>47185</v>
      </c>
      <c r="B2412" s="3"/>
      <c r="C2412" s="41"/>
    </row>
    <row r="2413" spans="1:3">
      <c r="A2413" s="81">
        <v>47186</v>
      </c>
      <c r="B2413" s="3"/>
      <c r="C2413" s="41"/>
    </row>
    <row r="2414" spans="1:3">
      <c r="A2414" s="81">
        <v>47187</v>
      </c>
      <c r="B2414" s="3"/>
      <c r="C2414" s="41"/>
    </row>
    <row r="2415" spans="1:3">
      <c r="A2415" s="81">
        <v>47188</v>
      </c>
      <c r="B2415" s="3"/>
      <c r="C2415" s="41"/>
    </row>
    <row r="2416" spans="1:3">
      <c r="A2416" s="81">
        <v>47189</v>
      </c>
      <c r="B2416" s="3"/>
      <c r="C2416" s="41"/>
    </row>
    <row r="2417" spans="1:3">
      <c r="A2417" s="81">
        <v>47190</v>
      </c>
      <c r="B2417" s="3"/>
      <c r="C2417" s="41"/>
    </row>
    <row r="2418" spans="1:3">
      <c r="A2418" s="81">
        <v>47191</v>
      </c>
      <c r="B2418" s="3"/>
      <c r="C2418" s="41"/>
    </row>
    <row r="2419" spans="1:3">
      <c r="A2419" s="81">
        <v>47192</v>
      </c>
      <c r="B2419" s="3"/>
      <c r="C2419" s="41"/>
    </row>
    <row r="2420" spans="1:3">
      <c r="A2420" s="81">
        <v>47193</v>
      </c>
      <c r="B2420" s="3"/>
      <c r="C2420" s="41"/>
    </row>
    <row r="2421" spans="1:3">
      <c r="A2421" s="81">
        <v>47194</v>
      </c>
      <c r="B2421" s="3"/>
      <c r="C2421" s="41"/>
    </row>
    <row r="2422" spans="1:3">
      <c r="A2422" s="81">
        <v>47195</v>
      </c>
      <c r="B2422" s="3"/>
      <c r="C2422" s="41"/>
    </row>
    <row r="2423" spans="1:3">
      <c r="A2423" s="81">
        <v>47196</v>
      </c>
      <c r="B2423" s="3"/>
      <c r="C2423" s="41"/>
    </row>
    <row r="2424" spans="1:3">
      <c r="A2424" s="81">
        <v>47197</v>
      </c>
      <c r="B2424" s="3"/>
      <c r="C2424" s="41"/>
    </row>
    <row r="2425" spans="1:3">
      <c r="A2425" s="81">
        <v>47198</v>
      </c>
      <c r="B2425" s="3"/>
      <c r="C2425" s="41"/>
    </row>
    <row r="2426" spans="1:3">
      <c r="A2426" s="81">
        <v>47199</v>
      </c>
      <c r="B2426" s="3"/>
      <c r="C2426" s="41"/>
    </row>
    <row r="2427" spans="1:3">
      <c r="A2427" s="81">
        <v>47200</v>
      </c>
      <c r="B2427" s="3"/>
      <c r="C2427" s="41"/>
    </row>
    <row r="2428" spans="1:3">
      <c r="A2428" s="81">
        <v>47201</v>
      </c>
      <c r="B2428" s="3"/>
      <c r="C2428" s="41"/>
    </row>
    <row r="2429" spans="1:3">
      <c r="A2429" s="81">
        <v>47202</v>
      </c>
      <c r="B2429" s="3"/>
      <c r="C2429" s="41"/>
    </row>
    <row r="2430" spans="1:3">
      <c r="A2430" s="81">
        <v>47203</v>
      </c>
      <c r="B2430" s="3"/>
      <c r="C2430" s="41"/>
    </row>
    <row r="2431" spans="1:3">
      <c r="A2431" s="81">
        <v>47204</v>
      </c>
      <c r="B2431" s="3"/>
      <c r="C2431" s="41"/>
    </row>
    <row r="2432" spans="1:3">
      <c r="A2432" s="81">
        <v>47205</v>
      </c>
      <c r="B2432" s="3"/>
      <c r="C2432" s="41"/>
    </row>
    <row r="2433" spans="1:3">
      <c r="A2433" s="81">
        <v>47206</v>
      </c>
      <c r="B2433" s="3"/>
      <c r="C2433" s="41"/>
    </row>
    <row r="2434" spans="1:3">
      <c r="A2434" s="81">
        <v>47207</v>
      </c>
      <c r="B2434" s="3"/>
      <c r="C2434" s="41"/>
    </row>
    <row r="2435" spans="1:3">
      <c r="A2435" s="81">
        <v>47208</v>
      </c>
      <c r="B2435" s="3"/>
      <c r="C2435" s="41"/>
    </row>
    <row r="2436" spans="1:3">
      <c r="A2436" s="81">
        <v>47209</v>
      </c>
      <c r="B2436" s="3"/>
      <c r="C2436" s="41"/>
    </row>
    <row r="2437" spans="1:3">
      <c r="A2437" s="81">
        <v>47210</v>
      </c>
      <c r="B2437" s="3"/>
      <c r="C2437" s="41"/>
    </row>
    <row r="2438" spans="1:3">
      <c r="A2438" s="81">
        <v>47211</v>
      </c>
      <c r="B2438" s="3"/>
      <c r="C2438" s="41"/>
    </row>
    <row r="2439" spans="1:3">
      <c r="A2439" s="81">
        <v>47212</v>
      </c>
      <c r="B2439" s="3"/>
      <c r="C2439" s="41"/>
    </row>
    <row r="2440" spans="1:3">
      <c r="A2440" s="81">
        <v>47213</v>
      </c>
      <c r="B2440" s="3"/>
      <c r="C2440" s="41"/>
    </row>
    <row r="2441" spans="1:3">
      <c r="A2441" s="81">
        <v>47214</v>
      </c>
      <c r="B2441" s="3"/>
      <c r="C2441" s="41"/>
    </row>
    <row r="2442" spans="1:3">
      <c r="A2442" s="81">
        <v>47215</v>
      </c>
      <c r="B2442" s="3"/>
      <c r="C2442" s="41"/>
    </row>
    <row r="2443" spans="1:3">
      <c r="A2443" s="81">
        <v>47216</v>
      </c>
      <c r="B2443" s="3"/>
      <c r="C2443" s="41"/>
    </row>
    <row r="2444" spans="1:3">
      <c r="A2444" s="81">
        <v>47217</v>
      </c>
      <c r="B2444" s="3"/>
      <c r="C2444" s="41"/>
    </row>
    <row r="2445" spans="1:3">
      <c r="A2445" s="81">
        <v>47218</v>
      </c>
      <c r="B2445" s="3"/>
      <c r="C2445" s="41"/>
    </row>
    <row r="2446" spans="1:3">
      <c r="A2446" s="81">
        <v>47219</v>
      </c>
      <c r="B2446" s="3"/>
      <c r="C2446" s="41"/>
    </row>
    <row r="2447" spans="1:3">
      <c r="A2447" s="81">
        <v>47220</v>
      </c>
      <c r="B2447" s="3"/>
      <c r="C2447" s="41"/>
    </row>
    <row r="2448" spans="1:3">
      <c r="A2448" s="81">
        <v>47221</v>
      </c>
      <c r="B2448" s="3"/>
      <c r="C2448" s="41"/>
    </row>
    <row r="2449" spans="1:3">
      <c r="A2449" s="81">
        <v>47222</v>
      </c>
      <c r="B2449" s="3"/>
      <c r="C2449" s="41"/>
    </row>
    <row r="2450" spans="1:3">
      <c r="A2450" s="81">
        <v>47223</v>
      </c>
      <c r="B2450" s="3"/>
      <c r="C2450" s="41"/>
    </row>
    <row r="2451" spans="1:3">
      <c r="A2451" s="81">
        <v>47224</v>
      </c>
      <c r="B2451" s="3"/>
      <c r="C2451" s="41"/>
    </row>
    <row r="2452" spans="1:3">
      <c r="A2452" s="81">
        <v>47225</v>
      </c>
      <c r="B2452" s="3"/>
      <c r="C2452" s="41"/>
    </row>
    <row r="2453" spans="1:3">
      <c r="A2453" s="81">
        <v>47226</v>
      </c>
      <c r="B2453" s="3"/>
      <c r="C2453" s="41"/>
    </row>
    <row r="2454" spans="1:3">
      <c r="A2454" s="81">
        <v>47227</v>
      </c>
      <c r="B2454" s="3"/>
      <c r="C2454" s="41"/>
    </row>
    <row r="2455" spans="1:3">
      <c r="A2455" s="81">
        <v>47228</v>
      </c>
      <c r="B2455" s="3"/>
      <c r="C2455" s="41"/>
    </row>
    <row r="2456" spans="1:3">
      <c r="A2456" s="81">
        <v>47229</v>
      </c>
      <c r="B2456" s="3"/>
      <c r="C2456" s="41"/>
    </row>
    <row r="2457" spans="1:3">
      <c r="A2457" s="81">
        <v>47230</v>
      </c>
      <c r="B2457" s="3"/>
      <c r="C2457" s="41"/>
    </row>
    <row r="2458" spans="1:3">
      <c r="A2458" s="81">
        <v>47231</v>
      </c>
      <c r="B2458" s="3"/>
      <c r="C2458" s="41"/>
    </row>
    <row r="2459" spans="1:3">
      <c r="A2459" s="81">
        <v>47232</v>
      </c>
      <c r="B2459" s="3"/>
      <c r="C2459" s="41"/>
    </row>
    <row r="2460" spans="1:3">
      <c r="A2460" s="81">
        <v>47233</v>
      </c>
      <c r="B2460" s="3"/>
      <c r="C2460" s="41"/>
    </row>
    <row r="2461" spans="1:3">
      <c r="A2461" s="81">
        <v>47234</v>
      </c>
      <c r="B2461" s="3"/>
      <c r="C2461" s="41"/>
    </row>
    <row r="2462" spans="1:3">
      <c r="A2462" s="81">
        <v>47235</v>
      </c>
      <c r="B2462" s="3"/>
      <c r="C2462" s="41"/>
    </row>
    <row r="2463" spans="1:3">
      <c r="A2463" s="81">
        <v>47236</v>
      </c>
      <c r="B2463" s="3"/>
      <c r="C2463" s="41"/>
    </row>
    <row r="2464" spans="1:3">
      <c r="A2464" s="81">
        <v>47237</v>
      </c>
      <c r="B2464" s="3"/>
      <c r="C2464" s="41"/>
    </row>
    <row r="2465" spans="1:3">
      <c r="A2465" s="81">
        <v>47238</v>
      </c>
      <c r="B2465" s="3"/>
      <c r="C2465" s="41"/>
    </row>
    <row r="2466" spans="1:3">
      <c r="A2466" s="81">
        <v>47239</v>
      </c>
      <c r="B2466" s="3"/>
      <c r="C2466" s="41"/>
    </row>
    <row r="2467" spans="1:3">
      <c r="A2467" s="81">
        <v>47240</v>
      </c>
      <c r="B2467" s="3"/>
      <c r="C2467" s="41"/>
    </row>
    <row r="2468" spans="1:3">
      <c r="A2468" s="81">
        <v>47241</v>
      </c>
      <c r="B2468" s="3"/>
      <c r="C2468" s="41"/>
    </row>
    <row r="2469" spans="1:3">
      <c r="A2469" s="81">
        <v>47242</v>
      </c>
      <c r="B2469" s="3"/>
      <c r="C2469" s="41"/>
    </row>
    <row r="2470" spans="1:3">
      <c r="A2470" s="81">
        <v>47243</v>
      </c>
      <c r="B2470" s="3"/>
      <c r="C2470" s="41"/>
    </row>
    <row r="2471" spans="1:3">
      <c r="A2471" s="81">
        <v>47244</v>
      </c>
      <c r="B2471" s="3"/>
      <c r="C2471" s="41"/>
    </row>
    <row r="2472" spans="1:3">
      <c r="A2472" s="81">
        <v>47245</v>
      </c>
      <c r="B2472" s="3"/>
      <c r="C2472" s="41"/>
    </row>
    <row r="2473" spans="1:3">
      <c r="A2473" s="81">
        <v>47246</v>
      </c>
      <c r="B2473" s="3"/>
      <c r="C2473" s="41"/>
    </row>
    <row r="2474" spans="1:3">
      <c r="A2474" s="81">
        <v>47247</v>
      </c>
      <c r="B2474" s="3"/>
      <c r="C2474" s="41"/>
    </row>
    <row r="2475" spans="1:3">
      <c r="A2475" s="81">
        <v>47248</v>
      </c>
      <c r="B2475" s="3"/>
      <c r="C2475" s="41"/>
    </row>
    <row r="2476" spans="1:3">
      <c r="A2476" s="81">
        <v>47249</v>
      </c>
      <c r="B2476" s="3"/>
      <c r="C2476" s="41"/>
    </row>
    <row r="2477" spans="1:3">
      <c r="A2477" s="81">
        <v>47250</v>
      </c>
      <c r="B2477" s="3"/>
      <c r="C2477" s="41"/>
    </row>
    <row r="2478" spans="1:3">
      <c r="A2478" s="81">
        <v>47251</v>
      </c>
      <c r="B2478" s="3"/>
      <c r="C2478" s="41"/>
    </row>
    <row r="2479" spans="1:3">
      <c r="A2479" s="81">
        <v>47252</v>
      </c>
      <c r="B2479" s="3"/>
      <c r="C2479" s="41"/>
    </row>
    <row r="2480" spans="1:3">
      <c r="A2480" s="81">
        <v>47253</v>
      </c>
      <c r="B2480" s="3"/>
      <c r="C2480" s="41"/>
    </row>
    <row r="2481" spans="1:3">
      <c r="A2481" s="81">
        <v>47254</v>
      </c>
      <c r="B2481" s="3"/>
      <c r="C2481" s="41"/>
    </row>
    <row r="2482" spans="1:3">
      <c r="A2482" s="81">
        <v>47255</v>
      </c>
      <c r="B2482" s="3"/>
      <c r="C2482" s="41"/>
    </row>
    <row r="2483" spans="1:3">
      <c r="A2483" s="81">
        <v>47256</v>
      </c>
      <c r="B2483" s="3"/>
      <c r="C2483" s="41"/>
    </row>
    <row r="2484" spans="1:3">
      <c r="A2484" s="81">
        <v>47257</v>
      </c>
      <c r="B2484" s="3"/>
      <c r="C2484" s="41"/>
    </row>
    <row r="2485" spans="1:3">
      <c r="A2485" s="81">
        <v>47258</v>
      </c>
      <c r="B2485" s="3"/>
      <c r="C2485" s="41"/>
    </row>
    <row r="2486" spans="1:3">
      <c r="A2486" s="81">
        <v>47259</v>
      </c>
      <c r="B2486" s="3"/>
      <c r="C2486" s="41"/>
    </row>
    <row r="2487" spans="1:3">
      <c r="A2487" s="81">
        <v>47260</v>
      </c>
      <c r="B2487" s="3"/>
      <c r="C2487" s="41"/>
    </row>
    <row r="2488" spans="1:3">
      <c r="A2488" s="81">
        <v>47261</v>
      </c>
      <c r="B2488" s="3"/>
      <c r="C2488" s="41"/>
    </row>
    <row r="2489" spans="1:3">
      <c r="A2489" s="81">
        <v>47262</v>
      </c>
      <c r="B2489" s="3"/>
      <c r="C2489" s="41"/>
    </row>
    <row r="2490" spans="1:3">
      <c r="A2490" s="81">
        <v>47263</v>
      </c>
      <c r="B2490" s="3"/>
      <c r="C2490" s="41"/>
    </row>
    <row r="2491" spans="1:3">
      <c r="A2491" s="81">
        <v>47264</v>
      </c>
      <c r="B2491" s="3"/>
      <c r="C2491" s="41"/>
    </row>
    <row r="2492" spans="1:3">
      <c r="A2492" s="81">
        <v>47265</v>
      </c>
      <c r="B2492" s="3"/>
      <c r="C2492" s="41"/>
    </row>
    <row r="2493" spans="1:3">
      <c r="A2493" s="81">
        <v>47266</v>
      </c>
      <c r="B2493" s="3"/>
      <c r="C2493" s="41"/>
    </row>
    <row r="2494" spans="1:3">
      <c r="A2494" s="81">
        <v>47267</v>
      </c>
      <c r="B2494" s="3"/>
      <c r="C2494" s="41"/>
    </row>
    <row r="2495" spans="1:3">
      <c r="A2495" s="81">
        <v>47268</v>
      </c>
      <c r="B2495" s="3"/>
      <c r="C2495" s="41"/>
    </row>
    <row r="2496" spans="1:3">
      <c r="A2496" s="81">
        <v>47269</v>
      </c>
      <c r="B2496" s="3"/>
      <c r="C2496" s="41"/>
    </row>
    <row r="2497" spans="1:3">
      <c r="A2497" s="81">
        <v>47270</v>
      </c>
      <c r="B2497" s="3"/>
      <c r="C2497" s="41"/>
    </row>
    <row r="2498" spans="1:3">
      <c r="A2498" s="81">
        <v>47271</v>
      </c>
      <c r="B2498" s="3"/>
      <c r="C2498" s="41"/>
    </row>
    <row r="2499" spans="1:3">
      <c r="A2499" s="81">
        <v>47272</v>
      </c>
      <c r="B2499" s="3"/>
      <c r="C2499" s="41"/>
    </row>
    <row r="2500" spans="1:3">
      <c r="A2500" s="81">
        <v>47273</v>
      </c>
      <c r="B2500" s="3"/>
      <c r="C2500" s="41"/>
    </row>
    <row r="2501" spans="1:3">
      <c r="A2501" s="81">
        <v>47274</v>
      </c>
      <c r="B2501" s="3"/>
      <c r="C2501" s="41"/>
    </row>
    <row r="2502" spans="1:3">
      <c r="A2502" s="81">
        <v>47275</v>
      </c>
      <c r="B2502" s="3"/>
      <c r="C2502" s="41"/>
    </row>
    <row r="2503" spans="1:3">
      <c r="A2503" s="81">
        <v>47276</v>
      </c>
      <c r="B2503" s="3"/>
      <c r="C2503" s="41"/>
    </row>
    <row r="2504" spans="1:3">
      <c r="A2504" s="81">
        <v>47277</v>
      </c>
      <c r="B2504" s="3"/>
      <c r="C2504" s="41"/>
    </row>
    <row r="2505" spans="1:3">
      <c r="A2505" s="81">
        <v>47278</v>
      </c>
      <c r="B2505" s="3"/>
      <c r="C2505" s="41"/>
    </row>
    <row r="2506" spans="1:3">
      <c r="A2506" s="81">
        <v>47279</v>
      </c>
      <c r="B2506" s="3"/>
      <c r="C2506" s="41"/>
    </row>
    <row r="2507" spans="1:3">
      <c r="A2507" s="81">
        <v>47280</v>
      </c>
      <c r="B2507" s="3"/>
      <c r="C2507" s="41"/>
    </row>
    <row r="2508" spans="1:3">
      <c r="A2508" s="81">
        <v>47281</v>
      </c>
      <c r="B2508" s="3"/>
      <c r="C2508" s="41"/>
    </row>
    <row r="2509" spans="1:3">
      <c r="A2509" s="81">
        <v>47282</v>
      </c>
      <c r="B2509" s="3"/>
      <c r="C2509" s="41"/>
    </row>
    <row r="2510" spans="1:3">
      <c r="A2510" s="81">
        <v>47283</v>
      </c>
      <c r="B2510" s="3"/>
      <c r="C2510" s="41"/>
    </row>
    <row r="2511" spans="1:3">
      <c r="A2511" s="81">
        <v>47284</v>
      </c>
      <c r="B2511" s="3"/>
      <c r="C2511" s="41"/>
    </row>
    <row r="2512" spans="1:3">
      <c r="A2512" s="81">
        <v>47285</v>
      </c>
      <c r="B2512" s="3"/>
      <c r="C2512" s="41"/>
    </row>
    <row r="2513" spans="1:3">
      <c r="A2513" s="81">
        <v>47286</v>
      </c>
      <c r="B2513" s="3"/>
      <c r="C2513" s="41"/>
    </row>
    <row r="2514" spans="1:3">
      <c r="A2514" s="81">
        <v>47287</v>
      </c>
      <c r="B2514" s="3"/>
      <c r="C2514" s="41"/>
    </row>
    <row r="2515" spans="1:3">
      <c r="A2515" s="81">
        <v>47288</v>
      </c>
      <c r="B2515" s="3"/>
      <c r="C2515" s="41"/>
    </row>
    <row r="2516" spans="1:3">
      <c r="A2516" s="81">
        <v>47289</v>
      </c>
      <c r="B2516" s="3"/>
      <c r="C2516" s="41"/>
    </row>
    <row r="2517" spans="1:3">
      <c r="A2517" s="81">
        <v>47290</v>
      </c>
      <c r="B2517" s="3"/>
      <c r="C2517" s="41"/>
    </row>
    <row r="2518" spans="1:3">
      <c r="A2518" s="81">
        <v>47291</v>
      </c>
      <c r="B2518" s="3"/>
      <c r="C2518" s="41"/>
    </row>
    <row r="2519" spans="1:3">
      <c r="A2519" s="81">
        <v>47292</v>
      </c>
      <c r="B2519" s="3"/>
      <c r="C2519" s="41"/>
    </row>
    <row r="2520" spans="1:3">
      <c r="A2520" s="81">
        <v>47293</v>
      </c>
      <c r="B2520" s="3"/>
      <c r="C2520" s="41"/>
    </row>
    <row r="2521" spans="1:3">
      <c r="A2521" s="81">
        <v>47294</v>
      </c>
      <c r="B2521" s="3"/>
      <c r="C2521" s="41"/>
    </row>
    <row r="2522" spans="1:3">
      <c r="A2522" s="81">
        <v>47295</v>
      </c>
      <c r="B2522" s="3"/>
      <c r="C2522" s="41"/>
    </row>
    <row r="2523" spans="1:3">
      <c r="A2523" s="81">
        <v>47296</v>
      </c>
      <c r="B2523" s="3"/>
      <c r="C2523" s="41"/>
    </row>
    <row r="2524" spans="1:3">
      <c r="A2524" s="81">
        <v>47297</v>
      </c>
      <c r="B2524" s="3"/>
      <c r="C2524" s="41"/>
    </row>
    <row r="2525" spans="1:3">
      <c r="A2525" s="81">
        <v>47298</v>
      </c>
      <c r="B2525" s="3"/>
      <c r="C2525" s="41"/>
    </row>
    <row r="2526" spans="1:3">
      <c r="A2526" s="81">
        <v>47299</v>
      </c>
      <c r="B2526" s="3"/>
      <c r="C2526" s="41"/>
    </row>
    <row r="2527" spans="1:3">
      <c r="A2527" s="81">
        <v>47300</v>
      </c>
      <c r="B2527" s="3"/>
      <c r="C2527" s="41"/>
    </row>
    <row r="2528" spans="1:3">
      <c r="A2528" s="81">
        <v>47301</v>
      </c>
      <c r="B2528" s="3"/>
      <c r="C2528" s="41"/>
    </row>
    <row r="2529" spans="1:3">
      <c r="A2529" s="81">
        <v>47302</v>
      </c>
      <c r="B2529" s="3"/>
      <c r="C2529" s="41"/>
    </row>
    <row r="2530" spans="1:3">
      <c r="A2530" s="81">
        <v>47303</v>
      </c>
      <c r="B2530" s="3"/>
      <c r="C2530" s="41"/>
    </row>
    <row r="2531" spans="1:3">
      <c r="A2531" s="81">
        <v>47304</v>
      </c>
      <c r="B2531" s="3"/>
      <c r="C2531" s="41"/>
    </row>
    <row r="2532" spans="1:3">
      <c r="A2532" s="81">
        <v>47305</v>
      </c>
      <c r="B2532" s="3"/>
      <c r="C2532" s="41"/>
    </row>
    <row r="2533" spans="1:3">
      <c r="A2533" s="81">
        <v>47306</v>
      </c>
      <c r="B2533" s="3"/>
      <c r="C2533" s="41"/>
    </row>
    <row r="2534" spans="1:3">
      <c r="A2534" s="81">
        <v>47307</v>
      </c>
      <c r="B2534" s="3"/>
      <c r="C2534" s="41"/>
    </row>
    <row r="2535" spans="1:3">
      <c r="A2535" s="81">
        <v>47308</v>
      </c>
      <c r="B2535" s="3"/>
      <c r="C2535" s="41"/>
    </row>
    <row r="2536" spans="1:3">
      <c r="A2536" s="81">
        <v>47309</v>
      </c>
      <c r="B2536" s="3"/>
      <c r="C2536" s="41"/>
    </row>
    <row r="2537" spans="1:3">
      <c r="A2537" s="81">
        <v>47310</v>
      </c>
      <c r="B2537" s="3"/>
      <c r="C2537" s="41"/>
    </row>
    <row r="2538" spans="1:3">
      <c r="A2538" s="81">
        <v>47311</v>
      </c>
      <c r="B2538" s="3"/>
      <c r="C2538" s="41"/>
    </row>
    <row r="2539" spans="1:3">
      <c r="A2539" s="81">
        <v>47312</v>
      </c>
      <c r="B2539" s="3"/>
      <c r="C2539" s="41"/>
    </row>
    <row r="2540" spans="1:3">
      <c r="A2540" s="81">
        <v>47313</v>
      </c>
      <c r="B2540" s="3"/>
      <c r="C2540" s="41"/>
    </row>
    <row r="2541" spans="1:3">
      <c r="A2541" s="81">
        <v>47314</v>
      </c>
      <c r="B2541" s="3"/>
      <c r="C2541" s="41"/>
    </row>
    <row r="2542" spans="1:3">
      <c r="A2542" s="81">
        <v>47315</v>
      </c>
      <c r="B2542" s="3"/>
      <c r="C2542" s="41"/>
    </row>
    <row r="2543" spans="1:3">
      <c r="A2543" s="81">
        <v>47316</v>
      </c>
      <c r="B2543" s="3"/>
      <c r="C2543" s="41"/>
    </row>
    <row r="2544" spans="1:3">
      <c r="A2544" s="81">
        <v>47317</v>
      </c>
      <c r="B2544" s="3"/>
      <c r="C2544" s="41"/>
    </row>
    <row r="2545" spans="1:3">
      <c r="A2545" s="81">
        <v>47318</v>
      </c>
      <c r="B2545" s="3"/>
      <c r="C2545" s="41"/>
    </row>
    <row r="2546" spans="1:3">
      <c r="A2546" s="81">
        <v>47319</v>
      </c>
      <c r="B2546" s="3"/>
      <c r="C2546" s="41"/>
    </row>
    <row r="2547" spans="1:3">
      <c r="A2547" s="81">
        <v>47320</v>
      </c>
      <c r="B2547" s="3"/>
      <c r="C2547" s="41"/>
    </row>
    <row r="2548" spans="1:3">
      <c r="A2548" s="81">
        <v>47321</v>
      </c>
      <c r="B2548" s="3"/>
      <c r="C2548" s="41"/>
    </row>
    <row r="2549" spans="1:3">
      <c r="A2549" s="81">
        <v>47322</v>
      </c>
      <c r="B2549" s="3"/>
      <c r="C2549" s="41"/>
    </row>
    <row r="2550" spans="1:3">
      <c r="A2550" s="81">
        <v>47323</v>
      </c>
      <c r="B2550" s="3"/>
      <c r="C2550" s="41"/>
    </row>
    <row r="2551" spans="1:3">
      <c r="A2551" s="81">
        <v>47324</v>
      </c>
      <c r="B2551" s="3"/>
      <c r="C2551" s="41"/>
    </row>
    <row r="2552" spans="1:3">
      <c r="A2552" s="81">
        <v>47325</v>
      </c>
      <c r="B2552" s="3"/>
      <c r="C2552" s="41"/>
    </row>
    <row r="2553" spans="1:3">
      <c r="A2553" s="81">
        <v>47326</v>
      </c>
      <c r="B2553" s="3"/>
      <c r="C2553" s="41"/>
    </row>
    <row r="2554" spans="1:3">
      <c r="A2554" s="81">
        <v>47327</v>
      </c>
      <c r="B2554" s="3"/>
      <c r="C2554" s="41"/>
    </row>
    <row r="2555" spans="1:3">
      <c r="A2555" s="81">
        <v>47328</v>
      </c>
      <c r="B2555" s="3"/>
      <c r="C2555" s="41"/>
    </row>
    <row r="2556" spans="1:3">
      <c r="A2556" s="81">
        <v>47329</v>
      </c>
      <c r="B2556" s="3"/>
      <c r="C2556" s="41"/>
    </row>
    <row r="2557" spans="1:3">
      <c r="A2557" s="81">
        <v>47330</v>
      </c>
      <c r="B2557" s="3"/>
      <c r="C2557" s="41"/>
    </row>
    <row r="2558" spans="1:3">
      <c r="A2558" s="81">
        <v>47331</v>
      </c>
      <c r="B2558" s="3"/>
      <c r="C2558" s="41"/>
    </row>
    <row r="2559" spans="1:3">
      <c r="A2559" s="81">
        <v>47332</v>
      </c>
      <c r="B2559" s="3"/>
      <c r="C2559" s="41"/>
    </row>
    <row r="2560" spans="1:3">
      <c r="A2560" s="81">
        <v>47333</v>
      </c>
      <c r="B2560" s="3"/>
      <c r="C2560" s="41"/>
    </row>
    <row r="2561" spans="1:3">
      <c r="A2561" s="81">
        <v>47334</v>
      </c>
      <c r="B2561" s="3"/>
      <c r="C2561" s="41"/>
    </row>
    <row r="2562" spans="1:3">
      <c r="A2562" s="81">
        <v>47335</v>
      </c>
      <c r="B2562" s="3"/>
      <c r="C2562" s="41"/>
    </row>
    <row r="2563" spans="1:3">
      <c r="A2563" s="81">
        <v>47336</v>
      </c>
      <c r="B2563" s="3"/>
      <c r="C2563" s="41"/>
    </row>
    <row r="2564" spans="1:3">
      <c r="A2564" s="81">
        <v>47337</v>
      </c>
      <c r="B2564" s="3"/>
      <c r="C2564" s="41"/>
    </row>
    <row r="2565" spans="1:3">
      <c r="A2565" s="81">
        <v>47338</v>
      </c>
      <c r="B2565" s="3"/>
      <c r="C2565" s="41"/>
    </row>
    <row r="2566" spans="1:3">
      <c r="A2566" s="81">
        <v>47339</v>
      </c>
      <c r="B2566" s="3"/>
      <c r="C2566" s="41"/>
    </row>
    <row r="2567" spans="1:3">
      <c r="A2567" s="81">
        <v>47340</v>
      </c>
      <c r="B2567" s="3"/>
      <c r="C2567" s="41"/>
    </row>
    <row r="2568" spans="1:3">
      <c r="A2568" s="81">
        <v>47341</v>
      </c>
      <c r="B2568" s="3"/>
      <c r="C2568" s="41"/>
    </row>
    <row r="2569" spans="1:3">
      <c r="A2569" s="81">
        <v>47342</v>
      </c>
      <c r="B2569" s="3"/>
      <c r="C2569" s="41"/>
    </row>
    <row r="2570" spans="1:3">
      <c r="A2570" s="81">
        <v>47343</v>
      </c>
      <c r="B2570" s="3"/>
      <c r="C2570" s="41"/>
    </row>
    <row r="2571" spans="1:3">
      <c r="A2571" s="81">
        <v>47344</v>
      </c>
      <c r="B2571" s="3"/>
      <c r="C2571" s="41"/>
    </row>
    <row r="2572" spans="1:3">
      <c r="A2572" s="81">
        <v>47345</v>
      </c>
      <c r="B2572" s="3"/>
      <c r="C2572" s="41"/>
    </row>
    <row r="2573" spans="1:3">
      <c r="A2573" s="81">
        <v>47346</v>
      </c>
      <c r="B2573" s="3"/>
      <c r="C2573" s="41"/>
    </row>
    <row r="2574" spans="1:3">
      <c r="A2574" s="81">
        <v>47347</v>
      </c>
      <c r="B2574" s="3"/>
      <c r="C2574" s="41"/>
    </row>
    <row r="2575" spans="1:3">
      <c r="A2575" s="81">
        <v>47348</v>
      </c>
      <c r="B2575" s="3"/>
      <c r="C2575" s="41"/>
    </row>
    <row r="2576" spans="1:3">
      <c r="A2576" s="81">
        <v>47349</v>
      </c>
      <c r="B2576" s="3"/>
      <c r="C2576" s="41"/>
    </row>
    <row r="2577" spans="1:3">
      <c r="A2577" s="81">
        <v>47350</v>
      </c>
      <c r="B2577" s="3"/>
      <c r="C2577" s="41"/>
    </row>
    <row r="2578" spans="1:3">
      <c r="A2578" s="81">
        <v>47351</v>
      </c>
      <c r="B2578" s="3"/>
      <c r="C2578" s="41"/>
    </row>
    <row r="2579" spans="1:3">
      <c r="A2579" s="81">
        <v>47352</v>
      </c>
      <c r="B2579" s="3"/>
      <c r="C2579" s="41"/>
    </row>
    <row r="2580" spans="1:3">
      <c r="A2580" s="81">
        <v>47353</v>
      </c>
      <c r="B2580" s="3"/>
      <c r="C2580" s="41"/>
    </row>
    <row r="2581" spans="1:3">
      <c r="A2581" s="81">
        <v>47354</v>
      </c>
      <c r="B2581" s="3"/>
      <c r="C2581" s="41"/>
    </row>
    <row r="2582" spans="1:3">
      <c r="A2582" s="81">
        <v>47355</v>
      </c>
      <c r="B2582" s="3"/>
      <c r="C2582" s="41"/>
    </row>
    <row r="2583" spans="1:3">
      <c r="A2583" s="81">
        <v>47356</v>
      </c>
      <c r="B2583" s="3"/>
      <c r="C2583" s="41"/>
    </row>
    <row r="2584" spans="1:3">
      <c r="A2584" s="81">
        <v>47357</v>
      </c>
      <c r="B2584" s="3"/>
      <c r="C2584" s="41"/>
    </row>
    <row r="2585" spans="1:3">
      <c r="A2585" s="81">
        <v>47358</v>
      </c>
      <c r="B2585" s="3"/>
      <c r="C2585" s="41"/>
    </row>
    <row r="2586" spans="1:3">
      <c r="A2586" s="81">
        <v>47359</v>
      </c>
      <c r="B2586" s="3"/>
      <c r="C2586" s="41"/>
    </row>
    <row r="2587" spans="1:3">
      <c r="A2587" s="81">
        <v>47360</v>
      </c>
      <c r="B2587" s="3"/>
      <c r="C2587" s="41"/>
    </row>
    <row r="2588" spans="1:3">
      <c r="A2588" s="81">
        <v>47361</v>
      </c>
      <c r="B2588" s="3"/>
      <c r="C2588" s="41"/>
    </row>
    <row r="2589" spans="1:3">
      <c r="A2589" s="81">
        <v>47362</v>
      </c>
      <c r="B2589" s="3"/>
      <c r="C2589" s="41"/>
    </row>
    <row r="2590" spans="1:3">
      <c r="A2590" s="81">
        <v>47363</v>
      </c>
      <c r="B2590" s="3"/>
      <c r="C2590" s="41"/>
    </row>
    <row r="2591" spans="1:3">
      <c r="A2591" s="81">
        <v>47364</v>
      </c>
      <c r="B2591" s="3"/>
      <c r="C2591" s="41"/>
    </row>
    <row r="2592" spans="1:3">
      <c r="A2592" s="81">
        <v>47365</v>
      </c>
      <c r="B2592" s="3"/>
      <c r="C2592" s="41"/>
    </row>
    <row r="2593" spans="1:3">
      <c r="A2593" s="81">
        <v>47366</v>
      </c>
      <c r="B2593" s="3"/>
      <c r="C2593" s="41"/>
    </row>
    <row r="2594" spans="1:3">
      <c r="A2594" s="81">
        <v>47367</v>
      </c>
      <c r="B2594" s="3"/>
      <c r="C2594" s="41"/>
    </row>
    <row r="2595" spans="1:3">
      <c r="A2595" s="81">
        <v>47368</v>
      </c>
      <c r="B2595" s="3"/>
      <c r="C2595" s="41"/>
    </row>
    <row r="2596" spans="1:3">
      <c r="A2596" s="81">
        <v>47369</v>
      </c>
      <c r="B2596" s="3"/>
      <c r="C2596" s="41"/>
    </row>
    <row r="2597" spans="1:3">
      <c r="A2597" s="81">
        <v>47370</v>
      </c>
      <c r="B2597" s="3"/>
      <c r="C2597" s="41"/>
    </row>
    <row r="2598" spans="1:3">
      <c r="A2598" s="81">
        <v>47371</v>
      </c>
      <c r="B2598" s="3"/>
      <c r="C2598" s="41"/>
    </row>
    <row r="2599" spans="1:3">
      <c r="A2599" s="81">
        <v>47372</v>
      </c>
      <c r="B2599" s="3"/>
      <c r="C2599" s="41"/>
    </row>
    <row r="2600" spans="1:3">
      <c r="A2600" s="81">
        <v>47373</v>
      </c>
      <c r="B2600" s="3"/>
      <c r="C2600" s="41"/>
    </row>
    <row r="2601" spans="1:3">
      <c r="A2601" s="81">
        <v>47374</v>
      </c>
      <c r="B2601" s="3"/>
      <c r="C2601" s="41"/>
    </row>
    <row r="2602" spans="1:3">
      <c r="A2602" s="81">
        <v>47375</v>
      </c>
      <c r="B2602" s="3"/>
      <c r="C2602" s="41"/>
    </row>
    <row r="2603" spans="1:3">
      <c r="A2603" s="81">
        <v>47376</v>
      </c>
      <c r="B2603" s="3"/>
      <c r="C2603" s="41"/>
    </row>
    <row r="2604" spans="1:3">
      <c r="A2604" s="81">
        <v>47377</v>
      </c>
      <c r="B2604" s="3"/>
      <c r="C2604" s="41"/>
    </row>
    <row r="2605" spans="1:3">
      <c r="A2605" s="81">
        <v>47378</v>
      </c>
      <c r="B2605" s="3"/>
      <c r="C2605" s="41"/>
    </row>
    <row r="2606" spans="1:3">
      <c r="A2606" s="81">
        <v>47379</v>
      </c>
      <c r="B2606" s="3"/>
      <c r="C2606" s="41"/>
    </row>
    <row r="2607" spans="1:3">
      <c r="A2607" s="81">
        <v>47380</v>
      </c>
      <c r="B2607" s="3"/>
      <c r="C2607" s="41"/>
    </row>
    <row r="2608" spans="1:3">
      <c r="A2608" s="81">
        <v>47381</v>
      </c>
      <c r="B2608" s="3"/>
      <c r="C2608" s="41"/>
    </row>
    <row r="2609" spans="1:3">
      <c r="A2609" s="81">
        <v>47382</v>
      </c>
      <c r="B2609" s="3"/>
      <c r="C2609" s="41"/>
    </row>
    <row r="2610" spans="1:3">
      <c r="A2610" s="81">
        <v>47383</v>
      </c>
      <c r="B2610" s="3"/>
      <c r="C2610" s="41"/>
    </row>
    <row r="2611" spans="1:3">
      <c r="A2611" s="81">
        <v>47384</v>
      </c>
      <c r="B2611" s="3"/>
      <c r="C2611" s="41"/>
    </row>
    <row r="2612" spans="1:3">
      <c r="A2612" s="81">
        <v>47385</v>
      </c>
      <c r="B2612" s="3"/>
      <c r="C2612" s="41"/>
    </row>
    <row r="2613" spans="1:3">
      <c r="A2613" s="81">
        <v>47386</v>
      </c>
      <c r="B2613" s="3"/>
      <c r="C2613" s="41"/>
    </row>
    <row r="2614" spans="1:3">
      <c r="A2614" s="81">
        <v>47387</v>
      </c>
      <c r="B2614" s="3"/>
      <c r="C2614" s="41"/>
    </row>
    <row r="2615" spans="1:3">
      <c r="A2615" s="81">
        <v>47388</v>
      </c>
      <c r="B2615" s="3"/>
      <c r="C2615" s="41"/>
    </row>
    <row r="2616" spans="1:3">
      <c r="A2616" s="81">
        <v>47389</v>
      </c>
      <c r="B2616" s="3"/>
      <c r="C2616" s="41"/>
    </row>
    <row r="2617" spans="1:3">
      <c r="A2617" s="81">
        <v>47390</v>
      </c>
      <c r="B2617" s="3"/>
      <c r="C2617" s="41"/>
    </row>
    <row r="2618" spans="1:3">
      <c r="A2618" s="81">
        <v>47391</v>
      </c>
      <c r="B2618" s="3"/>
      <c r="C2618" s="41"/>
    </row>
    <row r="2619" spans="1:3">
      <c r="A2619" s="81">
        <v>47392</v>
      </c>
      <c r="B2619" s="3"/>
      <c r="C2619" s="41"/>
    </row>
    <row r="2620" spans="1:3">
      <c r="A2620" s="81">
        <v>47393</v>
      </c>
      <c r="B2620" s="3"/>
      <c r="C2620" s="41"/>
    </row>
    <row r="2621" spans="1:3">
      <c r="A2621" s="81">
        <v>47394</v>
      </c>
      <c r="B2621" s="3"/>
      <c r="C2621" s="41"/>
    </row>
    <row r="2622" spans="1:3">
      <c r="A2622" s="81">
        <v>47395</v>
      </c>
      <c r="B2622" s="3"/>
      <c r="C2622" s="41"/>
    </row>
    <row r="2623" spans="1:3">
      <c r="A2623" s="81">
        <v>47396</v>
      </c>
      <c r="B2623" s="3"/>
      <c r="C2623" s="41"/>
    </row>
    <row r="2624" spans="1:3">
      <c r="A2624" s="81">
        <v>47397</v>
      </c>
      <c r="B2624" s="3"/>
      <c r="C2624" s="41"/>
    </row>
    <row r="2625" spans="1:3">
      <c r="A2625" s="81">
        <v>47398</v>
      </c>
      <c r="B2625" s="3"/>
      <c r="C2625" s="41"/>
    </row>
    <row r="2626" spans="1:3">
      <c r="A2626" s="81">
        <v>47399</v>
      </c>
      <c r="B2626" s="3"/>
      <c r="C2626" s="41"/>
    </row>
    <row r="2627" spans="1:3">
      <c r="A2627" s="81">
        <v>47400</v>
      </c>
      <c r="B2627" s="3"/>
      <c r="C2627" s="41"/>
    </row>
    <row r="2628" spans="1:3">
      <c r="A2628" s="81">
        <v>47401</v>
      </c>
      <c r="B2628" s="3"/>
      <c r="C2628" s="41"/>
    </row>
    <row r="2629" spans="1:3">
      <c r="A2629" s="81">
        <v>47402</v>
      </c>
      <c r="B2629" s="3"/>
      <c r="C2629" s="41"/>
    </row>
    <row r="2630" spans="1:3">
      <c r="A2630" s="81">
        <v>47403</v>
      </c>
      <c r="B2630" s="3"/>
      <c r="C2630" s="41"/>
    </row>
    <row r="2631" spans="1:3">
      <c r="A2631" s="81">
        <v>47404</v>
      </c>
      <c r="B2631" s="3"/>
      <c r="C2631" s="41"/>
    </row>
    <row r="2632" spans="1:3">
      <c r="A2632" s="81">
        <v>47405</v>
      </c>
      <c r="B2632" s="3"/>
      <c r="C2632" s="41"/>
    </row>
    <row r="2633" spans="1:3">
      <c r="A2633" s="81">
        <v>47406</v>
      </c>
      <c r="B2633" s="3"/>
      <c r="C2633" s="41"/>
    </row>
    <row r="2634" spans="1:3">
      <c r="A2634" s="81">
        <v>47407</v>
      </c>
      <c r="B2634" s="3"/>
      <c r="C2634" s="41"/>
    </row>
    <row r="2635" spans="1:3">
      <c r="A2635" s="81">
        <v>47408</v>
      </c>
      <c r="B2635" s="3"/>
      <c r="C2635" s="41"/>
    </row>
    <row r="2636" spans="1:3">
      <c r="A2636" s="81">
        <v>47409</v>
      </c>
      <c r="B2636" s="3"/>
      <c r="C2636" s="41"/>
    </row>
    <row r="2637" spans="1:3">
      <c r="A2637" s="81">
        <v>47410</v>
      </c>
      <c r="B2637" s="3"/>
      <c r="C2637" s="41"/>
    </row>
    <row r="2638" spans="1:3">
      <c r="A2638" s="81">
        <v>47411</v>
      </c>
      <c r="B2638" s="3"/>
      <c r="C2638" s="41"/>
    </row>
    <row r="2639" spans="1:3">
      <c r="A2639" s="81">
        <v>47412</v>
      </c>
      <c r="B2639" s="3"/>
      <c r="C2639" s="41"/>
    </row>
    <row r="2640" spans="1:3">
      <c r="A2640" s="81">
        <v>47413</v>
      </c>
      <c r="B2640" s="3"/>
      <c r="C2640" s="41"/>
    </row>
    <row r="2641" spans="1:3">
      <c r="A2641" s="81">
        <v>47414</v>
      </c>
      <c r="B2641" s="3"/>
      <c r="C2641" s="41"/>
    </row>
    <row r="2642" spans="1:3">
      <c r="A2642" s="81">
        <v>47415</v>
      </c>
      <c r="B2642" s="3"/>
      <c r="C2642" s="41"/>
    </row>
    <row r="2643" spans="1:3">
      <c r="A2643" s="81">
        <v>47416</v>
      </c>
      <c r="B2643" s="3"/>
      <c r="C2643" s="41"/>
    </row>
    <row r="2644" spans="1:3">
      <c r="A2644" s="81">
        <v>47417</v>
      </c>
      <c r="B2644" s="3"/>
      <c r="C2644" s="41"/>
    </row>
    <row r="2645" spans="1:3">
      <c r="A2645" s="81">
        <v>47418</v>
      </c>
      <c r="B2645" s="3"/>
      <c r="C2645" s="41"/>
    </row>
    <row r="2646" spans="1:3">
      <c r="A2646" s="81">
        <v>47419</v>
      </c>
      <c r="B2646" s="3"/>
      <c r="C2646" s="41"/>
    </row>
    <row r="2647" spans="1:3">
      <c r="A2647" s="81">
        <v>47420</v>
      </c>
      <c r="B2647" s="3"/>
      <c r="C2647" s="41"/>
    </row>
    <row r="2648" spans="1:3">
      <c r="A2648" s="81">
        <v>47421</v>
      </c>
      <c r="B2648" s="3"/>
      <c r="C2648" s="41"/>
    </row>
    <row r="2649" spans="1:3">
      <c r="A2649" s="81">
        <v>47422</v>
      </c>
      <c r="B2649" s="3"/>
      <c r="C2649" s="41"/>
    </row>
    <row r="2650" spans="1:3">
      <c r="A2650" s="81">
        <v>47423</v>
      </c>
      <c r="B2650" s="3"/>
      <c r="C2650" s="41"/>
    </row>
    <row r="2651" spans="1:3">
      <c r="A2651" s="81">
        <v>47424</v>
      </c>
      <c r="B2651" s="3"/>
      <c r="C2651" s="41"/>
    </row>
    <row r="2652" spans="1:3">
      <c r="A2652" s="81">
        <v>47425</v>
      </c>
      <c r="B2652" s="3"/>
      <c r="C2652" s="41"/>
    </row>
    <row r="2653" spans="1:3">
      <c r="A2653" s="81">
        <v>47426</v>
      </c>
      <c r="B2653" s="3"/>
      <c r="C2653" s="41"/>
    </row>
    <row r="2654" spans="1:3">
      <c r="A2654" s="81">
        <v>47427</v>
      </c>
      <c r="B2654" s="3"/>
      <c r="C2654" s="41"/>
    </row>
    <row r="2655" spans="1:3">
      <c r="A2655" s="81">
        <v>47428</v>
      </c>
      <c r="B2655" s="3"/>
      <c r="C2655" s="41"/>
    </row>
    <row r="2656" spans="1:3">
      <c r="A2656" s="81">
        <v>47429</v>
      </c>
      <c r="B2656" s="3"/>
      <c r="C2656" s="41"/>
    </row>
    <row r="2657" spans="1:3">
      <c r="A2657" s="81">
        <v>47430</v>
      </c>
      <c r="B2657" s="3"/>
      <c r="C2657" s="41"/>
    </row>
    <row r="2658" spans="1:3">
      <c r="A2658" s="81">
        <v>47431</v>
      </c>
      <c r="B2658" s="3"/>
      <c r="C2658" s="41"/>
    </row>
    <row r="2659" spans="1:3">
      <c r="A2659" s="81">
        <v>47432</v>
      </c>
      <c r="B2659" s="3"/>
      <c r="C2659" s="41"/>
    </row>
    <row r="2660" spans="1:3">
      <c r="A2660" s="81">
        <v>47433</v>
      </c>
      <c r="B2660" s="3"/>
      <c r="C2660" s="41"/>
    </row>
    <row r="2661" spans="1:3">
      <c r="A2661" s="81">
        <v>47434</v>
      </c>
      <c r="B2661" s="3"/>
      <c r="C2661" s="41"/>
    </row>
    <row r="2662" spans="1:3">
      <c r="A2662" s="81">
        <v>47435</v>
      </c>
      <c r="B2662" s="3"/>
      <c r="C2662" s="41"/>
    </row>
    <row r="2663" spans="1:3">
      <c r="A2663" s="81">
        <v>47436</v>
      </c>
      <c r="B2663" s="3"/>
      <c r="C2663" s="41"/>
    </row>
    <row r="2664" spans="1:3">
      <c r="A2664" s="81">
        <v>47437</v>
      </c>
      <c r="B2664" s="3"/>
      <c r="C2664" s="41"/>
    </row>
    <row r="2665" spans="1:3">
      <c r="A2665" s="81">
        <v>47438</v>
      </c>
      <c r="B2665" s="3"/>
      <c r="C2665" s="41"/>
    </row>
    <row r="2666" spans="1:3">
      <c r="A2666" s="81">
        <v>47439</v>
      </c>
      <c r="B2666" s="3"/>
      <c r="C2666" s="41"/>
    </row>
    <row r="2667" spans="1:3">
      <c r="A2667" s="81">
        <v>47440</v>
      </c>
      <c r="B2667" s="3"/>
      <c r="C2667" s="41"/>
    </row>
    <row r="2668" spans="1:3">
      <c r="A2668" s="81">
        <v>47441</v>
      </c>
      <c r="B2668" s="3"/>
      <c r="C2668" s="41"/>
    </row>
    <row r="2669" spans="1:3">
      <c r="A2669" s="81">
        <v>47442</v>
      </c>
      <c r="B2669" s="3"/>
      <c r="C2669" s="41"/>
    </row>
    <row r="2670" spans="1:3">
      <c r="A2670" s="81">
        <v>47443</v>
      </c>
      <c r="B2670" s="3"/>
      <c r="C2670" s="41"/>
    </row>
    <row r="2671" spans="1:3">
      <c r="A2671" s="81">
        <v>47444</v>
      </c>
      <c r="B2671" s="3"/>
      <c r="C2671" s="41"/>
    </row>
    <row r="2672" spans="1:3">
      <c r="A2672" s="81">
        <v>47445</v>
      </c>
      <c r="B2672" s="3"/>
      <c r="C2672" s="41"/>
    </row>
    <row r="2673" spans="1:3">
      <c r="A2673" s="81">
        <v>47446</v>
      </c>
      <c r="B2673" s="3"/>
      <c r="C2673" s="41"/>
    </row>
    <row r="2674" spans="1:3">
      <c r="A2674" s="81">
        <v>47447</v>
      </c>
      <c r="B2674" s="3"/>
      <c r="C2674" s="41"/>
    </row>
    <row r="2675" spans="1:3">
      <c r="A2675" s="81">
        <v>47448</v>
      </c>
      <c r="B2675" s="3"/>
      <c r="C2675" s="41"/>
    </row>
    <row r="2676" spans="1:3">
      <c r="A2676" s="81">
        <v>47449</v>
      </c>
      <c r="B2676" s="3"/>
      <c r="C2676" s="41"/>
    </row>
    <row r="2677" spans="1:3">
      <c r="A2677" s="81">
        <v>47450</v>
      </c>
      <c r="B2677" s="3"/>
      <c r="C2677" s="41"/>
    </row>
    <row r="2678" spans="1:3">
      <c r="A2678" s="81">
        <v>47451</v>
      </c>
      <c r="B2678" s="3"/>
      <c r="C2678" s="41"/>
    </row>
    <row r="2679" spans="1:3">
      <c r="A2679" s="81">
        <v>47452</v>
      </c>
      <c r="B2679" s="3"/>
      <c r="C2679" s="41"/>
    </row>
    <row r="2680" spans="1:3">
      <c r="A2680" s="81">
        <v>47453</v>
      </c>
      <c r="B2680" s="3"/>
      <c r="C2680" s="41"/>
    </row>
    <row r="2681" spans="1:3">
      <c r="A2681" s="81">
        <v>47454</v>
      </c>
      <c r="B2681" s="3"/>
      <c r="C2681" s="41"/>
    </row>
    <row r="2682" spans="1:3">
      <c r="A2682" s="81">
        <v>47455</v>
      </c>
      <c r="B2682" s="3"/>
      <c r="C2682" s="41"/>
    </row>
    <row r="2683" spans="1:3">
      <c r="A2683" s="81">
        <v>47456</v>
      </c>
      <c r="B2683" s="3"/>
      <c r="C2683" s="41"/>
    </row>
    <row r="2684" spans="1:3">
      <c r="A2684" s="81">
        <v>47457</v>
      </c>
      <c r="B2684" s="3"/>
      <c r="C2684" s="41"/>
    </row>
    <row r="2685" spans="1:3">
      <c r="A2685" s="81">
        <v>47458</v>
      </c>
      <c r="B2685" s="3"/>
      <c r="C2685" s="41"/>
    </row>
    <row r="2686" spans="1:3">
      <c r="A2686" s="81">
        <v>47459</v>
      </c>
      <c r="B2686" s="3"/>
      <c r="C2686" s="41"/>
    </row>
    <row r="2687" spans="1:3">
      <c r="A2687" s="81">
        <v>47460</v>
      </c>
      <c r="B2687" s="3"/>
      <c r="C2687" s="41"/>
    </row>
    <row r="2688" spans="1:3">
      <c r="A2688" s="81">
        <v>47461</v>
      </c>
      <c r="B2688" s="3"/>
      <c r="C2688" s="41"/>
    </row>
    <row r="2689" spans="1:3">
      <c r="A2689" s="81">
        <v>47462</v>
      </c>
      <c r="B2689" s="3"/>
      <c r="C2689" s="41"/>
    </row>
    <row r="2690" spans="1:3">
      <c r="A2690" s="81">
        <v>47463</v>
      </c>
      <c r="B2690" s="3"/>
      <c r="C2690" s="41"/>
    </row>
    <row r="2691" spans="1:3">
      <c r="A2691" s="81">
        <v>47464</v>
      </c>
      <c r="B2691" s="3"/>
      <c r="C2691" s="41"/>
    </row>
    <row r="2692" spans="1:3">
      <c r="A2692" s="81">
        <v>47465</v>
      </c>
      <c r="B2692" s="3"/>
      <c r="C2692" s="41"/>
    </row>
    <row r="2693" spans="1:3">
      <c r="A2693" s="81">
        <v>47466</v>
      </c>
      <c r="B2693" s="3"/>
      <c r="C2693" s="41"/>
    </row>
    <row r="2694" spans="1:3">
      <c r="A2694" s="81">
        <v>47467</v>
      </c>
      <c r="B2694" s="3"/>
      <c r="C2694" s="41"/>
    </row>
    <row r="2695" spans="1:3">
      <c r="A2695" s="81">
        <v>47468</v>
      </c>
      <c r="B2695" s="3"/>
      <c r="C2695" s="41"/>
    </row>
    <row r="2696" spans="1:3">
      <c r="A2696" s="81">
        <v>47469</v>
      </c>
      <c r="B2696" s="3"/>
      <c r="C2696" s="41"/>
    </row>
    <row r="2697" spans="1:3">
      <c r="A2697" s="81">
        <v>47470</v>
      </c>
      <c r="B2697" s="3"/>
      <c r="C2697" s="41"/>
    </row>
    <row r="2698" spans="1:3">
      <c r="A2698" s="81">
        <v>47471</v>
      </c>
      <c r="B2698" s="3"/>
      <c r="C2698" s="41"/>
    </row>
    <row r="2699" spans="1:3">
      <c r="A2699" s="81">
        <v>47472</v>
      </c>
      <c r="B2699" s="3"/>
      <c r="C2699" s="41"/>
    </row>
    <row r="2700" spans="1:3">
      <c r="A2700" s="81">
        <v>47473</v>
      </c>
      <c r="B2700" s="3"/>
      <c r="C2700" s="41"/>
    </row>
    <row r="2701" spans="1:3">
      <c r="A2701" s="81">
        <v>47474</v>
      </c>
      <c r="B2701" s="3"/>
      <c r="C2701" s="41"/>
    </row>
    <row r="2702" spans="1:3">
      <c r="A2702" s="81">
        <v>47475</v>
      </c>
      <c r="B2702" s="3"/>
      <c r="C2702" s="41"/>
    </row>
    <row r="2703" spans="1:3">
      <c r="A2703" s="81">
        <v>47476</v>
      </c>
      <c r="B2703" s="3"/>
      <c r="C2703" s="41"/>
    </row>
    <row r="2704" spans="1:3">
      <c r="A2704" s="81">
        <v>47477</v>
      </c>
      <c r="B2704" s="3"/>
      <c r="C2704" s="41"/>
    </row>
    <row r="2705" spans="1:3">
      <c r="A2705" s="81">
        <v>47478</v>
      </c>
      <c r="B2705" s="3"/>
      <c r="C2705" s="41"/>
    </row>
    <row r="2706" spans="1:3">
      <c r="A2706" s="81">
        <v>47479</v>
      </c>
      <c r="B2706" s="3"/>
      <c r="C2706" s="41"/>
    </row>
    <row r="2707" spans="1:3">
      <c r="A2707" s="81">
        <v>47480</v>
      </c>
      <c r="B2707" s="3"/>
      <c r="C2707" s="41"/>
    </row>
    <row r="2708" spans="1:3">
      <c r="A2708" s="81">
        <v>47481</v>
      </c>
      <c r="B2708" s="3"/>
      <c r="C2708" s="41"/>
    </row>
    <row r="2709" spans="1:3">
      <c r="A2709" s="81">
        <v>47482</v>
      </c>
      <c r="B2709" s="3"/>
      <c r="C2709" s="41"/>
    </row>
    <row r="2710" spans="1:3">
      <c r="A2710" s="81">
        <v>47483</v>
      </c>
      <c r="B2710" s="3"/>
      <c r="C2710" s="41"/>
    </row>
    <row r="2711" spans="1:3">
      <c r="A2711" s="81">
        <v>47484</v>
      </c>
      <c r="B2711" s="3"/>
      <c r="C2711" s="41"/>
    </row>
    <row r="2712" spans="1:3">
      <c r="A2712" s="81">
        <v>47485</v>
      </c>
      <c r="B2712" s="3"/>
      <c r="C2712" s="41"/>
    </row>
    <row r="2713" spans="1:3">
      <c r="A2713" s="81">
        <v>47486</v>
      </c>
      <c r="B2713" s="3"/>
      <c r="C2713" s="41"/>
    </row>
    <row r="2714" spans="1:3">
      <c r="A2714" s="81">
        <v>47487</v>
      </c>
      <c r="B2714" s="3"/>
      <c r="C2714" s="41"/>
    </row>
    <row r="2715" spans="1:3">
      <c r="A2715" s="81">
        <v>47488</v>
      </c>
      <c r="B2715" s="3"/>
      <c r="C2715" s="41"/>
    </row>
    <row r="2716" spans="1:3">
      <c r="A2716" s="81">
        <v>47489</v>
      </c>
      <c r="B2716" s="3"/>
      <c r="C2716" s="41"/>
    </row>
    <row r="2717" spans="1:3">
      <c r="A2717" s="81">
        <v>47490</v>
      </c>
      <c r="B2717" s="3"/>
      <c r="C2717" s="41"/>
    </row>
    <row r="2718" spans="1:3">
      <c r="A2718" s="81">
        <v>47491</v>
      </c>
      <c r="B2718" s="3"/>
      <c r="C2718" s="41"/>
    </row>
    <row r="2719" spans="1:3">
      <c r="A2719" s="81">
        <v>47492</v>
      </c>
      <c r="B2719" s="3"/>
      <c r="C2719" s="41"/>
    </row>
    <row r="2720" spans="1:3">
      <c r="A2720" s="81">
        <v>47493</v>
      </c>
      <c r="B2720" s="3"/>
      <c r="C2720" s="41"/>
    </row>
    <row r="2721" spans="1:3">
      <c r="A2721" s="81">
        <v>47494</v>
      </c>
      <c r="B2721" s="3"/>
      <c r="C2721" s="41"/>
    </row>
    <row r="2722" spans="1:3">
      <c r="A2722" s="81">
        <v>47495</v>
      </c>
      <c r="B2722" s="3"/>
      <c r="C2722" s="41"/>
    </row>
    <row r="2723" spans="1:3">
      <c r="A2723" s="81">
        <v>47496</v>
      </c>
      <c r="B2723" s="3"/>
      <c r="C2723" s="41"/>
    </row>
    <row r="2724" spans="1:3">
      <c r="A2724" s="81">
        <v>47497</v>
      </c>
      <c r="B2724" s="3"/>
      <c r="C2724" s="41"/>
    </row>
    <row r="2725" spans="1:3">
      <c r="A2725" s="81">
        <v>47498</v>
      </c>
      <c r="B2725" s="3"/>
      <c r="C2725" s="41"/>
    </row>
    <row r="2726" spans="1:3">
      <c r="A2726" s="81">
        <v>47499</v>
      </c>
      <c r="B2726" s="3"/>
      <c r="C2726" s="41"/>
    </row>
    <row r="2727" spans="1:3">
      <c r="A2727" s="81">
        <v>47500</v>
      </c>
      <c r="B2727" s="3"/>
      <c r="C2727" s="41"/>
    </row>
    <row r="2728" spans="1:3">
      <c r="A2728" s="81">
        <v>47501</v>
      </c>
      <c r="B2728" s="3"/>
      <c r="C2728" s="41"/>
    </row>
    <row r="2729" spans="1:3">
      <c r="A2729" s="81">
        <v>47502</v>
      </c>
      <c r="B2729" s="3"/>
      <c r="C2729" s="41"/>
    </row>
    <row r="2730" spans="1:3">
      <c r="A2730" s="81">
        <v>47503</v>
      </c>
      <c r="B2730" s="3"/>
      <c r="C2730" s="41"/>
    </row>
    <row r="2731" spans="1:3">
      <c r="A2731" s="81">
        <v>47504</v>
      </c>
      <c r="B2731" s="3"/>
      <c r="C2731" s="41"/>
    </row>
    <row r="2732" spans="1:3">
      <c r="A2732" s="81">
        <v>47505</v>
      </c>
      <c r="B2732" s="3"/>
      <c r="C2732" s="41"/>
    </row>
    <row r="2733" spans="1:3">
      <c r="A2733" s="81">
        <v>47506</v>
      </c>
      <c r="B2733" s="3"/>
      <c r="C2733" s="41"/>
    </row>
    <row r="2734" spans="1:3">
      <c r="A2734" s="81">
        <v>47507</v>
      </c>
      <c r="B2734" s="3"/>
      <c r="C2734" s="41"/>
    </row>
    <row r="2735" spans="1:3">
      <c r="A2735" s="81">
        <v>47508</v>
      </c>
      <c r="B2735" s="3"/>
      <c r="C2735" s="41"/>
    </row>
    <row r="2736" spans="1:3">
      <c r="A2736" s="81">
        <v>47509</v>
      </c>
      <c r="B2736" s="3"/>
      <c r="C2736" s="41"/>
    </row>
    <row r="2737" spans="1:3">
      <c r="A2737" s="81">
        <v>47510</v>
      </c>
      <c r="B2737" s="3"/>
      <c r="C2737" s="41"/>
    </row>
    <row r="2738" spans="1:3">
      <c r="A2738" s="81">
        <v>47511</v>
      </c>
      <c r="B2738" s="3"/>
      <c r="C2738" s="41"/>
    </row>
    <row r="2739" spans="1:3">
      <c r="A2739" s="81">
        <v>47512</v>
      </c>
      <c r="B2739" s="3"/>
      <c r="C2739" s="41"/>
    </row>
    <row r="2740" spans="1:3">
      <c r="A2740" s="81">
        <v>47513</v>
      </c>
      <c r="B2740" s="3"/>
      <c r="C2740" s="41"/>
    </row>
    <row r="2741" spans="1:3">
      <c r="A2741" s="81">
        <v>47514</v>
      </c>
      <c r="B2741" s="3"/>
      <c r="C2741" s="41"/>
    </row>
    <row r="2742" spans="1:3">
      <c r="A2742" s="81">
        <v>47515</v>
      </c>
      <c r="B2742" s="3"/>
      <c r="C2742" s="41"/>
    </row>
    <row r="2743" spans="1:3">
      <c r="A2743" s="81">
        <v>47516</v>
      </c>
      <c r="B2743" s="3"/>
      <c r="C2743" s="41"/>
    </row>
    <row r="2744" spans="1:3">
      <c r="A2744" s="81">
        <v>47517</v>
      </c>
      <c r="B2744" s="3"/>
      <c r="C2744" s="41"/>
    </row>
    <row r="2745" spans="1:3">
      <c r="A2745" s="81">
        <v>47518</v>
      </c>
      <c r="B2745" s="3"/>
      <c r="C2745" s="41"/>
    </row>
    <row r="2746" spans="1:3">
      <c r="A2746" s="81">
        <v>47519</v>
      </c>
      <c r="B2746" s="3"/>
      <c r="C2746" s="41"/>
    </row>
    <row r="2747" spans="1:3">
      <c r="A2747" s="81">
        <v>47520</v>
      </c>
      <c r="B2747" s="3"/>
      <c r="C2747" s="41"/>
    </row>
    <row r="2748" spans="1:3">
      <c r="A2748" s="81">
        <v>47521</v>
      </c>
      <c r="B2748" s="3"/>
      <c r="C2748" s="41"/>
    </row>
    <row r="2749" spans="1:3">
      <c r="A2749" s="81">
        <v>47522</v>
      </c>
      <c r="B2749" s="3"/>
      <c r="C2749" s="41"/>
    </row>
    <row r="2750" spans="1:3">
      <c r="A2750" s="81">
        <v>47523</v>
      </c>
      <c r="B2750" s="3"/>
      <c r="C2750" s="41"/>
    </row>
    <row r="2751" spans="1:3">
      <c r="A2751" s="81">
        <v>47524</v>
      </c>
      <c r="B2751" s="3"/>
      <c r="C2751" s="41"/>
    </row>
    <row r="2752" spans="1:3">
      <c r="A2752" s="81">
        <v>47525</v>
      </c>
      <c r="B2752" s="3"/>
      <c r="C2752" s="41"/>
    </row>
    <row r="2753" spans="1:3">
      <c r="A2753" s="81">
        <v>47526</v>
      </c>
      <c r="B2753" s="3"/>
      <c r="C2753" s="41"/>
    </row>
    <row r="2754" spans="1:3">
      <c r="A2754" s="81">
        <v>47527</v>
      </c>
      <c r="B2754" s="3"/>
      <c r="C2754" s="41"/>
    </row>
    <row r="2755" spans="1:3">
      <c r="A2755" s="81">
        <v>47528</v>
      </c>
      <c r="B2755" s="3"/>
      <c r="C2755" s="41"/>
    </row>
    <row r="2756" spans="1:3">
      <c r="A2756" s="81">
        <v>47529</v>
      </c>
      <c r="B2756" s="3"/>
      <c r="C2756" s="41"/>
    </row>
    <row r="2757" spans="1:3">
      <c r="A2757" s="81">
        <v>47530</v>
      </c>
      <c r="B2757" s="3"/>
      <c r="C2757" s="41"/>
    </row>
    <row r="2758" spans="1:3">
      <c r="A2758" s="81">
        <v>47531</v>
      </c>
      <c r="B2758" s="3"/>
      <c r="C2758" s="41"/>
    </row>
    <row r="2759" spans="1:3">
      <c r="A2759" s="81">
        <v>47532</v>
      </c>
      <c r="B2759" s="3"/>
      <c r="C2759" s="41"/>
    </row>
    <row r="2760" spans="1:3">
      <c r="A2760" s="81">
        <v>47533</v>
      </c>
      <c r="B2760" s="3"/>
      <c r="C2760" s="41"/>
    </row>
    <row r="2761" spans="1:3">
      <c r="A2761" s="81">
        <v>47534</v>
      </c>
      <c r="B2761" s="3"/>
      <c r="C2761" s="41"/>
    </row>
    <row r="2762" spans="1:3">
      <c r="A2762" s="81">
        <v>47535</v>
      </c>
      <c r="B2762" s="3"/>
      <c r="C2762" s="41"/>
    </row>
    <row r="2763" spans="1:3">
      <c r="A2763" s="81">
        <v>47536</v>
      </c>
      <c r="B2763" s="3"/>
      <c r="C2763" s="41"/>
    </row>
    <row r="2764" spans="1:3">
      <c r="A2764" s="81">
        <v>47537</v>
      </c>
      <c r="B2764" s="3"/>
      <c r="C2764" s="41"/>
    </row>
    <row r="2765" spans="1:3">
      <c r="A2765" s="81">
        <v>47538</v>
      </c>
      <c r="B2765" s="3"/>
      <c r="C2765" s="41"/>
    </row>
    <row r="2766" spans="1:3">
      <c r="A2766" s="81">
        <v>47539</v>
      </c>
      <c r="B2766" s="3"/>
      <c r="C2766" s="41"/>
    </row>
    <row r="2767" spans="1:3">
      <c r="A2767" s="81">
        <v>47540</v>
      </c>
      <c r="B2767" s="3"/>
      <c r="C2767" s="41"/>
    </row>
    <row r="2768" spans="1:3">
      <c r="A2768" s="81">
        <v>47541</v>
      </c>
      <c r="B2768" s="3"/>
      <c r="C2768" s="41"/>
    </row>
    <row r="2769" spans="1:3">
      <c r="A2769" s="81">
        <v>47542</v>
      </c>
      <c r="B2769" s="3"/>
      <c r="C2769" s="41"/>
    </row>
    <row r="2770" spans="1:3">
      <c r="A2770" s="81">
        <v>47543</v>
      </c>
      <c r="B2770" s="3"/>
      <c r="C2770" s="41"/>
    </row>
    <row r="2771" spans="1:3">
      <c r="A2771" s="81">
        <v>47544</v>
      </c>
      <c r="B2771" s="3"/>
      <c r="C2771" s="41"/>
    </row>
    <row r="2772" spans="1:3">
      <c r="A2772" s="81">
        <v>47545</v>
      </c>
      <c r="B2772" s="3"/>
      <c r="C2772" s="41"/>
    </row>
    <row r="2773" spans="1:3">
      <c r="A2773" s="81">
        <v>47546</v>
      </c>
      <c r="B2773" s="3"/>
      <c r="C2773" s="41"/>
    </row>
    <row r="2774" spans="1:3">
      <c r="A2774" s="81">
        <v>47547</v>
      </c>
      <c r="B2774" s="3"/>
      <c r="C2774" s="41"/>
    </row>
    <row r="2775" spans="1:3">
      <c r="A2775" s="81">
        <v>47548</v>
      </c>
      <c r="B2775" s="3"/>
      <c r="C2775" s="41"/>
    </row>
    <row r="2776" spans="1:3">
      <c r="A2776" s="81">
        <v>47549</v>
      </c>
      <c r="B2776" s="3"/>
      <c r="C2776" s="41"/>
    </row>
    <row r="2777" spans="1:3">
      <c r="A2777" s="81">
        <v>47550</v>
      </c>
      <c r="B2777" s="3"/>
      <c r="C2777" s="41"/>
    </row>
    <row r="2778" spans="1:3">
      <c r="A2778" s="81">
        <v>47551</v>
      </c>
      <c r="B2778" s="3"/>
      <c r="C2778" s="41"/>
    </row>
    <row r="2779" spans="1:3">
      <c r="A2779" s="81">
        <v>47552</v>
      </c>
      <c r="B2779" s="3"/>
      <c r="C2779" s="41"/>
    </row>
    <row r="2780" spans="1:3">
      <c r="A2780" s="81">
        <v>47553</v>
      </c>
      <c r="B2780" s="3"/>
      <c r="C2780" s="41"/>
    </row>
    <row r="2781" spans="1:3">
      <c r="A2781" s="81">
        <v>47554</v>
      </c>
      <c r="B2781" s="3"/>
      <c r="C2781" s="41"/>
    </row>
    <row r="2782" spans="1:3">
      <c r="A2782" s="81">
        <v>47555</v>
      </c>
      <c r="B2782" s="3"/>
      <c r="C2782" s="41"/>
    </row>
    <row r="2783" spans="1:3">
      <c r="A2783" s="81">
        <v>47556</v>
      </c>
      <c r="B2783" s="3"/>
      <c r="C2783" s="41"/>
    </row>
    <row r="2784" spans="1:3">
      <c r="A2784" s="81">
        <v>47557</v>
      </c>
      <c r="B2784" s="3"/>
      <c r="C2784" s="41"/>
    </row>
    <row r="2785" spans="1:3">
      <c r="A2785" s="81">
        <v>47558</v>
      </c>
      <c r="B2785" s="3"/>
      <c r="C2785" s="41"/>
    </row>
    <row r="2786" spans="1:3">
      <c r="A2786" s="81">
        <v>47559</v>
      </c>
      <c r="B2786" s="3"/>
      <c r="C2786" s="41"/>
    </row>
    <row r="2787" spans="1:3">
      <c r="A2787" s="81">
        <v>47560</v>
      </c>
      <c r="B2787" s="3"/>
      <c r="C2787" s="41"/>
    </row>
    <row r="2788" spans="1:3">
      <c r="A2788" s="81">
        <v>47561</v>
      </c>
      <c r="B2788" s="3"/>
      <c r="C2788" s="41"/>
    </row>
    <row r="2789" spans="1:3">
      <c r="A2789" s="81">
        <v>47562</v>
      </c>
      <c r="B2789" s="3"/>
      <c r="C2789" s="41"/>
    </row>
    <row r="2790" spans="1:3">
      <c r="A2790" s="81">
        <v>47563</v>
      </c>
      <c r="B2790" s="3"/>
      <c r="C2790" s="41"/>
    </row>
    <row r="2791" spans="1:3">
      <c r="A2791" s="81">
        <v>47564</v>
      </c>
      <c r="B2791" s="3"/>
      <c r="C2791" s="41"/>
    </row>
    <row r="2792" spans="1:3">
      <c r="A2792" s="81">
        <v>47565</v>
      </c>
      <c r="B2792" s="3"/>
      <c r="C2792" s="41"/>
    </row>
    <row r="2793" spans="1:3">
      <c r="A2793" s="81">
        <v>47566</v>
      </c>
      <c r="B2793" s="3"/>
      <c r="C2793" s="41"/>
    </row>
    <row r="2794" spans="1:3">
      <c r="A2794" s="81">
        <v>47567</v>
      </c>
      <c r="B2794" s="3"/>
      <c r="C2794" s="41"/>
    </row>
    <row r="2795" spans="1:3">
      <c r="A2795" s="81">
        <v>47568</v>
      </c>
      <c r="B2795" s="3"/>
      <c r="C2795" s="41"/>
    </row>
    <row r="2796" spans="1:3">
      <c r="A2796" s="81">
        <v>47569</v>
      </c>
      <c r="B2796" s="3"/>
      <c r="C2796" s="41"/>
    </row>
    <row r="2797" spans="1:3">
      <c r="A2797" s="81">
        <v>47570</v>
      </c>
      <c r="B2797" s="3"/>
      <c r="C2797" s="41"/>
    </row>
    <row r="2798" spans="1:3">
      <c r="A2798" s="81">
        <v>47571</v>
      </c>
      <c r="B2798" s="3"/>
      <c r="C2798" s="41"/>
    </row>
    <row r="2799" spans="1:3">
      <c r="A2799" s="81">
        <v>47572</v>
      </c>
      <c r="B2799" s="3"/>
      <c r="C2799" s="41"/>
    </row>
    <row r="2800" spans="1:3">
      <c r="A2800" s="81">
        <v>47573</v>
      </c>
      <c r="B2800" s="3"/>
      <c r="C2800" s="41"/>
    </row>
    <row r="2801" spans="1:3">
      <c r="A2801" s="81">
        <v>47574</v>
      </c>
      <c r="B2801" s="3"/>
      <c r="C2801" s="41"/>
    </row>
    <row r="2802" spans="1:3">
      <c r="A2802" s="81">
        <v>47575</v>
      </c>
      <c r="B2802" s="3"/>
      <c r="C2802" s="41"/>
    </row>
    <row r="2803" spans="1:3">
      <c r="A2803" s="81">
        <v>47576</v>
      </c>
      <c r="B2803" s="3"/>
      <c r="C2803" s="41"/>
    </row>
    <row r="2804" spans="1:3">
      <c r="A2804" s="81">
        <v>47577</v>
      </c>
      <c r="B2804" s="3"/>
      <c r="C2804" s="41"/>
    </row>
    <row r="2805" spans="1:3">
      <c r="A2805" s="81">
        <v>47578</v>
      </c>
      <c r="B2805" s="3"/>
      <c r="C2805" s="41"/>
    </row>
    <row r="2806" spans="1:3">
      <c r="A2806" s="81">
        <v>47579</v>
      </c>
      <c r="B2806" s="3"/>
      <c r="C2806" s="41"/>
    </row>
    <row r="2807" spans="1:3">
      <c r="A2807" s="81">
        <v>47580</v>
      </c>
      <c r="B2807" s="3"/>
      <c r="C2807" s="41"/>
    </row>
    <row r="2808" spans="1:3">
      <c r="A2808" s="81">
        <v>47581</v>
      </c>
      <c r="B2808" s="3"/>
      <c r="C2808" s="41"/>
    </row>
    <row r="2809" spans="1:3">
      <c r="A2809" s="81">
        <v>47582</v>
      </c>
      <c r="B2809" s="3"/>
      <c r="C2809" s="41"/>
    </row>
    <row r="2810" spans="1:3">
      <c r="A2810" s="81">
        <v>47583</v>
      </c>
      <c r="B2810" s="3"/>
      <c r="C2810" s="41"/>
    </row>
    <row r="2811" spans="1:3">
      <c r="A2811" s="81">
        <v>47584</v>
      </c>
      <c r="B2811" s="3"/>
      <c r="C2811" s="41"/>
    </row>
    <row r="2812" spans="1:3">
      <c r="A2812" s="81">
        <v>47585</v>
      </c>
      <c r="B2812" s="3"/>
      <c r="C2812" s="41"/>
    </row>
    <row r="2813" spans="1:3">
      <c r="A2813" s="81">
        <v>47586</v>
      </c>
      <c r="B2813" s="3"/>
      <c r="C2813" s="41"/>
    </row>
    <row r="2814" spans="1:3">
      <c r="A2814" s="81">
        <v>47587</v>
      </c>
      <c r="B2814" s="3"/>
      <c r="C2814" s="41"/>
    </row>
    <row r="2815" spans="1:3">
      <c r="A2815" s="81">
        <v>47588</v>
      </c>
      <c r="B2815" s="3"/>
      <c r="C2815" s="41"/>
    </row>
    <row r="2816" spans="1:3">
      <c r="A2816" s="81">
        <v>47589</v>
      </c>
      <c r="B2816" s="3"/>
      <c r="C2816" s="41"/>
    </row>
    <row r="2817" spans="1:3">
      <c r="A2817" s="81">
        <v>47590</v>
      </c>
      <c r="B2817" s="3"/>
      <c r="C2817" s="41"/>
    </row>
    <row r="2818" spans="1:3">
      <c r="A2818" s="81">
        <v>47591</v>
      </c>
      <c r="B2818" s="3"/>
      <c r="C2818" s="41"/>
    </row>
    <row r="2819" spans="1:3">
      <c r="A2819" s="81">
        <v>47592</v>
      </c>
      <c r="B2819" s="3"/>
      <c r="C2819" s="41"/>
    </row>
    <row r="2820" spans="1:3">
      <c r="A2820" s="81">
        <v>47593</v>
      </c>
      <c r="B2820" s="3"/>
      <c r="C2820" s="41"/>
    </row>
    <row r="2821" spans="1:3">
      <c r="A2821" s="81">
        <v>47594</v>
      </c>
      <c r="B2821" s="3"/>
      <c r="C2821" s="41"/>
    </row>
    <row r="2822" spans="1:3">
      <c r="A2822" s="81">
        <v>47595</v>
      </c>
      <c r="B2822" s="3"/>
      <c r="C2822" s="41"/>
    </row>
    <row r="2823" spans="1:3">
      <c r="A2823" s="81">
        <v>47596</v>
      </c>
      <c r="B2823" s="3"/>
      <c r="C2823" s="41"/>
    </row>
    <row r="2824" spans="1:3">
      <c r="A2824" s="81">
        <v>47597</v>
      </c>
      <c r="B2824" s="3"/>
      <c r="C2824" s="41"/>
    </row>
    <row r="2825" spans="1:3">
      <c r="A2825" s="81">
        <v>47598</v>
      </c>
      <c r="B2825" s="3"/>
      <c r="C2825" s="41"/>
    </row>
    <row r="2826" spans="1:3">
      <c r="A2826" s="81">
        <v>47599</v>
      </c>
      <c r="B2826" s="3"/>
      <c r="C2826" s="41"/>
    </row>
    <row r="2827" spans="1:3">
      <c r="A2827" s="81">
        <v>47600</v>
      </c>
      <c r="B2827" s="3"/>
      <c r="C2827" s="41"/>
    </row>
    <row r="2828" spans="1:3">
      <c r="A2828" s="81">
        <v>47601</v>
      </c>
      <c r="B2828" s="3"/>
      <c r="C2828" s="41"/>
    </row>
    <row r="2829" spans="1:3">
      <c r="A2829" s="81">
        <v>47602</v>
      </c>
      <c r="B2829" s="3"/>
      <c r="C2829" s="41"/>
    </row>
    <row r="2830" spans="1:3">
      <c r="A2830" s="81">
        <v>47603</v>
      </c>
      <c r="B2830" s="3"/>
      <c r="C2830" s="41"/>
    </row>
    <row r="2831" spans="1:3">
      <c r="A2831" s="81">
        <v>47604</v>
      </c>
      <c r="B2831" s="3"/>
      <c r="C2831" s="41"/>
    </row>
    <row r="2832" spans="1:3">
      <c r="A2832" s="81">
        <v>47605</v>
      </c>
      <c r="B2832" s="3"/>
      <c r="C2832" s="41"/>
    </row>
    <row r="2833" spans="1:3">
      <c r="A2833" s="81">
        <v>47606</v>
      </c>
      <c r="B2833" s="3"/>
      <c r="C2833" s="41"/>
    </row>
    <row r="2834" spans="1:3">
      <c r="A2834" s="81">
        <v>47607</v>
      </c>
      <c r="B2834" s="3"/>
      <c r="C2834" s="41"/>
    </row>
    <row r="2835" spans="1:3">
      <c r="A2835" s="81">
        <v>47608</v>
      </c>
      <c r="B2835" s="3"/>
      <c r="C2835" s="41"/>
    </row>
    <row r="2836" spans="1:3">
      <c r="A2836" s="81">
        <v>47609</v>
      </c>
      <c r="B2836" s="3"/>
      <c r="C2836" s="41"/>
    </row>
    <row r="2837" spans="1:3">
      <c r="A2837" s="81">
        <v>47610</v>
      </c>
      <c r="B2837" s="3"/>
      <c r="C2837" s="41"/>
    </row>
    <row r="2838" spans="1:3">
      <c r="A2838" s="81">
        <v>47611</v>
      </c>
      <c r="B2838" s="3"/>
      <c r="C2838" s="41"/>
    </row>
    <row r="2839" spans="1:3">
      <c r="A2839" s="81">
        <v>47612</v>
      </c>
      <c r="B2839" s="3"/>
      <c r="C2839" s="41"/>
    </row>
    <row r="2840" spans="1:3">
      <c r="A2840" s="81">
        <v>47613</v>
      </c>
      <c r="B2840" s="3"/>
      <c r="C2840" s="41"/>
    </row>
    <row r="2841" spans="1:3">
      <c r="A2841" s="81">
        <v>47614</v>
      </c>
      <c r="B2841" s="3"/>
      <c r="C2841" s="41"/>
    </row>
    <row r="2842" spans="1:3">
      <c r="A2842" s="81">
        <v>47615</v>
      </c>
      <c r="B2842" s="3"/>
      <c r="C2842" s="41"/>
    </row>
    <row r="2843" spans="1:3">
      <c r="A2843" s="81">
        <v>47616</v>
      </c>
      <c r="B2843" s="3"/>
      <c r="C2843" s="41"/>
    </row>
    <row r="2844" spans="1:3">
      <c r="A2844" s="81">
        <v>47617</v>
      </c>
      <c r="B2844" s="3"/>
      <c r="C2844" s="41"/>
    </row>
    <row r="2845" spans="1:3">
      <c r="A2845" s="81">
        <v>47618</v>
      </c>
      <c r="B2845" s="3"/>
      <c r="C2845" s="41"/>
    </row>
    <row r="2846" spans="1:3">
      <c r="A2846" s="81">
        <v>47619</v>
      </c>
      <c r="B2846" s="3"/>
      <c r="C2846" s="41"/>
    </row>
    <row r="2847" spans="1:3">
      <c r="A2847" s="81">
        <v>47620</v>
      </c>
      <c r="B2847" s="3"/>
      <c r="C2847" s="41"/>
    </row>
    <row r="2848" spans="1:3">
      <c r="A2848" s="81">
        <v>47621</v>
      </c>
      <c r="B2848" s="3"/>
      <c r="C2848" s="41"/>
    </row>
    <row r="2849" spans="1:3">
      <c r="A2849" s="81">
        <v>47622</v>
      </c>
      <c r="B2849" s="3"/>
      <c r="C2849" s="41"/>
    </row>
    <row r="2850" spans="1:3">
      <c r="A2850" s="81">
        <v>47623</v>
      </c>
      <c r="B2850" s="3"/>
      <c r="C2850" s="41"/>
    </row>
    <row r="2851" spans="1:3">
      <c r="A2851" s="81">
        <v>47624</v>
      </c>
      <c r="B2851" s="3"/>
      <c r="C2851" s="41"/>
    </row>
    <row r="2852" spans="1:3">
      <c r="A2852" s="81">
        <v>47625</v>
      </c>
      <c r="B2852" s="3"/>
      <c r="C2852" s="41"/>
    </row>
    <row r="2853" spans="1:3">
      <c r="A2853" s="81">
        <v>47626</v>
      </c>
      <c r="B2853" s="3"/>
      <c r="C2853" s="41"/>
    </row>
    <row r="2854" spans="1:3">
      <c r="A2854" s="81">
        <v>47627</v>
      </c>
      <c r="B2854" s="3"/>
      <c r="C2854" s="41"/>
    </row>
    <row r="2855" spans="1:3">
      <c r="A2855" s="81">
        <v>47628</v>
      </c>
      <c r="B2855" s="3"/>
      <c r="C2855" s="41"/>
    </row>
    <row r="2856" spans="1:3">
      <c r="A2856" s="81">
        <v>47629</v>
      </c>
      <c r="B2856" s="3"/>
      <c r="C2856" s="41"/>
    </row>
    <row r="2857" spans="1:3">
      <c r="A2857" s="81">
        <v>47630</v>
      </c>
      <c r="B2857" s="3"/>
      <c r="C2857" s="41"/>
    </row>
    <row r="2858" spans="1:3">
      <c r="A2858" s="81">
        <v>47631</v>
      </c>
      <c r="B2858" s="3"/>
      <c r="C2858" s="41"/>
    </row>
    <row r="2859" spans="1:3">
      <c r="A2859" s="81">
        <v>47632</v>
      </c>
      <c r="B2859" s="3"/>
      <c r="C2859" s="41"/>
    </row>
    <row r="2860" spans="1:3">
      <c r="A2860" s="81">
        <v>47633</v>
      </c>
      <c r="B2860" s="3"/>
      <c r="C2860" s="41"/>
    </row>
    <row r="2861" spans="1:3">
      <c r="A2861" s="81">
        <v>47634</v>
      </c>
      <c r="B2861" s="3"/>
      <c r="C2861" s="41"/>
    </row>
    <row r="2862" spans="1:3">
      <c r="A2862" s="81">
        <v>47635</v>
      </c>
      <c r="B2862" s="3"/>
      <c r="C2862" s="41"/>
    </row>
    <row r="2863" spans="1:3">
      <c r="A2863" s="81">
        <v>47636</v>
      </c>
      <c r="B2863" s="3"/>
      <c r="C2863" s="41"/>
    </row>
    <row r="2864" spans="1:3">
      <c r="A2864" s="81">
        <v>47637</v>
      </c>
      <c r="B2864" s="3"/>
      <c r="C2864" s="41"/>
    </row>
    <row r="2865" spans="1:3">
      <c r="A2865" s="81">
        <v>47638</v>
      </c>
      <c r="B2865" s="3"/>
      <c r="C2865" s="41"/>
    </row>
    <row r="2866" spans="1:3">
      <c r="A2866" s="81">
        <v>47639</v>
      </c>
      <c r="B2866" s="3"/>
      <c r="C2866" s="41"/>
    </row>
    <row r="2867" spans="1:3">
      <c r="A2867" s="81">
        <v>47640</v>
      </c>
      <c r="B2867" s="3"/>
      <c r="C2867" s="41"/>
    </row>
    <row r="2868" spans="1:3">
      <c r="A2868" s="81">
        <v>47641</v>
      </c>
      <c r="B2868" s="3"/>
      <c r="C2868" s="41"/>
    </row>
    <row r="2869" spans="1:3">
      <c r="A2869" s="81">
        <v>47642</v>
      </c>
      <c r="B2869" s="3"/>
      <c r="C2869" s="41"/>
    </row>
    <row r="2870" spans="1:3">
      <c r="A2870" s="81">
        <v>47643</v>
      </c>
      <c r="B2870" s="3"/>
      <c r="C2870" s="41"/>
    </row>
    <row r="2871" spans="1:3">
      <c r="A2871" s="81">
        <v>47644</v>
      </c>
      <c r="B2871" s="3"/>
      <c r="C2871" s="41"/>
    </row>
    <row r="2872" spans="1:3">
      <c r="A2872" s="81">
        <v>47645</v>
      </c>
      <c r="B2872" s="3"/>
      <c r="C2872" s="41"/>
    </row>
    <row r="2873" spans="1:3">
      <c r="A2873" s="81">
        <v>47646</v>
      </c>
      <c r="B2873" s="3"/>
      <c r="C2873" s="41"/>
    </row>
    <row r="2874" spans="1:3">
      <c r="A2874" s="81">
        <v>47647</v>
      </c>
      <c r="B2874" s="3"/>
      <c r="C2874" s="41"/>
    </row>
    <row r="2875" spans="1:3">
      <c r="A2875" s="81">
        <v>47648</v>
      </c>
      <c r="B2875" s="3"/>
      <c r="C2875" s="41"/>
    </row>
    <row r="2876" spans="1:3">
      <c r="A2876" s="81">
        <v>47649</v>
      </c>
      <c r="B2876" s="3"/>
      <c r="C2876" s="41"/>
    </row>
    <row r="2877" spans="1:3">
      <c r="A2877" s="81">
        <v>47650</v>
      </c>
      <c r="B2877" s="3"/>
      <c r="C2877" s="41"/>
    </row>
    <row r="2878" spans="1:3">
      <c r="A2878" s="81">
        <v>47651</v>
      </c>
      <c r="B2878" s="3"/>
      <c r="C2878" s="41"/>
    </row>
    <row r="2879" spans="1:3">
      <c r="A2879" s="81">
        <v>47652</v>
      </c>
      <c r="B2879" s="3"/>
      <c r="C2879" s="41"/>
    </row>
    <row r="2880" spans="1:3">
      <c r="A2880" s="81">
        <v>47653</v>
      </c>
      <c r="B2880" s="3"/>
      <c r="C2880" s="41"/>
    </row>
    <row r="2881" spans="1:3">
      <c r="A2881" s="81">
        <v>47654</v>
      </c>
      <c r="B2881" s="3"/>
      <c r="C2881" s="41"/>
    </row>
    <row r="2882" spans="1:3">
      <c r="A2882" s="81">
        <v>47655</v>
      </c>
      <c r="B2882" s="3"/>
      <c r="C2882" s="41"/>
    </row>
    <row r="2883" spans="1:3">
      <c r="A2883" s="81">
        <v>47656</v>
      </c>
      <c r="B2883" s="3"/>
      <c r="C2883" s="41"/>
    </row>
    <row r="2884" spans="1:3">
      <c r="A2884" s="81">
        <v>47657</v>
      </c>
      <c r="B2884" s="3"/>
      <c r="C2884" s="41"/>
    </row>
    <row r="2885" spans="1:3">
      <c r="A2885" s="81">
        <v>47658</v>
      </c>
      <c r="B2885" s="3"/>
      <c r="C2885" s="41"/>
    </row>
    <row r="2886" spans="1:3">
      <c r="A2886" s="81">
        <v>47659</v>
      </c>
      <c r="B2886" s="3"/>
      <c r="C2886" s="41"/>
    </row>
    <row r="2887" spans="1:3">
      <c r="A2887" s="81">
        <v>47660</v>
      </c>
      <c r="B2887" s="3"/>
      <c r="C2887" s="41"/>
    </row>
    <row r="2888" spans="1:3">
      <c r="A2888" s="81">
        <v>47661</v>
      </c>
      <c r="B2888" s="3"/>
      <c r="C2888" s="41"/>
    </row>
    <row r="2889" spans="1:3">
      <c r="A2889" s="81">
        <v>47662</v>
      </c>
      <c r="B2889" s="3"/>
      <c r="C2889" s="41"/>
    </row>
    <row r="2890" spans="1:3">
      <c r="A2890" s="81">
        <v>47663</v>
      </c>
      <c r="B2890" s="3"/>
      <c r="C2890" s="41"/>
    </row>
    <row r="2891" spans="1:3">
      <c r="A2891" s="81">
        <v>47664</v>
      </c>
      <c r="B2891" s="3"/>
      <c r="C2891" s="41"/>
    </row>
    <row r="2892" spans="1:3">
      <c r="A2892" s="81">
        <v>47665</v>
      </c>
      <c r="B2892" s="3"/>
      <c r="C2892" s="41"/>
    </row>
    <row r="2893" spans="1:3">
      <c r="A2893" s="81">
        <v>47666</v>
      </c>
      <c r="B2893" s="3"/>
      <c r="C2893" s="41"/>
    </row>
    <row r="2894" spans="1:3">
      <c r="A2894" s="81">
        <v>47667</v>
      </c>
      <c r="B2894" s="3"/>
      <c r="C2894" s="41"/>
    </row>
    <row r="2895" spans="1:3">
      <c r="A2895" s="81">
        <v>47668</v>
      </c>
      <c r="B2895" s="3"/>
      <c r="C2895" s="41"/>
    </row>
    <row r="2896" spans="1:3">
      <c r="A2896" s="81">
        <v>47669</v>
      </c>
      <c r="B2896" s="3"/>
      <c r="C2896" s="41"/>
    </row>
    <row r="2897" spans="1:3">
      <c r="A2897" s="81">
        <v>47670</v>
      </c>
      <c r="B2897" s="3"/>
      <c r="C2897" s="41"/>
    </row>
    <row r="2898" spans="1:3">
      <c r="A2898" s="81">
        <v>47671</v>
      </c>
      <c r="B2898" s="3"/>
      <c r="C2898" s="41"/>
    </row>
    <row r="2899" spans="1:3">
      <c r="A2899" s="81">
        <v>47672</v>
      </c>
      <c r="B2899" s="3"/>
      <c r="C2899" s="41"/>
    </row>
    <row r="2900" spans="1:3">
      <c r="A2900" s="81">
        <v>47673</v>
      </c>
      <c r="B2900" s="3"/>
      <c r="C2900" s="41"/>
    </row>
    <row r="2901" spans="1:3">
      <c r="A2901" s="81">
        <v>47674</v>
      </c>
      <c r="B2901" s="3"/>
      <c r="C2901" s="41"/>
    </row>
    <row r="2902" spans="1:3">
      <c r="A2902" s="81">
        <v>47675</v>
      </c>
      <c r="B2902" s="3"/>
      <c r="C2902" s="41"/>
    </row>
    <row r="2903" spans="1:3">
      <c r="A2903" s="81">
        <v>47676</v>
      </c>
      <c r="B2903" s="3"/>
      <c r="C2903" s="41"/>
    </row>
    <row r="2904" spans="1:3">
      <c r="A2904" s="81">
        <v>47677</v>
      </c>
      <c r="B2904" s="3"/>
      <c r="C2904" s="41"/>
    </row>
    <row r="2905" spans="1:3">
      <c r="A2905" s="81">
        <v>47678</v>
      </c>
      <c r="B2905" s="3"/>
      <c r="C2905" s="41"/>
    </row>
    <row r="2906" spans="1:3">
      <c r="A2906" s="81">
        <v>47679</v>
      </c>
      <c r="B2906" s="3"/>
      <c r="C2906" s="41"/>
    </row>
    <row r="2907" spans="1:3">
      <c r="A2907" s="81">
        <v>47680</v>
      </c>
      <c r="B2907" s="3"/>
      <c r="C2907" s="41"/>
    </row>
    <row r="2908" spans="1:3">
      <c r="A2908" s="81">
        <v>47681</v>
      </c>
      <c r="B2908" s="3"/>
      <c r="C2908" s="41"/>
    </row>
    <row r="2909" spans="1:3">
      <c r="A2909" s="81">
        <v>47682</v>
      </c>
      <c r="B2909" s="3"/>
      <c r="C2909" s="41"/>
    </row>
    <row r="2910" spans="1:3">
      <c r="A2910" s="81">
        <v>47683</v>
      </c>
      <c r="B2910" s="3"/>
      <c r="C2910" s="41"/>
    </row>
    <row r="2911" spans="1:3">
      <c r="A2911" s="81">
        <v>47684</v>
      </c>
      <c r="B2911" s="3"/>
      <c r="C2911" s="41"/>
    </row>
    <row r="2912" spans="1:3">
      <c r="A2912" s="81">
        <v>47685</v>
      </c>
      <c r="B2912" s="3"/>
      <c r="C2912" s="41"/>
    </row>
    <row r="2913" spans="1:3">
      <c r="A2913" s="81">
        <v>47686</v>
      </c>
      <c r="B2913" s="3"/>
      <c r="C2913" s="41"/>
    </row>
    <row r="2914" spans="1:3">
      <c r="A2914" s="81">
        <v>47687</v>
      </c>
      <c r="B2914" s="3"/>
      <c r="C2914" s="41"/>
    </row>
    <row r="2915" spans="1:3">
      <c r="A2915" s="81">
        <v>47688</v>
      </c>
      <c r="B2915" s="3"/>
      <c r="C2915" s="41"/>
    </row>
    <row r="2916" spans="1:3">
      <c r="A2916" s="81">
        <v>47689</v>
      </c>
      <c r="B2916" s="3"/>
      <c r="C2916" s="41"/>
    </row>
    <row r="2917" spans="1:3">
      <c r="A2917" s="81">
        <v>47690</v>
      </c>
      <c r="B2917" s="3"/>
      <c r="C2917" s="41"/>
    </row>
    <row r="2918" spans="1:3">
      <c r="A2918" s="81">
        <v>47691</v>
      </c>
      <c r="B2918" s="3"/>
      <c r="C2918" s="41"/>
    </row>
    <row r="2919" spans="1:3">
      <c r="A2919" s="81">
        <v>47692</v>
      </c>
      <c r="B2919" s="3"/>
      <c r="C2919" s="41"/>
    </row>
    <row r="2920" spans="1:3">
      <c r="A2920" s="81">
        <v>47693</v>
      </c>
      <c r="B2920" s="3"/>
      <c r="C2920" s="41"/>
    </row>
    <row r="2921" spans="1:3">
      <c r="A2921" s="81">
        <v>47694</v>
      </c>
      <c r="B2921" s="3"/>
      <c r="C2921" s="41"/>
    </row>
    <row r="2922" spans="1:3">
      <c r="A2922" s="81">
        <v>47695</v>
      </c>
      <c r="B2922" s="3"/>
      <c r="C2922" s="41"/>
    </row>
    <row r="2923" spans="1:3">
      <c r="A2923" s="81">
        <v>47696</v>
      </c>
      <c r="B2923" s="3"/>
      <c r="C2923" s="41"/>
    </row>
    <row r="2924" spans="1:3">
      <c r="A2924" s="81">
        <v>47697</v>
      </c>
      <c r="B2924" s="3"/>
      <c r="C2924" s="41"/>
    </row>
    <row r="2925" spans="1:3">
      <c r="A2925" s="81">
        <v>47698</v>
      </c>
      <c r="B2925" s="3"/>
      <c r="C2925" s="41"/>
    </row>
    <row r="2926" spans="1:3">
      <c r="A2926" s="81">
        <v>47699</v>
      </c>
      <c r="B2926" s="3"/>
      <c r="C2926" s="41"/>
    </row>
    <row r="2927" spans="1:3">
      <c r="A2927" s="81">
        <v>47700</v>
      </c>
      <c r="B2927" s="3"/>
      <c r="C2927" s="41"/>
    </row>
    <row r="2928" spans="1:3">
      <c r="A2928" s="81">
        <v>47701</v>
      </c>
      <c r="B2928" s="3"/>
      <c r="C2928" s="41"/>
    </row>
    <row r="2929" spans="1:3">
      <c r="A2929" s="81">
        <v>47702</v>
      </c>
      <c r="B2929" s="3"/>
      <c r="C2929" s="41"/>
    </row>
    <row r="2930" spans="1:3">
      <c r="A2930" s="81">
        <v>47703</v>
      </c>
      <c r="B2930" s="3"/>
      <c r="C2930" s="41"/>
    </row>
    <row r="2931" spans="1:3">
      <c r="A2931" s="81">
        <v>47704</v>
      </c>
      <c r="B2931" s="3"/>
      <c r="C2931" s="41"/>
    </row>
    <row r="2932" spans="1:3">
      <c r="A2932" s="81">
        <v>47705</v>
      </c>
      <c r="B2932" s="3"/>
      <c r="C2932" s="41"/>
    </row>
    <row r="2933" spans="1:3">
      <c r="A2933" s="81">
        <v>47706</v>
      </c>
      <c r="B2933" s="3"/>
      <c r="C2933" s="41"/>
    </row>
    <row r="2934" spans="1:3">
      <c r="A2934" s="81">
        <v>47707</v>
      </c>
      <c r="B2934" s="3"/>
      <c r="C2934" s="41"/>
    </row>
    <row r="2935" spans="1:3">
      <c r="A2935" s="81">
        <v>47708</v>
      </c>
      <c r="B2935" s="3"/>
      <c r="C2935" s="41"/>
    </row>
    <row r="2936" spans="1:3">
      <c r="A2936" s="81">
        <v>47709</v>
      </c>
      <c r="B2936" s="3"/>
      <c r="C2936" s="41"/>
    </row>
    <row r="2937" spans="1:3">
      <c r="A2937" s="81">
        <v>47710</v>
      </c>
      <c r="B2937" s="3"/>
      <c r="C2937" s="41"/>
    </row>
    <row r="2938" spans="1:3">
      <c r="A2938" s="81">
        <v>47711</v>
      </c>
      <c r="B2938" s="3"/>
      <c r="C2938" s="41"/>
    </row>
    <row r="2939" spans="1:3">
      <c r="A2939" s="81">
        <v>47712</v>
      </c>
      <c r="B2939" s="3"/>
      <c r="C2939" s="41"/>
    </row>
    <row r="2940" spans="1:3">
      <c r="A2940" s="81">
        <v>47713</v>
      </c>
      <c r="B2940" s="3"/>
      <c r="C2940" s="41"/>
    </row>
    <row r="2941" spans="1:3">
      <c r="A2941" s="81">
        <v>47714</v>
      </c>
      <c r="B2941" s="3"/>
      <c r="C2941" s="41"/>
    </row>
    <row r="2942" spans="1:3">
      <c r="A2942" s="81">
        <v>47715</v>
      </c>
      <c r="B2942" s="3"/>
      <c r="C2942" s="41"/>
    </row>
    <row r="2943" spans="1:3">
      <c r="A2943" s="81">
        <v>47716</v>
      </c>
      <c r="B2943" s="3"/>
      <c r="C2943" s="41"/>
    </row>
    <row r="2944" spans="1:3">
      <c r="A2944" s="81">
        <v>47717</v>
      </c>
      <c r="B2944" s="3"/>
      <c r="C2944" s="41"/>
    </row>
    <row r="2945" spans="1:3">
      <c r="A2945" s="81">
        <v>47718</v>
      </c>
      <c r="B2945" s="3"/>
      <c r="C2945" s="41"/>
    </row>
    <row r="2946" spans="1:3">
      <c r="A2946" s="81">
        <v>47719</v>
      </c>
      <c r="B2946" s="3"/>
      <c r="C2946" s="41"/>
    </row>
    <row r="2947" spans="1:3">
      <c r="A2947" s="81">
        <v>47720</v>
      </c>
      <c r="B2947" s="3"/>
      <c r="C2947" s="41"/>
    </row>
    <row r="2948" spans="1:3">
      <c r="A2948" s="81">
        <v>47721</v>
      </c>
      <c r="B2948" s="3"/>
      <c r="C2948" s="41"/>
    </row>
    <row r="2949" spans="1:3">
      <c r="A2949" s="81">
        <v>47722</v>
      </c>
      <c r="B2949" s="3"/>
      <c r="C2949" s="41"/>
    </row>
    <row r="2950" spans="1:3">
      <c r="A2950" s="81">
        <v>47723</v>
      </c>
      <c r="B2950" s="3"/>
      <c r="C2950" s="41"/>
    </row>
    <row r="2951" spans="1:3">
      <c r="A2951" s="81">
        <v>47724</v>
      </c>
      <c r="B2951" s="3"/>
      <c r="C2951" s="41"/>
    </row>
    <row r="2952" spans="1:3">
      <c r="A2952" s="81">
        <v>47725</v>
      </c>
      <c r="B2952" s="3"/>
      <c r="C2952" s="41"/>
    </row>
    <row r="2953" spans="1:3">
      <c r="A2953" s="81">
        <v>47726</v>
      </c>
      <c r="B2953" s="3"/>
      <c r="C2953" s="41"/>
    </row>
    <row r="2954" spans="1:3">
      <c r="A2954" s="81">
        <v>47727</v>
      </c>
      <c r="B2954" s="3"/>
      <c r="C2954" s="41"/>
    </row>
    <row r="2955" spans="1:3">
      <c r="A2955" s="81">
        <v>47728</v>
      </c>
      <c r="B2955" s="3"/>
      <c r="C2955" s="41"/>
    </row>
    <row r="2956" spans="1:3">
      <c r="A2956" s="81">
        <v>47729</v>
      </c>
      <c r="B2956" s="3"/>
      <c r="C2956" s="41"/>
    </row>
    <row r="2957" spans="1:3">
      <c r="A2957" s="81">
        <v>47730</v>
      </c>
      <c r="B2957" s="3"/>
      <c r="C2957" s="41"/>
    </row>
    <row r="2958" spans="1:3">
      <c r="A2958" s="81">
        <v>47731</v>
      </c>
      <c r="B2958" s="3"/>
      <c r="C2958" s="41"/>
    </row>
    <row r="2959" spans="1:3">
      <c r="A2959" s="81">
        <v>47732</v>
      </c>
      <c r="B2959" s="3"/>
      <c r="C2959" s="41"/>
    </row>
    <row r="2960" spans="1:3">
      <c r="A2960" s="81">
        <v>47733</v>
      </c>
      <c r="B2960" s="3"/>
      <c r="C2960" s="41"/>
    </row>
    <row r="2961" spans="1:3">
      <c r="A2961" s="81">
        <v>47734</v>
      </c>
      <c r="B2961" s="3"/>
      <c r="C2961" s="41"/>
    </row>
    <row r="2962" spans="1:3">
      <c r="A2962" s="81">
        <v>47735</v>
      </c>
      <c r="B2962" s="3"/>
      <c r="C2962" s="41"/>
    </row>
    <row r="2963" spans="1:3">
      <c r="A2963" s="81">
        <v>47736</v>
      </c>
      <c r="B2963" s="3"/>
      <c r="C2963" s="41"/>
    </row>
    <row r="2964" spans="1:3">
      <c r="A2964" s="81">
        <v>47737</v>
      </c>
      <c r="B2964" s="3"/>
      <c r="C2964" s="41"/>
    </row>
    <row r="2965" spans="1:3">
      <c r="A2965" s="81">
        <v>47738</v>
      </c>
      <c r="B2965" s="3"/>
      <c r="C2965" s="41"/>
    </row>
    <row r="2966" spans="1:3">
      <c r="A2966" s="81">
        <v>47739</v>
      </c>
      <c r="B2966" s="3"/>
      <c r="C2966" s="41"/>
    </row>
    <row r="2967" spans="1:3">
      <c r="A2967" s="81">
        <v>47740</v>
      </c>
      <c r="B2967" s="3"/>
      <c r="C2967" s="41"/>
    </row>
    <row r="2968" spans="1:3">
      <c r="A2968" s="81">
        <v>47741</v>
      </c>
      <c r="B2968" s="3"/>
      <c r="C2968" s="41"/>
    </row>
    <row r="2969" spans="1:3">
      <c r="A2969" s="81">
        <v>47742</v>
      </c>
      <c r="B2969" s="3"/>
      <c r="C2969" s="41"/>
    </row>
    <row r="2970" spans="1:3">
      <c r="A2970" s="81">
        <v>47743</v>
      </c>
      <c r="B2970" s="3"/>
      <c r="C2970" s="41"/>
    </row>
    <row r="2971" spans="1:3">
      <c r="A2971" s="81">
        <v>47744</v>
      </c>
      <c r="B2971" s="3"/>
      <c r="C2971" s="41"/>
    </row>
    <row r="2972" spans="1:3">
      <c r="A2972" s="81">
        <v>47745</v>
      </c>
      <c r="B2972" s="3"/>
      <c r="C2972" s="41"/>
    </row>
    <row r="2973" spans="1:3">
      <c r="A2973" s="81">
        <v>47746</v>
      </c>
      <c r="B2973" s="3"/>
      <c r="C2973" s="41"/>
    </row>
    <row r="2974" spans="1:3">
      <c r="A2974" s="81">
        <v>47747</v>
      </c>
      <c r="B2974" s="3"/>
      <c r="C2974" s="41"/>
    </row>
    <row r="2975" spans="1:3">
      <c r="A2975" s="81">
        <v>47748</v>
      </c>
      <c r="B2975" s="3"/>
      <c r="C2975" s="41"/>
    </row>
    <row r="2976" spans="1:3">
      <c r="A2976" s="81">
        <v>47749</v>
      </c>
      <c r="B2976" s="3"/>
      <c r="C2976" s="41"/>
    </row>
    <row r="2977" spans="1:3">
      <c r="A2977" s="81">
        <v>47750</v>
      </c>
      <c r="B2977" s="3"/>
      <c r="C2977" s="41"/>
    </row>
    <row r="2978" spans="1:3">
      <c r="A2978" s="81">
        <v>47751</v>
      </c>
      <c r="B2978" s="3"/>
      <c r="C2978" s="41"/>
    </row>
    <row r="2979" spans="1:3" ht="15.75" thickBot="1">
      <c r="A2979" s="81">
        <v>47752</v>
      </c>
      <c r="B2979" s="30"/>
      <c r="C2979" s="31"/>
    </row>
  </sheetData>
  <mergeCells count="1">
    <mergeCell ref="E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638C-6CA1-48C3-AEB1-561DDCCEA853}">
  <sheetPr codeName="Planilha3"/>
  <dimension ref="A1:E219"/>
  <sheetViews>
    <sheetView workbookViewId="0">
      <selection activeCell="E54" sqref="E54"/>
    </sheetView>
  </sheetViews>
  <sheetFormatPr defaultRowHeight="15"/>
  <cols>
    <col min="1" max="1" width="10.7109375" bestFit="1" customWidth="1"/>
    <col min="2" max="2" width="9.140625" style="23"/>
    <col min="5" max="5" width="10.7109375" bestFit="1" customWidth="1"/>
  </cols>
  <sheetData>
    <row r="1" spans="1:5">
      <c r="A1" s="443" t="s">
        <v>46</v>
      </c>
      <c r="B1" s="444"/>
      <c r="C1" s="445"/>
    </row>
    <row r="2" spans="1:5">
      <c r="A2" s="65" t="s">
        <v>61</v>
      </c>
      <c r="B2" s="65" t="s">
        <v>63</v>
      </c>
      <c r="C2" s="65" t="s">
        <v>62</v>
      </c>
    </row>
    <row r="3" spans="1:5">
      <c r="A3" s="66">
        <v>44682</v>
      </c>
      <c r="B3" s="67"/>
      <c r="C3" s="68"/>
    </row>
    <row r="4" spans="1:5">
      <c r="A4" s="66">
        <v>44683</v>
      </c>
      <c r="B4" s="67"/>
      <c r="C4" s="68"/>
      <c r="E4" s="64"/>
    </row>
    <row r="5" spans="1:5">
      <c r="A5" s="66">
        <v>44684</v>
      </c>
      <c r="B5" s="67"/>
      <c r="C5" s="68"/>
    </row>
    <row r="6" spans="1:5">
      <c r="A6" s="66">
        <v>44685</v>
      </c>
      <c r="B6" s="67"/>
      <c r="C6" s="68"/>
    </row>
    <row r="7" spans="1:5">
      <c r="A7" s="66">
        <v>44686</v>
      </c>
      <c r="B7" s="67"/>
      <c r="C7" s="68"/>
    </row>
    <row r="8" spans="1:5">
      <c r="A8" s="66">
        <v>44687</v>
      </c>
      <c r="B8" s="67"/>
      <c r="C8" s="68"/>
    </row>
    <row r="9" spans="1:5">
      <c r="A9" s="66">
        <v>44688</v>
      </c>
      <c r="B9" s="67"/>
      <c r="C9" s="68"/>
    </row>
    <row r="10" spans="1:5">
      <c r="A10" s="66">
        <v>44689</v>
      </c>
      <c r="B10" s="67"/>
      <c r="C10" s="68"/>
    </row>
    <row r="11" spans="1:5">
      <c r="A11" s="66">
        <v>44690</v>
      </c>
      <c r="B11" s="67"/>
      <c r="C11" s="68"/>
    </row>
    <row r="12" spans="1:5">
      <c r="A12" s="66">
        <v>44691</v>
      </c>
      <c r="B12" s="67"/>
      <c r="C12" s="68"/>
    </row>
    <row r="13" spans="1:5">
      <c r="A13" s="66">
        <v>44692</v>
      </c>
      <c r="B13" s="67"/>
      <c r="C13" s="68"/>
    </row>
    <row r="14" spans="1:5">
      <c r="A14" s="66">
        <v>44693</v>
      </c>
      <c r="B14" s="67"/>
      <c r="C14" s="68"/>
    </row>
    <row r="15" spans="1:5">
      <c r="A15" s="66">
        <v>44694</v>
      </c>
      <c r="B15" s="67"/>
      <c r="C15" s="68"/>
    </row>
    <row r="16" spans="1:5">
      <c r="A16" s="66">
        <v>44695</v>
      </c>
      <c r="B16" s="67"/>
      <c r="C16" s="68"/>
    </row>
    <row r="17" spans="1:3">
      <c r="A17" s="66">
        <v>44696</v>
      </c>
      <c r="B17" s="67"/>
      <c r="C17" s="68"/>
    </row>
    <row r="18" spans="1:3">
      <c r="A18" s="66">
        <v>44697</v>
      </c>
      <c r="B18" s="67"/>
      <c r="C18" s="68"/>
    </row>
    <row r="19" spans="1:3">
      <c r="A19" s="66">
        <v>44698</v>
      </c>
      <c r="B19" s="67"/>
      <c r="C19" s="68"/>
    </row>
    <row r="20" spans="1:3">
      <c r="A20" s="66">
        <v>44699</v>
      </c>
      <c r="B20" s="67"/>
      <c r="C20" s="68"/>
    </row>
    <row r="21" spans="1:3">
      <c r="A21" s="66">
        <v>44700</v>
      </c>
      <c r="B21" s="67"/>
      <c r="C21" s="68"/>
    </row>
    <row r="22" spans="1:3">
      <c r="A22" s="66">
        <v>44701</v>
      </c>
      <c r="B22" s="67"/>
      <c r="C22" s="68"/>
    </row>
    <row r="23" spans="1:3">
      <c r="A23" s="66">
        <v>44702</v>
      </c>
      <c r="B23" s="67"/>
      <c r="C23" s="68"/>
    </row>
    <row r="24" spans="1:3">
      <c r="A24" s="66">
        <v>44703</v>
      </c>
      <c r="B24" s="67"/>
      <c r="C24" s="68"/>
    </row>
    <row r="25" spans="1:3">
      <c r="A25" s="66">
        <v>44704</v>
      </c>
      <c r="B25" s="67"/>
      <c r="C25" s="68"/>
    </row>
    <row r="26" spans="1:3">
      <c r="A26" s="66">
        <v>44705</v>
      </c>
      <c r="B26" s="67"/>
      <c r="C26" s="68"/>
    </row>
    <row r="27" spans="1:3">
      <c r="A27" s="66">
        <v>44706</v>
      </c>
      <c r="B27" s="67">
        <v>20</v>
      </c>
      <c r="C27" s="68"/>
    </row>
    <row r="28" spans="1:3">
      <c r="A28" s="66">
        <v>44707</v>
      </c>
      <c r="B28" s="67"/>
      <c r="C28" s="68"/>
    </row>
    <row r="29" spans="1:3">
      <c r="A29" s="66">
        <v>44708</v>
      </c>
      <c r="B29" s="67"/>
      <c r="C29" s="68"/>
    </row>
    <row r="30" spans="1:3">
      <c r="A30" s="66">
        <v>44709</v>
      </c>
      <c r="B30" s="67"/>
      <c r="C30" s="68"/>
    </row>
    <row r="31" spans="1:3">
      <c r="A31" s="66">
        <v>44710</v>
      </c>
      <c r="B31" s="67">
        <v>20</v>
      </c>
      <c r="C31" s="68"/>
    </row>
    <row r="32" spans="1:3">
      <c r="A32" s="66">
        <v>44711</v>
      </c>
      <c r="B32" s="67"/>
      <c r="C32" s="68"/>
    </row>
    <row r="33" spans="1:3">
      <c r="A33" s="66">
        <v>44712</v>
      </c>
      <c r="B33" s="67"/>
      <c r="C33" s="68"/>
    </row>
    <row r="34" spans="1:3">
      <c r="A34" s="66">
        <v>44713</v>
      </c>
      <c r="B34" s="67"/>
      <c r="C34" s="68"/>
    </row>
    <row r="35" spans="1:3">
      <c r="A35" s="66">
        <v>44714</v>
      </c>
      <c r="B35" s="67"/>
      <c r="C35" s="68"/>
    </row>
    <row r="36" spans="1:3">
      <c r="A36" s="66">
        <v>44715</v>
      </c>
      <c r="B36" s="67"/>
      <c r="C36" s="68"/>
    </row>
    <row r="37" spans="1:3">
      <c r="A37" s="66">
        <v>44716</v>
      </c>
      <c r="B37" s="67"/>
      <c r="C37" s="68"/>
    </row>
    <row r="38" spans="1:3">
      <c r="A38" s="66">
        <v>44717</v>
      </c>
      <c r="B38" s="67"/>
      <c r="C38" s="68"/>
    </row>
    <row r="39" spans="1:3">
      <c r="A39" s="66">
        <v>44718</v>
      </c>
      <c r="B39" s="67"/>
      <c r="C39" s="68"/>
    </row>
    <row r="40" spans="1:3">
      <c r="A40" s="66">
        <v>44719</v>
      </c>
      <c r="B40" s="67"/>
      <c r="C40" s="68"/>
    </row>
    <row r="41" spans="1:3">
      <c r="A41" s="66">
        <v>44720</v>
      </c>
      <c r="B41" s="67"/>
      <c r="C41" s="68"/>
    </row>
    <row r="42" spans="1:3">
      <c r="A42" s="66">
        <v>44721</v>
      </c>
      <c r="B42" s="67"/>
      <c r="C42" s="68"/>
    </row>
    <row r="43" spans="1:3">
      <c r="A43" s="66">
        <v>44722</v>
      </c>
      <c r="B43" s="67"/>
      <c r="C43" s="68"/>
    </row>
    <row r="44" spans="1:3">
      <c r="A44" s="66">
        <v>44723</v>
      </c>
      <c r="B44" s="67"/>
      <c r="C44" s="68"/>
    </row>
    <row r="45" spans="1:3">
      <c r="A45" s="66">
        <v>44724</v>
      </c>
      <c r="B45" s="67"/>
      <c r="C45" s="68"/>
    </row>
    <row r="46" spans="1:3">
      <c r="A46" s="66">
        <v>44725</v>
      </c>
      <c r="B46" s="67"/>
      <c r="C46" s="68"/>
    </row>
    <row r="47" spans="1:3">
      <c r="A47" s="66">
        <v>44726</v>
      </c>
      <c r="B47" s="67"/>
      <c r="C47" s="68"/>
    </row>
    <row r="48" spans="1:3">
      <c r="A48" s="66">
        <v>44727</v>
      </c>
      <c r="B48" s="67"/>
      <c r="C48" s="68"/>
    </row>
    <row r="49" spans="1:3">
      <c r="A49" s="66">
        <v>44728</v>
      </c>
      <c r="B49" s="67"/>
      <c r="C49" s="68"/>
    </row>
    <row r="50" spans="1:3">
      <c r="A50" s="66">
        <v>44729</v>
      </c>
      <c r="B50" s="67"/>
      <c r="C50" s="68"/>
    </row>
    <row r="51" spans="1:3">
      <c r="A51" s="66">
        <v>44730</v>
      </c>
      <c r="B51" s="67"/>
      <c r="C51" s="68"/>
    </row>
    <row r="52" spans="1:3">
      <c r="A52" s="66">
        <v>44731</v>
      </c>
      <c r="B52" s="67"/>
      <c r="C52" s="68"/>
    </row>
    <row r="53" spans="1:3">
      <c r="A53" s="66">
        <v>44732</v>
      </c>
      <c r="B53" s="67"/>
      <c r="C53" s="68"/>
    </row>
    <row r="54" spans="1:3">
      <c r="A54" s="66">
        <v>44733</v>
      </c>
      <c r="B54" s="67"/>
      <c r="C54" s="68"/>
    </row>
    <row r="55" spans="1:3">
      <c r="A55" s="66">
        <v>44734</v>
      </c>
      <c r="B55" s="67"/>
      <c r="C55" s="68"/>
    </row>
    <row r="56" spans="1:3">
      <c r="A56" s="66">
        <v>44735</v>
      </c>
      <c r="B56" s="67"/>
      <c r="C56" s="68"/>
    </row>
    <row r="57" spans="1:3">
      <c r="A57" s="66">
        <v>44736</v>
      </c>
      <c r="B57" s="67"/>
      <c r="C57" s="68"/>
    </row>
    <row r="58" spans="1:3">
      <c r="A58" s="66">
        <v>44737</v>
      </c>
      <c r="B58" s="67"/>
      <c r="C58" s="68"/>
    </row>
    <row r="59" spans="1:3">
      <c r="A59" s="66">
        <v>44738</v>
      </c>
      <c r="B59" s="67"/>
      <c r="C59" s="68"/>
    </row>
    <row r="60" spans="1:3">
      <c r="A60" s="66">
        <v>44739</v>
      </c>
      <c r="B60" s="67"/>
      <c r="C60" s="68"/>
    </row>
    <row r="61" spans="1:3">
      <c r="A61" s="66">
        <v>44740</v>
      </c>
      <c r="B61" s="67"/>
      <c r="C61" s="68"/>
    </row>
    <row r="62" spans="1:3">
      <c r="A62" s="66">
        <v>44741</v>
      </c>
      <c r="B62" s="67"/>
      <c r="C62" s="68"/>
    </row>
    <row r="63" spans="1:3">
      <c r="A63" s="66">
        <v>44742</v>
      </c>
      <c r="B63" s="67"/>
      <c r="C63" s="68"/>
    </row>
    <row r="64" spans="1:3">
      <c r="A64" s="66">
        <v>44743</v>
      </c>
      <c r="B64" s="67"/>
      <c r="C64" s="68"/>
    </row>
    <row r="65" spans="1:3">
      <c r="A65" s="66">
        <v>44744</v>
      </c>
      <c r="B65" s="67"/>
      <c r="C65" s="68"/>
    </row>
    <row r="66" spans="1:3">
      <c r="A66" s="66">
        <v>44745</v>
      </c>
      <c r="B66" s="67"/>
      <c r="C66" s="68"/>
    </row>
    <row r="67" spans="1:3">
      <c r="A67" s="66">
        <v>44746</v>
      </c>
      <c r="B67" s="67"/>
      <c r="C67" s="68"/>
    </row>
    <row r="68" spans="1:3">
      <c r="A68" s="66">
        <v>44747</v>
      </c>
      <c r="B68" s="67"/>
      <c r="C68" s="68"/>
    </row>
    <row r="69" spans="1:3">
      <c r="A69" s="66">
        <v>44748</v>
      </c>
      <c r="B69" s="67"/>
      <c r="C69" s="68"/>
    </row>
    <row r="70" spans="1:3">
      <c r="A70" s="66">
        <v>44749</v>
      </c>
      <c r="B70" s="67"/>
      <c r="C70" s="68"/>
    </row>
    <row r="71" spans="1:3">
      <c r="A71" s="66">
        <v>44750</v>
      </c>
      <c r="B71" s="67"/>
      <c r="C71" s="68"/>
    </row>
    <row r="72" spans="1:3">
      <c r="A72" s="66">
        <v>44751</v>
      </c>
      <c r="B72" s="67"/>
      <c r="C72" s="68"/>
    </row>
    <row r="73" spans="1:3">
      <c r="A73" s="66">
        <v>44752</v>
      </c>
      <c r="B73" s="67"/>
      <c r="C73" s="68"/>
    </row>
    <row r="74" spans="1:3">
      <c r="A74" s="66">
        <v>44753</v>
      </c>
      <c r="B74" s="67"/>
      <c r="C74" s="68"/>
    </row>
    <row r="75" spans="1:3">
      <c r="A75" s="66">
        <v>44754</v>
      </c>
      <c r="B75" s="67"/>
      <c r="C75" s="68"/>
    </row>
    <row r="76" spans="1:3">
      <c r="A76" s="66">
        <v>44755</v>
      </c>
      <c r="B76" s="67"/>
      <c r="C76" s="68"/>
    </row>
    <row r="77" spans="1:3">
      <c r="A77" s="66">
        <v>44756</v>
      </c>
      <c r="B77" s="67"/>
      <c r="C77" s="68"/>
    </row>
    <row r="78" spans="1:3">
      <c r="A78" s="66">
        <v>44757</v>
      </c>
      <c r="B78" s="67"/>
      <c r="C78" s="68"/>
    </row>
    <row r="79" spans="1:3">
      <c r="A79" s="66">
        <v>44758</v>
      </c>
      <c r="B79" s="67"/>
      <c r="C79" s="68"/>
    </row>
    <row r="80" spans="1:3">
      <c r="A80" s="66">
        <v>44759</v>
      </c>
      <c r="B80" s="67"/>
      <c r="C80" s="68"/>
    </row>
    <row r="81" spans="1:3">
      <c r="A81" s="66">
        <v>44760</v>
      </c>
      <c r="B81" s="67"/>
      <c r="C81" s="68"/>
    </row>
    <row r="82" spans="1:3">
      <c r="A82" s="66">
        <v>44761</v>
      </c>
      <c r="B82" s="67"/>
      <c r="C82" s="68"/>
    </row>
    <row r="83" spans="1:3">
      <c r="A83" s="66">
        <v>44762</v>
      </c>
      <c r="B83" s="67"/>
      <c r="C83" s="68"/>
    </row>
    <row r="84" spans="1:3">
      <c r="A84" s="66">
        <v>44763</v>
      </c>
      <c r="B84" s="67"/>
      <c r="C84" s="68"/>
    </row>
    <row r="85" spans="1:3">
      <c r="A85" s="66">
        <v>44764</v>
      </c>
      <c r="B85" s="67"/>
      <c r="C85" s="68"/>
    </row>
    <row r="86" spans="1:3">
      <c r="A86" s="66">
        <v>44765</v>
      </c>
      <c r="B86" s="67"/>
      <c r="C86" s="68"/>
    </row>
    <row r="87" spans="1:3">
      <c r="A87" s="66">
        <v>44766</v>
      </c>
      <c r="B87" s="67"/>
      <c r="C87" s="68"/>
    </row>
    <row r="88" spans="1:3">
      <c r="A88" s="66">
        <v>44767</v>
      </c>
      <c r="B88" s="67"/>
      <c r="C88" s="68"/>
    </row>
    <row r="89" spans="1:3">
      <c r="A89" s="66">
        <v>44768</v>
      </c>
      <c r="B89" s="67"/>
      <c r="C89" s="68"/>
    </row>
    <row r="90" spans="1:3">
      <c r="A90" s="66">
        <v>44769</v>
      </c>
      <c r="B90" s="67"/>
      <c r="C90" s="68"/>
    </row>
    <row r="91" spans="1:3">
      <c r="A91" s="66">
        <v>44770</v>
      </c>
      <c r="B91" s="67"/>
      <c r="C91" s="68"/>
    </row>
    <row r="92" spans="1:3">
      <c r="A92" s="66">
        <v>44771</v>
      </c>
      <c r="B92" s="67"/>
      <c r="C92" s="68"/>
    </row>
    <row r="93" spans="1:3">
      <c r="A93" s="66">
        <v>44772</v>
      </c>
      <c r="B93" s="67"/>
      <c r="C93" s="68"/>
    </row>
    <row r="94" spans="1:3">
      <c r="A94" s="66">
        <v>44773</v>
      </c>
      <c r="B94" s="67"/>
      <c r="C94" s="68"/>
    </row>
    <row r="95" spans="1:3">
      <c r="A95" s="66">
        <v>44774</v>
      </c>
      <c r="B95" s="67"/>
      <c r="C95" s="68"/>
    </row>
    <row r="96" spans="1:3">
      <c r="A96" s="66">
        <v>44775</v>
      </c>
      <c r="B96" s="67"/>
      <c r="C96" s="68"/>
    </row>
    <row r="97" spans="1:3">
      <c r="A97" s="66">
        <v>44776</v>
      </c>
      <c r="B97" s="67"/>
      <c r="C97" s="68"/>
    </row>
    <row r="98" spans="1:3">
      <c r="A98" s="66">
        <v>44777</v>
      </c>
      <c r="B98" s="67"/>
      <c r="C98" s="68"/>
    </row>
    <row r="99" spans="1:3">
      <c r="A99" s="66">
        <v>44778</v>
      </c>
      <c r="B99" s="67"/>
      <c r="C99" s="68"/>
    </row>
    <row r="100" spans="1:3">
      <c r="A100" s="66">
        <v>44779</v>
      </c>
      <c r="B100" s="67"/>
      <c r="C100" s="68"/>
    </row>
    <row r="101" spans="1:3">
      <c r="A101" s="66">
        <v>44780</v>
      </c>
      <c r="B101" s="67"/>
      <c r="C101" s="68"/>
    </row>
    <row r="102" spans="1:3">
      <c r="A102" s="66">
        <v>44781</v>
      </c>
      <c r="B102" s="67"/>
      <c r="C102" s="68"/>
    </row>
    <row r="103" spans="1:3">
      <c r="A103" s="66">
        <v>44782</v>
      </c>
      <c r="B103" s="67"/>
      <c r="C103" s="68"/>
    </row>
    <row r="104" spans="1:3">
      <c r="A104" s="66">
        <v>44783</v>
      </c>
      <c r="B104" s="67"/>
      <c r="C104" s="68"/>
    </row>
    <row r="105" spans="1:3">
      <c r="A105" s="66">
        <v>44784</v>
      </c>
      <c r="B105" s="67"/>
      <c r="C105" s="68"/>
    </row>
    <row r="106" spans="1:3">
      <c r="A106" s="66">
        <v>44785</v>
      </c>
      <c r="B106" s="67"/>
      <c r="C106" s="68"/>
    </row>
    <row r="107" spans="1:3">
      <c r="A107" s="66">
        <v>44786</v>
      </c>
      <c r="B107" s="67"/>
      <c r="C107" s="68"/>
    </row>
    <row r="108" spans="1:3">
      <c r="A108" s="66">
        <v>44787</v>
      </c>
      <c r="B108" s="67"/>
      <c r="C108" s="68"/>
    </row>
    <row r="109" spans="1:3">
      <c r="A109" s="66">
        <v>44788</v>
      </c>
      <c r="B109" s="67"/>
      <c r="C109" s="68"/>
    </row>
    <row r="110" spans="1:3">
      <c r="A110" s="66">
        <v>44789</v>
      </c>
      <c r="B110" s="67"/>
      <c r="C110" s="68"/>
    </row>
    <row r="111" spans="1:3">
      <c r="A111" s="66">
        <v>44790</v>
      </c>
      <c r="B111" s="67"/>
      <c r="C111" s="68"/>
    </row>
    <row r="112" spans="1:3">
      <c r="A112" s="66">
        <v>44791</v>
      </c>
      <c r="B112" s="67"/>
      <c r="C112" s="68"/>
    </row>
    <row r="113" spans="1:3">
      <c r="A113" s="66">
        <v>44792</v>
      </c>
      <c r="B113" s="67"/>
      <c r="C113" s="68"/>
    </row>
    <row r="114" spans="1:3">
      <c r="A114" s="66">
        <v>44793</v>
      </c>
      <c r="B114" s="67"/>
      <c r="C114" s="68"/>
    </row>
    <row r="115" spans="1:3">
      <c r="A115" s="66">
        <v>44794</v>
      </c>
      <c r="B115" s="67"/>
      <c r="C115" s="68"/>
    </row>
    <row r="116" spans="1:3">
      <c r="A116" s="66">
        <v>44795</v>
      </c>
      <c r="B116" s="67"/>
      <c r="C116" s="68"/>
    </row>
    <row r="117" spans="1:3">
      <c r="A117" s="66">
        <v>44796</v>
      </c>
      <c r="B117" s="67"/>
      <c r="C117" s="68"/>
    </row>
    <row r="118" spans="1:3">
      <c r="A118" s="66">
        <v>44797</v>
      </c>
      <c r="B118" s="67"/>
      <c r="C118" s="68"/>
    </row>
    <row r="119" spans="1:3">
      <c r="A119" s="66">
        <v>44798</v>
      </c>
      <c r="B119" s="67"/>
      <c r="C119" s="68"/>
    </row>
    <row r="120" spans="1:3">
      <c r="A120" s="66">
        <v>44799</v>
      </c>
      <c r="B120" s="67"/>
      <c r="C120" s="68"/>
    </row>
    <row r="121" spans="1:3">
      <c r="A121" s="66">
        <v>44800</v>
      </c>
      <c r="B121" s="67"/>
      <c r="C121" s="68"/>
    </row>
    <row r="122" spans="1:3">
      <c r="A122" s="66">
        <v>44801</v>
      </c>
      <c r="B122" s="67"/>
      <c r="C122" s="68"/>
    </row>
    <row r="123" spans="1:3">
      <c r="A123" s="66">
        <v>44802</v>
      </c>
      <c r="B123" s="67"/>
      <c r="C123" s="68"/>
    </row>
    <row r="124" spans="1:3">
      <c r="A124" s="66">
        <v>44803</v>
      </c>
      <c r="B124" s="67"/>
      <c r="C124" s="68"/>
    </row>
    <row r="125" spans="1:3">
      <c r="A125" s="66">
        <v>44804</v>
      </c>
      <c r="B125" s="67"/>
      <c r="C125" s="68"/>
    </row>
    <row r="126" spans="1:3">
      <c r="A126" s="66">
        <v>44805</v>
      </c>
      <c r="B126" s="67"/>
      <c r="C126" s="68"/>
    </row>
    <row r="127" spans="1:3">
      <c r="A127" s="66">
        <v>44806</v>
      </c>
      <c r="B127" s="67"/>
      <c r="C127" s="68"/>
    </row>
    <row r="128" spans="1:3">
      <c r="A128" s="66">
        <v>44807</v>
      </c>
      <c r="B128" s="67"/>
      <c r="C128" s="68"/>
    </row>
    <row r="129" spans="1:3">
      <c r="A129" s="66">
        <v>44808</v>
      </c>
      <c r="B129" s="67"/>
      <c r="C129" s="68"/>
    </row>
    <row r="130" spans="1:3">
      <c r="A130" s="66">
        <v>44809</v>
      </c>
      <c r="B130" s="67"/>
      <c r="C130" s="68"/>
    </row>
    <row r="131" spans="1:3">
      <c r="A131" s="66">
        <v>44810</v>
      </c>
      <c r="B131" s="67"/>
      <c r="C131" s="68"/>
    </row>
    <row r="132" spans="1:3">
      <c r="A132" s="66">
        <v>44811</v>
      </c>
      <c r="B132" s="67"/>
      <c r="C132" s="68"/>
    </row>
    <row r="133" spans="1:3">
      <c r="A133" s="66">
        <v>44812</v>
      </c>
      <c r="B133" s="67"/>
      <c r="C133" s="68"/>
    </row>
    <row r="134" spans="1:3">
      <c r="A134" s="66">
        <v>44813</v>
      </c>
      <c r="B134" s="67"/>
      <c r="C134" s="68"/>
    </row>
    <row r="135" spans="1:3">
      <c r="A135" s="66">
        <v>44814</v>
      </c>
      <c r="B135" s="67"/>
      <c r="C135" s="68"/>
    </row>
    <row r="136" spans="1:3">
      <c r="A136" s="66">
        <v>44815</v>
      </c>
      <c r="B136" s="67"/>
      <c r="C136" s="68"/>
    </row>
    <row r="137" spans="1:3">
      <c r="A137" s="66">
        <v>44816</v>
      </c>
      <c r="B137" s="67"/>
      <c r="C137" s="68"/>
    </row>
    <row r="138" spans="1:3">
      <c r="A138" s="66">
        <v>44817</v>
      </c>
      <c r="B138" s="67"/>
      <c r="C138" s="68"/>
    </row>
    <row r="139" spans="1:3">
      <c r="A139" s="66">
        <v>44818</v>
      </c>
      <c r="B139" s="67"/>
      <c r="C139" s="68"/>
    </row>
    <row r="140" spans="1:3">
      <c r="A140" s="66">
        <v>44819</v>
      </c>
      <c r="B140" s="67"/>
      <c r="C140" s="68"/>
    </row>
    <row r="141" spans="1:3">
      <c r="A141" s="66">
        <v>44820</v>
      </c>
      <c r="B141" s="67"/>
      <c r="C141" s="68"/>
    </row>
    <row r="142" spans="1:3">
      <c r="A142" s="66">
        <v>44821</v>
      </c>
      <c r="B142" s="67"/>
      <c r="C142" s="68"/>
    </row>
    <row r="143" spans="1:3">
      <c r="A143" s="66">
        <v>44822</v>
      </c>
      <c r="B143" s="67"/>
      <c r="C143" s="68"/>
    </row>
    <row r="144" spans="1:3">
      <c r="A144" s="66">
        <v>44823</v>
      </c>
      <c r="B144" s="67"/>
      <c r="C144" s="68"/>
    </row>
    <row r="145" spans="1:3">
      <c r="A145" s="66">
        <v>44824</v>
      </c>
      <c r="B145" s="67"/>
      <c r="C145" s="68"/>
    </row>
    <row r="146" spans="1:3">
      <c r="A146" s="66">
        <v>44825</v>
      </c>
      <c r="B146" s="67"/>
      <c r="C146" s="68"/>
    </row>
    <row r="147" spans="1:3">
      <c r="A147" s="66">
        <v>44826</v>
      </c>
      <c r="B147" s="67"/>
      <c r="C147" s="68"/>
    </row>
    <row r="148" spans="1:3">
      <c r="A148" s="66">
        <v>44827</v>
      </c>
      <c r="B148" s="67"/>
      <c r="C148" s="68"/>
    </row>
    <row r="149" spans="1:3">
      <c r="A149" s="66">
        <v>44828</v>
      </c>
      <c r="B149" s="67"/>
      <c r="C149" s="68"/>
    </row>
    <row r="150" spans="1:3">
      <c r="A150" s="66">
        <v>44829</v>
      </c>
      <c r="B150" s="67"/>
      <c r="C150" s="68"/>
    </row>
    <row r="151" spans="1:3">
      <c r="A151" s="66">
        <v>44830</v>
      </c>
      <c r="B151" s="67"/>
      <c r="C151" s="68"/>
    </row>
    <row r="152" spans="1:3">
      <c r="A152" s="66">
        <v>44831</v>
      </c>
      <c r="B152" s="67"/>
      <c r="C152" s="68"/>
    </row>
    <row r="153" spans="1:3">
      <c r="A153" s="66">
        <v>44832</v>
      </c>
      <c r="B153" s="67"/>
      <c r="C153" s="68"/>
    </row>
    <row r="154" spans="1:3">
      <c r="A154" s="66">
        <v>44833</v>
      </c>
      <c r="B154" s="67"/>
      <c r="C154" s="68"/>
    </row>
    <row r="155" spans="1:3">
      <c r="A155" s="66">
        <v>44834</v>
      </c>
      <c r="B155" s="67"/>
      <c r="C155" s="68"/>
    </row>
    <row r="156" spans="1:3">
      <c r="A156" s="66">
        <v>44835</v>
      </c>
      <c r="B156" s="67"/>
      <c r="C156" s="68"/>
    </row>
    <row r="157" spans="1:3">
      <c r="A157" s="66">
        <v>44836</v>
      </c>
      <c r="B157" s="67"/>
      <c r="C157" s="68"/>
    </row>
    <row r="158" spans="1:3">
      <c r="A158" s="66">
        <v>44837</v>
      </c>
      <c r="B158" s="67"/>
      <c r="C158" s="68"/>
    </row>
    <row r="159" spans="1:3">
      <c r="A159" s="66">
        <v>44838</v>
      </c>
      <c r="B159" s="67"/>
      <c r="C159" s="68"/>
    </row>
    <row r="160" spans="1:3">
      <c r="A160" s="66">
        <v>44839</v>
      </c>
      <c r="B160" s="67"/>
      <c r="C160" s="68"/>
    </row>
    <row r="161" spans="1:3">
      <c r="A161" s="66">
        <v>44840</v>
      </c>
      <c r="B161" s="67"/>
      <c r="C161" s="68"/>
    </row>
    <row r="162" spans="1:3">
      <c r="A162" s="66">
        <v>44841</v>
      </c>
      <c r="B162" s="67"/>
      <c r="C162" s="68"/>
    </row>
    <row r="163" spans="1:3">
      <c r="A163" s="66">
        <v>44842</v>
      </c>
      <c r="B163" s="67"/>
      <c r="C163" s="68"/>
    </row>
    <row r="164" spans="1:3">
      <c r="A164" s="66">
        <v>44843</v>
      </c>
      <c r="B164" s="67"/>
      <c r="C164" s="68"/>
    </row>
    <row r="165" spans="1:3">
      <c r="A165" s="66">
        <v>44844</v>
      </c>
      <c r="B165" s="67"/>
      <c r="C165" s="68"/>
    </row>
    <row r="166" spans="1:3">
      <c r="A166" s="66">
        <v>44845</v>
      </c>
      <c r="B166" s="67"/>
      <c r="C166" s="68"/>
    </row>
    <row r="167" spans="1:3">
      <c r="A167" s="66">
        <v>44846</v>
      </c>
      <c r="B167" s="67"/>
      <c r="C167" s="68"/>
    </row>
    <row r="168" spans="1:3">
      <c r="A168" s="66">
        <v>44847</v>
      </c>
      <c r="B168" s="67"/>
      <c r="C168" s="68"/>
    </row>
    <row r="169" spans="1:3">
      <c r="A169" s="66">
        <v>44848</v>
      </c>
      <c r="B169" s="67"/>
      <c r="C169" s="68"/>
    </row>
    <row r="170" spans="1:3">
      <c r="A170" s="66">
        <v>44849</v>
      </c>
      <c r="B170" s="67"/>
      <c r="C170" s="68"/>
    </row>
    <row r="171" spans="1:3">
      <c r="A171" s="66">
        <v>44850</v>
      </c>
      <c r="B171" s="67"/>
      <c r="C171" s="68"/>
    </row>
    <row r="172" spans="1:3">
      <c r="A172" s="66">
        <v>44851</v>
      </c>
      <c r="B172" s="67"/>
      <c r="C172" s="68"/>
    </row>
    <row r="173" spans="1:3">
      <c r="A173" s="66">
        <v>44852</v>
      </c>
      <c r="B173" s="67"/>
      <c r="C173" s="68"/>
    </row>
    <row r="174" spans="1:3">
      <c r="A174" s="66">
        <v>44853</v>
      </c>
      <c r="B174" s="67"/>
      <c r="C174" s="68"/>
    </row>
    <row r="175" spans="1:3">
      <c r="A175" s="66">
        <v>44854</v>
      </c>
      <c r="B175" s="67"/>
      <c r="C175" s="68"/>
    </row>
    <row r="176" spans="1:3">
      <c r="A176" s="66">
        <v>44855</v>
      </c>
      <c r="B176" s="67"/>
      <c r="C176" s="68"/>
    </row>
    <row r="177" spans="1:3">
      <c r="A177" s="66">
        <v>44856</v>
      </c>
      <c r="B177" s="67"/>
      <c r="C177" s="68"/>
    </row>
    <row r="178" spans="1:3">
      <c r="A178" s="66">
        <v>44857</v>
      </c>
      <c r="B178" s="67"/>
      <c r="C178" s="68"/>
    </row>
    <row r="179" spans="1:3">
      <c r="A179" s="66">
        <v>44858</v>
      </c>
      <c r="B179" s="67"/>
      <c r="C179" s="68"/>
    </row>
    <row r="180" spans="1:3">
      <c r="A180" s="66">
        <v>44859</v>
      </c>
      <c r="B180" s="67"/>
      <c r="C180" s="68"/>
    </row>
    <row r="181" spans="1:3">
      <c r="A181" s="66">
        <v>44860</v>
      </c>
      <c r="B181" s="67"/>
      <c r="C181" s="68"/>
    </row>
    <row r="182" spans="1:3">
      <c r="A182" s="66">
        <v>44861</v>
      </c>
      <c r="B182" s="67"/>
      <c r="C182" s="68"/>
    </row>
    <row r="183" spans="1:3">
      <c r="A183" s="66">
        <v>44862</v>
      </c>
      <c r="B183" s="67"/>
      <c r="C183" s="68"/>
    </row>
    <row r="184" spans="1:3">
      <c r="A184" s="66">
        <v>44863</v>
      </c>
      <c r="B184" s="67"/>
      <c r="C184" s="68"/>
    </row>
    <row r="185" spans="1:3">
      <c r="A185" s="66">
        <v>44864</v>
      </c>
      <c r="B185" s="67"/>
      <c r="C185" s="68"/>
    </row>
    <row r="186" spans="1:3">
      <c r="A186" s="66">
        <v>44865</v>
      </c>
      <c r="B186" s="67"/>
      <c r="C186" s="68"/>
    </row>
    <row r="187" spans="1:3">
      <c r="A187" s="66">
        <v>44866</v>
      </c>
      <c r="B187" s="67"/>
      <c r="C187" s="68"/>
    </row>
    <row r="188" spans="1:3">
      <c r="A188" s="66">
        <v>44867</v>
      </c>
      <c r="B188" s="67"/>
      <c r="C188" s="68"/>
    </row>
    <row r="189" spans="1:3">
      <c r="A189" s="66">
        <v>44868</v>
      </c>
      <c r="B189" s="67"/>
      <c r="C189" s="68"/>
    </row>
    <row r="190" spans="1:3">
      <c r="A190" s="66">
        <v>44869</v>
      </c>
      <c r="B190" s="67"/>
      <c r="C190" s="68"/>
    </row>
    <row r="191" spans="1:3">
      <c r="A191" s="66">
        <v>44870</v>
      </c>
      <c r="B191" s="67"/>
      <c r="C191" s="68"/>
    </row>
    <row r="192" spans="1:3">
      <c r="A192" s="66">
        <v>44871</v>
      </c>
      <c r="B192" s="67"/>
      <c r="C192" s="68"/>
    </row>
    <row r="193" spans="1:3">
      <c r="A193" s="66">
        <v>44872</v>
      </c>
      <c r="B193" s="67"/>
      <c r="C193" s="68"/>
    </row>
    <row r="194" spans="1:3">
      <c r="A194" s="66">
        <v>44873</v>
      </c>
      <c r="B194" s="67"/>
      <c r="C194" s="68"/>
    </row>
    <row r="195" spans="1:3">
      <c r="A195" s="66">
        <v>44874</v>
      </c>
      <c r="B195" s="67"/>
      <c r="C195" s="68"/>
    </row>
    <row r="196" spans="1:3">
      <c r="A196" s="66">
        <v>44875</v>
      </c>
      <c r="B196" s="67"/>
      <c r="C196" s="68"/>
    </row>
    <row r="197" spans="1:3">
      <c r="A197" s="66">
        <v>44876</v>
      </c>
      <c r="B197" s="67"/>
      <c r="C197" s="68"/>
    </row>
    <row r="198" spans="1:3">
      <c r="A198" s="66">
        <v>44877</v>
      </c>
      <c r="B198" s="67"/>
      <c r="C198" s="68"/>
    </row>
    <row r="199" spans="1:3">
      <c r="A199" s="66">
        <v>44878</v>
      </c>
      <c r="B199" s="67"/>
      <c r="C199" s="68"/>
    </row>
    <row r="200" spans="1:3">
      <c r="A200" s="66">
        <v>44879</v>
      </c>
      <c r="B200" s="67"/>
      <c r="C200" s="68"/>
    </row>
    <row r="201" spans="1:3">
      <c r="A201" s="66">
        <v>44880</v>
      </c>
      <c r="B201" s="67"/>
      <c r="C201" s="68"/>
    </row>
    <row r="202" spans="1:3">
      <c r="A202" s="66">
        <v>44881</v>
      </c>
      <c r="B202" s="67"/>
      <c r="C202" s="68"/>
    </row>
    <row r="203" spans="1:3">
      <c r="A203" s="66">
        <v>44882</v>
      </c>
      <c r="B203" s="67"/>
      <c r="C203" s="68"/>
    </row>
    <row r="204" spans="1:3">
      <c r="A204" s="66">
        <v>44883</v>
      </c>
      <c r="B204" s="67"/>
      <c r="C204" s="68"/>
    </row>
    <row r="205" spans="1:3">
      <c r="A205" s="66">
        <v>44884</v>
      </c>
      <c r="B205" s="67"/>
      <c r="C205" s="68"/>
    </row>
    <row r="206" spans="1:3">
      <c r="A206" s="66">
        <v>44885</v>
      </c>
      <c r="B206" s="67"/>
      <c r="C206" s="68"/>
    </row>
    <row r="207" spans="1:3">
      <c r="A207" s="66">
        <v>44886</v>
      </c>
      <c r="B207" s="67"/>
      <c r="C207" s="68"/>
    </row>
    <row r="208" spans="1:3">
      <c r="A208" s="66">
        <v>44887</v>
      </c>
      <c r="B208" s="67"/>
      <c r="C208" s="68"/>
    </row>
    <row r="209" spans="1:3">
      <c r="A209" s="66">
        <v>44888</v>
      </c>
      <c r="B209" s="67"/>
      <c r="C209" s="68"/>
    </row>
    <row r="210" spans="1:3">
      <c r="A210" s="66">
        <v>44889</v>
      </c>
      <c r="B210" s="67"/>
      <c r="C210" s="68"/>
    </row>
    <row r="211" spans="1:3">
      <c r="A211" s="66">
        <v>44890</v>
      </c>
      <c r="B211" s="67"/>
      <c r="C211" s="68"/>
    </row>
    <row r="212" spans="1:3">
      <c r="A212" s="66">
        <v>44891</v>
      </c>
      <c r="B212" s="67"/>
      <c r="C212" s="68"/>
    </row>
    <row r="213" spans="1:3">
      <c r="A213" s="66">
        <v>44892</v>
      </c>
      <c r="B213" s="67"/>
      <c r="C213" s="68"/>
    </row>
    <row r="214" spans="1:3">
      <c r="A214" s="66">
        <v>44893</v>
      </c>
      <c r="B214" s="67"/>
      <c r="C214" s="68"/>
    </row>
    <row r="215" spans="1:3">
      <c r="A215" s="66">
        <v>44894</v>
      </c>
      <c r="B215" s="67"/>
      <c r="C215" s="68"/>
    </row>
    <row r="216" spans="1:3">
      <c r="A216" s="66">
        <v>44895</v>
      </c>
      <c r="B216" s="67"/>
      <c r="C216" s="68"/>
    </row>
    <row r="217" spans="1:3">
      <c r="A217" s="66">
        <v>44896</v>
      </c>
      <c r="B217" s="67"/>
      <c r="C217" s="68"/>
    </row>
    <row r="218" spans="1:3">
      <c r="A218" s="66">
        <v>44897</v>
      </c>
      <c r="B218" s="67"/>
      <c r="C218" s="68"/>
    </row>
    <row r="219" spans="1:3">
      <c r="A219" s="66">
        <v>44898</v>
      </c>
      <c r="B219" s="67"/>
      <c r="C219" s="68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Caldeira </vt:lpstr>
      <vt:lpstr>SABESP_2024</vt:lpstr>
      <vt:lpstr>SABESP_2022</vt:lpstr>
      <vt:lpstr>SABESP_2023</vt:lpstr>
      <vt:lpstr>Planilha1</vt:lpstr>
      <vt:lpstr>Reservatório</vt:lpstr>
      <vt:lpstr>CAMINHÃO PIPA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scar51</dc:creator>
  <cp:lastModifiedBy>Enry Shinzato</cp:lastModifiedBy>
  <cp:lastPrinted>2024-01-30T16:51:51Z</cp:lastPrinted>
  <dcterms:created xsi:type="dcterms:W3CDTF">2022-03-15T17:28:27Z</dcterms:created>
  <dcterms:modified xsi:type="dcterms:W3CDTF">2025-07-22T17:52:52Z</dcterms:modified>
</cp:coreProperties>
</file>